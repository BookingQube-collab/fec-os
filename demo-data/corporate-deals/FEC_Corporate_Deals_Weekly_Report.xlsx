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Read Me" sheetId="2" state="visible" r:id="rId4"/>
    <sheet name="Summary" sheetId="3" state="visible" r:id="rId5"/>
    <sheet name="Code Mapping" sheetId="4" state="visible" r:id="rId6"/>
    <sheet name="Partner Master" sheetId="5" state="visible" r:id="rId7"/>
    <sheet name="Weekly Log" sheetId="6" state="visible" r:id="rId8"/>
    <sheet name="Month Data" sheetId="7" state="visible" r:id="rId9"/>
    <sheet name="Trend Data" sheetId="8" state="visible" r:id="rId10"/>
    <sheet name="MoM Follow-up" sheetId="9" state="visible" r:id="rId11"/>
  </sheets>
  <definedNames>
    <definedName function="false" hidden="false" localSheetId="0" name="_xlnm.Print_Area" vbProcedure="false">Dashboard!$A$1:$N$57</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Week being reported (7 to 13 September 2026). Change when you paste a new weekly export into Week Data.</t>
        </r>
      </text>
    </comment>
  </commentList>
</comments>
</file>

<file path=xl/sharedStrings.xml><?xml version="1.0" encoding="utf-8"?>
<sst xmlns="http://schemas.openxmlformats.org/spreadsheetml/2006/main" count="20920" uniqueCount="2263">
  <si>
    <t xml:space="preserve">FEC Corporate Deals and Aggregators: Weekly Management Review</t>
  </si>
  <si>
    <t xml:space="preserve">E3 Events and Entertainments  |  Prepared by Rajan Pathak, Head of Operations (FEC &amp; IT)  |  Tuesday management meeting</t>
  </si>
  <si>
    <t xml:space="preserve">Reporting week (ISO)</t>
  </si>
  <si>
    <t xml:space="preserve">2026-W37</t>
  </si>
  <si>
    <t xml:space="preserve">Previous week</t>
  </si>
  <si>
    <t xml:space="preserve">Meeting date</t>
  </si>
  <si>
    <t xml:space="preserve">Reviewed by</t>
  </si>
  <si>
    <t xml:space="preserve">Mr. Adil</t>
  </si>
  <si>
    <t xml:space="preserve">Type the ISO week into C4 after pasting the new export into Weekly Log. Everything below recalculates.</t>
  </si>
  <si>
    <t xml:space="preserve">Partner redemptions</t>
  </si>
  <si>
    <t xml:space="preserve">Tickets under deals</t>
  </si>
  <si>
    <t xml:space="preserve">Discount given (QAR)</t>
  </si>
  <si>
    <t xml:space="preserve">Active partners</t>
  </si>
  <si>
    <t xml:space="preserve">Aggregator share of discount</t>
  </si>
  <si>
    <t xml:space="preserve">Top partners this week</t>
  </si>
  <si>
    <t xml:space="preserve">Corporate discounts vs aggregator BOGO, this week</t>
  </si>
  <si>
    <t xml:space="preserve">Partner</t>
  </si>
  <si>
    <t xml:space="preserve">This week</t>
  </si>
  <si>
    <t xml:space="preserve">Prev week</t>
  </si>
  <si>
    <t xml:space="preserve">Change</t>
  </si>
  <si>
    <t xml:space="preserve">Month to date</t>
  </si>
  <si>
    <t xml:space="preserve">Category</t>
  </si>
  <si>
    <t xml:space="preserve">Redemptions</t>
  </si>
  <si>
    <t xml:space="preserve">Tickets</t>
  </si>
  <si>
    <t xml:space="preserve">Discount QAR</t>
  </si>
  <si>
    <t xml:space="preserve">QAR per redempt.</t>
  </si>
  <si>
    <t xml:space="preserve">Corporate discount</t>
  </si>
  <si>
    <t xml:space="preserve">Aggregator BOGO</t>
  </si>
  <si>
    <t xml:space="preserve">Total</t>
  </si>
  <si>
    <t xml:space="preserve">Partners with no usage this month</t>
  </si>
  <si>
    <t xml:space="preserve">Mechanism</t>
  </si>
  <si>
    <t xml:space="preserve">Last used (month)</t>
  </si>
  <si>
    <t xml:space="preserve">By venue this week</t>
  </si>
  <si>
    <t xml:space="preserve">Venue</t>
  </si>
  <si>
    <t xml:space="preserve">Share</t>
  </si>
  <si>
    <t xml:space="preserve">Urban Arena</t>
  </si>
  <si>
    <t xml:space="preserve">InflataPark</t>
  </si>
  <si>
    <t xml:space="preserve">Kids City Driving School</t>
  </si>
  <si>
    <t xml:space="preserve">Crayons &amp; Bricks Vendome</t>
  </si>
  <si>
    <t xml:space="preserve">Weekly trend (partner redemptions)</t>
  </si>
  <si>
    <t xml:space="preserve">Week</t>
  </si>
  <si>
    <t xml:space="preserve">Weeks with no export pasted show as blank; weeks before W36 are not listed.</t>
  </si>
  <si>
    <t xml:space="preserve">Loyalty and in-house codes by venue</t>
  </si>
  <si>
    <t xml:space="preserve">Code</t>
  </si>
  <si>
    <t xml:space="preserve">Week: uses</t>
  </si>
  <si>
    <t xml:space="preserve">Week: tickets</t>
  </si>
  <si>
    <t xml:space="preserve">Month: uses</t>
  </si>
  <si>
    <t xml:space="preserve">Loyalty, cafe and karak codes are our own promotions and are never counted in the partner figures above.</t>
  </si>
  <si>
    <t xml:space="preserve">How to update this report every week (10 minutes)</t>
  </si>
  <si>
    <t xml:space="preserve">1. In BookingQube, export the event-wise promo-code report for the ISO week just ended (Monday to Sunday). It must include event_id and event_title, which give the venue. Save as CSV.</t>
  </si>
  <si>
    <t xml:space="preserve">2. Open the Weekly Log tab. Paste the export rows (columns A to K, event-wise export including event_id and event_title) directly below the last filled row. Do not touch columns L to N; they fill themselves.</t>
  </si>
  <si>
    <t xml:space="preserve">3. Once a week also refresh the Month Data tab (current calendar month export, replace from row 5) and, on the first Tuesday of each month, the Trend Data tab (all-months export).</t>
  </si>
  <si>
    <t xml:space="preserve">4. On the Dashboard, type the week you are reporting in C4 (format 2026-W38) and the meeting date in I4.</t>
  </si>
  <si>
    <t xml:space="preserve">5. Check the Dashboard. If a partner shows as Unmapped or Not on master, open Code Mapping and set its Partner, Category and Venue in the yellow cells. New codes appear automatically at the bottom of the list only if you add them there; add one row per new code.</t>
  </si>
  <si>
    <t xml:space="preserve">6. Open MoM Follow-up and update the Status and Update columns for each open point.</t>
  </si>
  <si>
    <t xml:space="preserve">7. Present the Dashboard tab on screen (it is set to print on one landscape page). The Summary tab has the full partner table if management asks for detail.</t>
  </si>
  <si>
    <t xml:space="preserve">Definitions</t>
  </si>
  <si>
    <t xml:space="preserve">Partner redemptions: number of bookings where a corporate or aggregator promo code was applied. Tickets: entries issued under those bookings. Discount: value given, QAR.</t>
  </si>
  <si>
    <t xml:space="preserve">Corporate discount: staff-ID and card partners (15% to 20% on the bill). Aggregator BOGO: Urban Point, My Book, Entertainer, Qatar Living, Classmate free-pass offers.</t>
  </si>
  <si>
    <t xml:space="preserve">Internal / promotion codes (loyalty, cafe, Inflatarun, driving licence, media pass) are excluded from all partner totals.</t>
  </si>
  <si>
    <t xml:space="preserve">Aggregator weekly pace from the 10 September aggregator report, for reference: Entertainer 13, Urban Point 119, DealsGo 17, MyBook 43.</t>
  </si>
  <si>
    <t xml:space="preserve">Loyalty, cafe and karak codes are shown separately by venue on the Dashboard and Summary. They are our own promotions and never enter the partner totals.</t>
  </si>
  <si>
    <t xml:space="preserve">Yellow cells are inputs. Everything else is a formula; do not overwrite.</t>
  </si>
  <si>
    <t xml:space="preserve">Corporate Deals and Aggregator Redemptions: Weekly Management Review</t>
  </si>
  <si>
    <t xml:space="preserve">All figures are formulas over the data sheets. Partner totals count Corporate discount, Aggregator BOGO and Not on master codes; Internal/promotion codes (loyalty, cafe, Inflatarun, driving licence) and Unmapped codes are excluded and shown separately.</t>
  </si>
  <si>
    <t xml:space="preserve">Reporting week</t>
  </si>
  <si>
    <t xml:space="preserve">Current month</t>
  </si>
  <si>
    <t xml:space="preserve">2026-09</t>
  </si>
  <si>
    <t xml:space="preserve">Prepared by</t>
  </si>
  <si>
    <t xml:space="preserve">Rajan Pathak, Head of Operations (FEC &amp; IT)</t>
  </si>
  <si>
    <t xml:space="preserve">Key figures</t>
  </si>
  <si>
    <t xml:space="preserve">Reporting week (Dashboard!C4)</t>
  </si>
  <si>
    <t xml:space="preserve">This month to date</t>
  </si>
  <si>
    <t xml:space="preserve">Previous full month</t>
  </si>
  <si>
    <t xml:space="preserve">Category split, month to date</t>
  </si>
  <si>
    <t xml:space="preserve">Venue split (event title from the export)</t>
  </si>
  <si>
    <t xml:space="preserve">Share of redemptions</t>
  </si>
  <si>
    <t xml:space="preserve">Share of discount</t>
  </si>
  <si>
    <t xml:space="preserve">Discount per redemption</t>
  </si>
  <si>
    <t xml:space="preserve">Week: redemptions</t>
  </si>
  <si>
    <t xml:space="preserve">Week: discount QAR</t>
  </si>
  <si>
    <t xml:space="preserve">Month: redemptions</t>
  </si>
  <si>
    <t xml:space="preserve">Month: discount QAR</t>
  </si>
  <si>
    <t xml:space="preserve">Not on master</t>
  </si>
  <si>
    <t xml:space="preserve">Unmapped</t>
  </si>
  <si>
    <t xml:space="preserve">Previous full month for comparison</t>
  </si>
  <si>
    <t xml:space="preserve">Previous month</t>
  </si>
  <si>
    <t xml:space="preserve">2026-08</t>
  </si>
  <si>
    <t xml:space="preserve">Partner performance</t>
  </si>
  <si>
    <t xml:space="preserve">This week: redemptions</t>
  </si>
  <si>
    <t xml:space="preserve">Month: tickets</t>
  </si>
  <si>
    <t xml:space="preserve">Month: discount per redemption</t>
  </si>
  <si>
    <t xml:space="preserve">Previous month: redemptions</t>
  </si>
  <si>
    <t xml:space="preserve">Change vs previous month</t>
  </si>
  <si>
    <t xml:space="preserve">Status this month</t>
  </si>
  <si>
    <t xml:space="preserve">Previous week: redemptions</t>
  </si>
  <si>
    <t xml:space="preserve">Change vs previous week</t>
  </si>
  <si>
    <t xml:space="preserve">Rank helper</t>
  </si>
  <si>
    <t xml:space="preserve">No-usage helper</t>
  </si>
  <si>
    <t xml:space="preserve">Total (partners on master)</t>
  </si>
  <si>
    <t xml:space="preserve">Codes not on master or unmapped (month, excluded from partner totals above)</t>
  </si>
  <si>
    <t xml:space="preserve">Monthly trend, last 13 months (partners only, internal codes excluded)</t>
  </si>
  <si>
    <t xml:space="preserve">Month</t>
  </si>
  <si>
    <t xml:space="preserve">Corporate discount redemptions</t>
  </si>
  <si>
    <t xml:space="preserve">Aggregator BOGO redemptions</t>
  </si>
  <si>
    <t xml:space="preserve">2025-09</t>
  </si>
  <si>
    <t xml:space="preserve">2025-10</t>
  </si>
  <si>
    <t xml:space="preserve">2025-11</t>
  </si>
  <si>
    <t xml:space="preserve">2025-12</t>
  </si>
  <si>
    <t xml:space="preserve">2026-01</t>
  </si>
  <si>
    <t xml:space="preserve">2026-02</t>
  </si>
  <si>
    <t xml:space="preserve">2026-03</t>
  </si>
  <si>
    <t xml:space="preserve">2026-04</t>
  </si>
  <si>
    <t xml:space="preserve">2026-05</t>
  </si>
  <si>
    <t xml:space="preserve">2026-06</t>
  </si>
  <si>
    <t xml:space="preserve">2026-07</t>
  </si>
  <si>
    <t xml:space="preserve">Note: the current month is month to date. Months before May 2026 used single-use 100% codes for aggregator free passes; from May the BOGO codes replaced them, which changes the ticket count per redemption.</t>
  </si>
  <si>
    <t xml:space="preserve">Loyalty and in-house codes (excluded from partner totals)</t>
  </si>
  <si>
    <t xml:space="preserve">Description</t>
  </si>
  <si>
    <t xml:space="preserve">loyaltyinf</t>
  </si>
  <si>
    <t xml:space="preserve">In-house offer</t>
  </si>
  <si>
    <t xml:space="preserve">loyaltykds</t>
  </si>
  <si>
    <t xml:space="preserve">loyalty pass free city pass</t>
  </si>
  <si>
    <t xml:space="preserve">cafe50</t>
  </si>
  <si>
    <t xml:space="preserve">50% off on cafe</t>
  </si>
  <si>
    <t xml:space="preserve">karak100</t>
  </si>
  <si>
    <t xml:space="preserve">loyalty</t>
  </si>
  <si>
    <t xml:space="preserve">Loyalty customer free rookie pass</t>
  </si>
  <si>
    <t xml:space="preserve">Promo code mapping (edit the blue cells; every other sheet recalculates)</t>
  </si>
  <si>
    <t xml:space="preserve">Partner, Category and Venue were assigned from the code and its description. Yellow cells are editable inputs. "Not specified" means the code carries no venue; add the venue in BookingQube and here.</t>
  </si>
  <si>
    <t xml:space="preserve">Promo code</t>
  </si>
  <si>
    <t xml:space="preserve">Description (from system)</t>
  </si>
  <si>
    <t xml:space="preserve">Company field</t>
  </si>
  <si>
    <t xml:space="preserve">Uses, last 12 months</t>
  </si>
  <si>
    <t xml:space="preserve">Mapping source</t>
  </si>
  <si>
    <t xml:space="preserve">Internal / promotion</t>
  </si>
  <si>
    <t xml:space="preserve">Cafe</t>
  </si>
  <si>
    <t xml:space="preserve">Derived from code and description</t>
  </si>
  <si>
    <t xml:space="preserve">KCDSIMTYD</t>
  </si>
  <si>
    <t xml:space="preserve">Imtyazat 15% Discount</t>
  </si>
  <si>
    <t xml:space="preserve">E3</t>
  </si>
  <si>
    <t xml:space="preserve">Imtyazat</t>
  </si>
  <si>
    <t xml:space="preserve">KDS</t>
  </si>
  <si>
    <t xml:space="preserve">UPIP100</t>
  </si>
  <si>
    <t xml:space="preserve">InflataPark urban point 100%</t>
  </si>
  <si>
    <t xml:space="preserve">Urban Point</t>
  </si>
  <si>
    <t xml:space="preserve">MBIP100</t>
  </si>
  <si>
    <t xml:space="preserve">InflataPark mybook 100%</t>
  </si>
  <si>
    <t xml:space="preserve">My Book</t>
  </si>
  <si>
    <t xml:space="preserve">INFIMTYD</t>
  </si>
  <si>
    <t xml:space="preserve">UENA</t>
  </si>
  <si>
    <t xml:space="preserve">Qatar Airways 15% Discount</t>
  </si>
  <si>
    <t xml:space="preserve">Qatar Airways</t>
  </si>
  <si>
    <t xml:space="preserve">Not specified</t>
  </si>
  <si>
    <t xml:space="preserve">ARNB</t>
  </si>
  <si>
    <t xml:space="preserve">Qatar Foundation 15% Discount</t>
  </si>
  <si>
    <t xml:space="preserve">Qatar Foundation</t>
  </si>
  <si>
    <t xml:space="preserve">UNAR</t>
  </si>
  <si>
    <t xml:space="preserve">Public Health Sector Employees 20% Discount</t>
  </si>
  <si>
    <t xml:space="preserve">Public Health Sector (Sogha)</t>
  </si>
  <si>
    <t xml:space="preserve">INFPHSED</t>
  </si>
  <si>
    <t xml:space="preserve">INFQAD</t>
  </si>
  <si>
    <t xml:space="preserve">EIP100</t>
  </si>
  <si>
    <t xml:space="preserve">InflataPark entertainer 100%</t>
  </si>
  <si>
    <t xml:space="preserve">Entertainer</t>
  </si>
  <si>
    <t xml:space="preserve">KCDIMTIYAZAT15</t>
  </si>
  <si>
    <t xml:space="preserve">Imtiyazat 15% Discount</t>
  </si>
  <si>
    <t xml:space="preserve">UBOFFM</t>
  </si>
  <si>
    <t xml:space="preserve">My Book BOGO</t>
  </si>
  <si>
    <t xml:space="preserve">UGBOGU</t>
  </si>
  <si>
    <t xml:space="preserve">Urban Point BOGO</t>
  </si>
  <si>
    <t xml:space="preserve">CGBOGU</t>
  </si>
  <si>
    <t xml:space="preserve">C&amp;B (unspecified mall)</t>
  </si>
  <si>
    <t xml:space="preserve">UPVD</t>
  </si>
  <si>
    <t xml:space="preserve">urban point for vendom 100%</t>
  </si>
  <si>
    <t xml:space="preserve">C&amp;B Vendome</t>
  </si>
  <si>
    <t xml:space="preserve">UHBP100</t>
  </si>
  <si>
    <t xml:space="preserve">KDS urban point 100%</t>
  </si>
  <si>
    <t xml:space="preserve">CBOGOE</t>
  </si>
  <si>
    <t xml:space="preserve">Entertainer BOGO</t>
  </si>
  <si>
    <t xml:space="preserve">USBP100</t>
  </si>
  <si>
    <t xml:space="preserve">EBOGO</t>
  </si>
  <si>
    <t xml:space="preserve">MYBVD</t>
  </si>
  <si>
    <t xml:space="preserve">Confirmed by Operations, Sep 2026</t>
  </si>
  <si>
    <t xml:space="preserve">BHBP100</t>
  </si>
  <si>
    <t xml:space="preserve">KDS mybook 100%</t>
  </si>
  <si>
    <t xml:space="preserve">RENA</t>
  </si>
  <si>
    <t xml:space="preserve">pp20</t>
  </si>
  <si>
    <t xml:space="preserve">KDSBOGOM</t>
  </si>
  <si>
    <t xml:space="preserve">INFQFD</t>
  </si>
  <si>
    <t xml:space="preserve">KCDSURBOGO</t>
  </si>
  <si>
    <t xml:space="preserve">QAIP15</t>
  </si>
  <si>
    <t xml:space="preserve">QATAR AIRWAYS INFLATAPARK 15%</t>
  </si>
  <si>
    <t xml:space="preserve">dmqnb15</t>
  </si>
  <si>
    <t xml:space="preserve">QNB</t>
  </si>
  <si>
    <t xml:space="preserve">QNB Rewards</t>
  </si>
  <si>
    <t xml:space="preserve">BSBP100</t>
  </si>
  <si>
    <t xml:space="preserve">ESBP100</t>
  </si>
  <si>
    <t xml:space="preserve">KDS entertainer 100%</t>
  </si>
  <si>
    <t xml:space="preserve">ARNA</t>
  </si>
  <si>
    <t xml:space="preserve">Aspire 15% Discount</t>
  </si>
  <si>
    <t xml:space="preserve">Aspire</t>
  </si>
  <si>
    <t xml:space="preserve">zub50</t>
  </si>
  <si>
    <t xml:space="preserve">Aspire Zubara 50%</t>
  </si>
  <si>
    <t xml:space="preserve">Aspire Carousel</t>
  </si>
  <si>
    <t xml:space="preserve">DL30</t>
  </si>
  <si>
    <t xml:space="preserve">Driving License 30%</t>
  </si>
  <si>
    <t xml:space="preserve">INFUPBOGO2</t>
  </si>
  <si>
    <t xml:space="preserve">INFUPBOGO</t>
  </si>
  <si>
    <t xml:space="preserve">URBN</t>
  </si>
  <si>
    <t xml:space="preserve">Al Jazeera Imityazat 15% Discount</t>
  </si>
  <si>
    <t xml:space="preserve">Al Jazeera Imtiyazat</t>
  </si>
  <si>
    <t xml:space="preserve">MEDIA50</t>
  </si>
  <si>
    <t xml:space="preserve">Media Experience Pass 50%</t>
  </si>
  <si>
    <t xml:space="preserve">UGOBOE</t>
  </si>
  <si>
    <t xml:space="preserve">cmin10</t>
  </si>
  <si>
    <t xml:space="preserve">10% classmate inflatarun</t>
  </si>
  <si>
    <t xml:space="preserve">KCDSAJID</t>
  </si>
  <si>
    <t xml:space="preserve">Al Jazeera Imityazat  15% Discount</t>
  </si>
  <si>
    <t xml:space="preserve">BRNA</t>
  </si>
  <si>
    <t xml:space="preserve">QIB 15% Discount</t>
  </si>
  <si>
    <t xml:space="preserve">QIB</t>
  </si>
  <si>
    <t xml:space="preserve">INFAJID</t>
  </si>
  <si>
    <t xml:space="preserve">UAQMC</t>
  </si>
  <si>
    <t xml:space="preserve">Qatar Media Corporation 15% Discount</t>
  </si>
  <si>
    <t xml:space="preserve">Qatar Media Corporation</t>
  </si>
  <si>
    <t xml:space="preserve">SCKDS</t>
  </si>
  <si>
    <t xml:space="preserve">Snoou City</t>
  </si>
  <si>
    <t xml:space="preserve">Snoonu Employees</t>
  </si>
  <si>
    <t xml:space="preserve">HMCIP15</t>
  </si>
  <si>
    <t xml:space="preserve">HMC Inflatapark 15%</t>
  </si>
  <si>
    <t xml:space="preserve">HMC (not on master)</t>
  </si>
  <si>
    <t xml:space="preserve">INFENTBOGO2</t>
  </si>
  <si>
    <t xml:space="preserve">KCDSMYBOGO</t>
  </si>
  <si>
    <t xml:space="preserve">UARE</t>
  </si>
  <si>
    <t xml:space="preserve">Bein 15% Discount</t>
  </si>
  <si>
    <t xml:space="preserve">Bein</t>
  </si>
  <si>
    <t xml:space="preserve">EHBP100</t>
  </si>
  <si>
    <t xml:space="preserve">QA15</t>
  </si>
  <si>
    <t xml:space="preserve">QATAR AIRWAYS KDS 15%</t>
  </si>
  <si>
    <t xml:space="preserve">IRDS</t>
  </si>
  <si>
    <t xml:space="preserve">buy one get one free driving school, inflatarun</t>
  </si>
  <si>
    <t xml:space="preserve">IRIP</t>
  </si>
  <si>
    <t xml:space="preserve">Buy one get one free inflatapark , inflatarun</t>
  </si>
  <si>
    <t xml:space="preserve">KCDQIA15</t>
  </si>
  <si>
    <t xml:space="preserve">Qatar Investment Authority 15% Discount</t>
  </si>
  <si>
    <t xml:space="preserve">Qatar Investment Authority</t>
  </si>
  <si>
    <t xml:space="preserve">JR15</t>
  </si>
  <si>
    <t xml:space="preserve">15% off for juiors in inflatapark</t>
  </si>
  <si>
    <t xml:space="preserve">TGI15</t>
  </si>
  <si>
    <t xml:space="preserve">TGI 15%</t>
  </si>
  <si>
    <t xml:space="preserve">TGI (not on master)</t>
  </si>
  <si>
    <t xml:space="preserve">UBOGOC</t>
  </si>
  <si>
    <t xml:space="preserve">Classmate BOGO</t>
  </si>
  <si>
    <t xml:space="preserve">Classmate</t>
  </si>
  <si>
    <t xml:space="preserve">INFAMBBOGO</t>
  </si>
  <si>
    <t xml:space="preserve">AJIP15</t>
  </si>
  <si>
    <t xml:space="preserve">AL Jazeera inflatapark 15%</t>
  </si>
  <si>
    <t xml:space="preserve">QIBIP15</t>
  </si>
  <si>
    <t xml:space="preserve">QIB INFLATAPRK 15%</t>
  </si>
  <si>
    <t xml:space="preserve">uacm50</t>
  </si>
  <si>
    <t xml:space="preserve">K9P3X</t>
  </si>
  <si>
    <t xml:space="preserve">rb20</t>
  </si>
  <si>
    <t xml:space="preserve">15off</t>
  </si>
  <si>
    <t xml:space="preserve">KCDENTEBOGO</t>
  </si>
  <si>
    <t xml:space="preserve">KCDQAIRWAYS15</t>
  </si>
  <si>
    <t xml:space="preserve">M2W7D</t>
  </si>
  <si>
    <t xml:space="preserve">UARB</t>
  </si>
  <si>
    <t xml:space="preserve">INFASPID</t>
  </si>
  <si>
    <t xml:space="preserve">INFENTBOGO</t>
  </si>
  <si>
    <t xml:space="preserve">HMC15</t>
  </si>
  <si>
    <t xml:space="preserve">HMC KDS 15%</t>
  </si>
  <si>
    <t xml:space="preserve">INFAMBBOGO2</t>
  </si>
  <si>
    <t xml:space="preserve">INFQIAD</t>
  </si>
  <si>
    <t xml:space="preserve">SCINF</t>
  </si>
  <si>
    <t xml:space="preserve">INFBEIND</t>
  </si>
  <si>
    <t xml:space="preserve">INFQIBD</t>
  </si>
  <si>
    <t xml:space="preserve">KCDSBEIND</t>
  </si>
  <si>
    <t xml:space="preserve">Bein  15% Discount</t>
  </si>
  <si>
    <t xml:space="preserve">R1Z6L</t>
  </si>
  <si>
    <t xml:space="preserve">CGOBOQ</t>
  </si>
  <si>
    <t xml:space="preserve">Qatar Living BOGO</t>
  </si>
  <si>
    <t xml:space="preserve">Qatar Living Deals</t>
  </si>
  <si>
    <t xml:space="preserve">FRND20</t>
  </si>
  <si>
    <t xml:space="preserve">KD30</t>
  </si>
  <si>
    <t xml:space="preserve">Kids driving school 30%</t>
  </si>
  <si>
    <t xml:space="preserve">RONALD15</t>
  </si>
  <si>
    <t xml:space="preserve">VIP200</t>
  </si>
  <si>
    <t xml:space="preserve">100% off for couples ticket comedy show</t>
  </si>
  <si>
    <t xml:space="preserve">dg100</t>
  </si>
  <si>
    <t xml:space="preserve">subr50</t>
  </si>
  <si>
    <t xml:space="preserve">Ahmad Client 50%</t>
  </si>
  <si>
    <t xml:space="preserve">AJ15</t>
  </si>
  <si>
    <t xml:space="preserve">AL JAZEERA KDS 15%</t>
  </si>
  <si>
    <t xml:space="preserve">GH25</t>
  </si>
  <si>
    <t xml:space="preserve">Gulf hotel staff 25% off on single ticket</t>
  </si>
  <si>
    <t xml:space="preserve">ST15</t>
  </si>
  <si>
    <t xml:space="preserve">school trip 15% off</t>
  </si>
  <si>
    <t xml:space="preserve">UAM7K2WR</t>
  </si>
  <si>
    <t xml:space="preserve">Education Above all 100%</t>
  </si>
  <si>
    <t xml:space="preserve">infqnb15</t>
  </si>
  <si>
    <t xml:space="preserve">irebogo</t>
  </si>
  <si>
    <t xml:space="preserve">A7K2P</t>
  </si>
  <si>
    <t xml:space="preserve">AREN</t>
  </si>
  <si>
    <t xml:space="preserve">Dar App by fadaat media 15% Discount</t>
  </si>
  <si>
    <t xml:space="preserve">Dar App</t>
  </si>
  <si>
    <t xml:space="preserve">Amal50</t>
  </si>
  <si>
    <t xml:space="preserve">Staff discount 50%</t>
  </si>
  <si>
    <t xml:space="preserve">IFM04NPL</t>
  </si>
  <si>
    <t xml:space="preserve">Inflatarun</t>
  </si>
  <si>
    <t xml:space="preserve">IFM0ABTP</t>
  </si>
  <si>
    <t xml:space="preserve">IFM16FIN</t>
  </si>
  <si>
    <t xml:space="preserve">IFM1GRPL</t>
  </si>
  <si>
    <t xml:space="preserve">IFM1TLPL</t>
  </si>
  <si>
    <t xml:space="preserve">IFM1ZPPL</t>
  </si>
  <si>
    <t xml:space="preserve">IFM1ZZPL</t>
  </si>
  <si>
    <t xml:space="preserve">IFM2FWPL</t>
  </si>
  <si>
    <t xml:space="preserve">IFM2VDIN</t>
  </si>
  <si>
    <t xml:space="preserve">IFM2XIPL</t>
  </si>
  <si>
    <t xml:space="preserve">IFM3TFPL</t>
  </si>
  <si>
    <t xml:space="preserve">IFM3V5IN</t>
  </si>
  <si>
    <t xml:space="preserve">IFM3ZOPL</t>
  </si>
  <si>
    <t xml:space="preserve">IFM4X2PL</t>
  </si>
  <si>
    <t xml:space="preserve">IFM6GFPL</t>
  </si>
  <si>
    <t xml:space="preserve">IFM6JKPL</t>
  </si>
  <si>
    <t xml:space="preserve">IFM6K1PL</t>
  </si>
  <si>
    <t xml:space="preserve">IFM6P7PL</t>
  </si>
  <si>
    <t xml:space="preserve">IFM6PBPL</t>
  </si>
  <si>
    <t xml:space="preserve">IFM79SPL</t>
  </si>
  <si>
    <t xml:space="preserve">IFM7NNPL</t>
  </si>
  <si>
    <t xml:space="preserve">IFM7TAIN</t>
  </si>
  <si>
    <t xml:space="preserve">IFM8HPPL</t>
  </si>
  <si>
    <t xml:space="preserve">IFM8NCIN</t>
  </si>
  <si>
    <t xml:space="preserve">IFM9CNPL</t>
  </si>
  <si>
    <t xml:space="preserve">IFM9IZPL</t>
  </si>
  <si>
    <t xml:space="preserve">IFM9NFIN</t>
  </si>
  <si>
    <t xml:space="preserve">IFM9NTPL</t>
  </si>
  <si>
    <t xml:space="preserve">IFMABKPL</t>
  </si>
  <si>
    <t xml:space="preserve">IFMB6FPL</t>
  </si>
  <si>
    <t xml:space="preserve">IFMCCMIN</t>
  </si>
  <si>
    <t xml:space="preserve">IFMDW5PL</t>
  </si>
  <si>
    <t xml:space="preserve">IFMEE3TP</t>
  </si>
  <si>
    <t xml:space="preserve">IFMELITP</t>
  </si>
  <si>
    <t xml:space="preserve">IFMEMHIN</t>
  </si>
  <si>
    <t xml:space="preserve">IFMFB3TP</t>
  </si>
  <si>
    <t xml:space="preserve">IFMFXVPL</t>
  </si>
  <si>
    <t xml:space="preserve">IFMG6OPL</t>
  </si>
  <si>
    <t xml:space="preserve">IFMGBEPL</t>
  </si>
  <si>
    <t xml:space="preserve">IFMGD7IN</t>
  </si>
  <si>
    <t xml:space="preserve">IFMGLHTP</t>
  </si>
  <si>
    <t xml:space="preserve">IFMHLDPL</t>
  </si>
  <si>
    <t xml:space="preserve">IFMI2VPL</t>
  </si>
  <si>
    <t xml:space="preserve">IFMI2XPL</t>
  </si>
  <si>
    <t xml:space="preserve">IFMI8OIN</t>
  </si>
  <si>
    <t xml:space="preserve">IFMISWIN</t>
  </si>
  <si>
    <t xml:space="preserve">IFMJNSPL</t>
  </si>
  <si>
    <t xml:space="preserve">IFMK28PL</t>
  </si>
  <si>
    <t xml:space="preserve">IFMK9WIN</t>
  </si>
  <si>
    <t xml:space="preserve">IFMKJ1PL</t>
  </si>
  <si>
    <t xml:space="preserve">IFML96IN</t>
  </si>
  <si>
    <t xml:space="preserve">IFMLH4PL</t>
  </si>
  <si>
    <t xml:space="preserve">IFMM3PIN</t>
  </si>
  <si>
    <t xml:space="preserve">IFMMZXPL</t>
  </si>
  <si>
    <t xml:space="preserve">IFMN6DTP</t>
  </si>
  <si>
    <t xml:space="preserve">IFMNF2TP</t>
  </si>
  <si>
    <t xml:space="preserve">IFMNHHPL</t>
  </si>
  <si>
    <t xml:space="preserve">IFMOBSTP</t>
  </si>
  <si>
    <t xml:space="preserve">IFMODKIN</t>
  </si>
  <si>
    <t xml:space="preserve">IFMOSBPL</t>
  </si>
  <si>
    <t xml:space="preserve">IFMPL0PL</t>
  </si>
  <si>
    <t xml:space="preserve">IFMPOGIN</t>
  </si>
  <si>
    <t xml:space="preserve">IFMQ7XPL</t>
  </si>
  <si>
    <t xml:space="preserve">IFMRZLIN</t>
  </si>
  <si>
    <t xml:space="preserve">IFMSF0PL</t>
  </si>
  <si>
    <t xml:space="preserve">IFMTHHPL</t>
  </si>
  <si>
    <t xml:space="preserve">IFMTRVPL</t>
  </si>
  <si>
    <t xml:space="preserve">IFMTW9IN</t>
  </si>
  <si>
    <t xml:space="preserve">IFMU1NIN</t>
  </si>
  <si>
    <t xml:space="preserve">IFMU34TP</t>
  </si>
  <si>
    <t xml:space="preserve">IFMUA6PL</t>
  </si>
  <si>
    <t xml:space="preserve">IFMUAUPL</t>
  </si>
  <si>
    <t xml:space="preserve">IFMUCRTP</t>
  </si>
  <si>
    <t xml:space="preserve">IFMUE8IN</t>
  </si>
  <si>
    <t xml:space="preserve">IFMVFTIN</t>
  </si>
  <si>
    <t xml:space="preserve">IFMW3XPL</t>
  </si>
  <si>
    <t xml:space="preserve">IFMWUVPL</t>
  </si>
  <si>
    <t xml:space="preserve">IFMWW5PL</t>
  </si>
  <si>
    <t xml:space="preserve">IFMXIGTP</t>
  </si>
  <si>
    <t xml:space="preserve">IFMXR8PL</t>
  </si>
  <si>
    <t xml:space="preserve">IFMXXFPL</t>
  </si>
  <si>
    <t xml:space="preserve">IFMY8OTP</t>
  </si>
  <si>
    <t xml:space="preserve">IFMYACPL</t>
  </si>
  <si>
    <t xml:space="preserve">IFMYHYIN</t>
  </si>
  <si>
    <t xml:space="preserve">IFMYMSPL</t>
  </si>
  <si>
    <t xml:space="preserve">IFMYZEIN</t>
  </si>
  <si>
    <t xml:space="preserve">IFMZ5ITP</t>
  </si>
  <si>
    <t xml:space="preserve">IFMZLITP</t>
  </si>
  <si>
    <t xml:space="preserve">INF5X9L</t>
  </si>
  <si>
    <t xml:space="preserve">Yallatoys Influencer</t>
  </si>
  <si>
    <t xml:space="preserve">INF8Q7M</t>
  </si>
  <si>
    <t xml:space="preserve">INF9X5A</t>
  </si>
  <si>
    <t xml:space="preserve">INFK6F2</t>
  </si>
  <si>
    <t xml:space="preserve">INFM8Q4</t>
  </si>
  <si>
    <t xml:space="preserve">INFP4A6</t>
  </si>
  <si>
    <t xml:space="preserve">INFQMCD</t>
  </si>
  <si>
    <t xml:space="preserve">INFR2K8</t>
  </si>
  <si>
    <t xml:space="preserve">INFR7Z2</t>
  </si>
  <si>
    <t xml:space="preserve">INFZ3R9</t>
  </si>
  <si>
    <t xml:space="preserve">K2C4DS</t>
  </si>
  <si>
    <t xml:space="preserve">Free Pass Mazaji</t>
  </si>
  <si>
    <t xml:space="preserve">KCDSASPID</t>
  </si>
  <si>
    <t xml:space="preserve">Aspire  15% Discount</t>
  </si>
  <si>
    <t xml:space="preserve">KDS100FP</t>
  </si>
  <si>
    <t xml:space="preserve">Mr. Adil 100%</t>
  </si>
  <si>
    <t xml:space="preserve">KDSA5K8</t>
  </si>
  <si>
    <t xml:space="preserve">KDSBOGOE</t>
  </si>
  <si>
    <t xml:space="preserve">KDSBOGOU</t>
  </si>
  <si>
    <t xml:space="preserve">KDSZ2M7</t>
  </si>
  <si>
    <t xml:space="preserve">MC11F2KD</t>
  </si>
  <si>
    <t xml:space="preserve">Flat 100 off on total order</t>
  </si>
  <si>
    <t xml:space="preserve">MC91G3KD</t>
  </si>
  <si>
    <t xml:space="preserve">MCA4K1IP</t>
  </si>
  <si>
    <t xml:space="preserve">OMINFP</t>
  </si>
  <si>
    <t xml:space="preserve">YallaToys VIP Guest</t>
  </si>
  <si>
    <t xml:space="preserve">OMKDFP</t>
  </si>
  <si>
    <t xml:space="preserve">SCCNB</t>
  </si>
  <si>
    <t xml:space="preserve">STFPHILBUB</t>
  </si>
  <si>
    <t xml:space="preserve">Staff Requested Promocode</t>
  </si>
  <si>
    <t xml:space="preserve">STFPIRJMLD</t>
  </si>
  <si>
    <t xml:space="preserve">VIP100</t>
  </si>
  <si>
    <t xml:space="preserve">100% off for comedy show</t>
  </si>
  <si>
    <t xml:space="preserve">YFP1</t>
  </si>
  <si>
    <t xml:space="preserve">Yallatoys Family Pass 100%</t>
  </si>
  <si>
    <t xml:space="preserve">bd20</t>
  </si>
  <si>
    <t xml:space="preserve">urban arena birthday 20%</t>
  </si>
  <si>
    <t xml:space="preserve">inf2512</t>
  </si>
  <si>
    <t xml:space="preserve">12</t>
  </si>
  <si>
    <t xml:space="preserve">qus7</t>
  </si>
  <si>
    <t xml:space="preserve">Quasain 50%"</t>
  </si>
  <si>
    <t xml:space="preserve">1172025</t>
  </si>
  <si>
    <t xml:space="preserve">Inflata Park 7 Family Pass with 20% discount = 1400 QAR</t>
  </si>
  <si>
    <t xml:space="preserve">2025-07</t>
  </si>
  <si>
    <t xml:space="preserve">2172025</t>
  </si>
  <si>
    <t xml:space="preserve">Kids Driving:  7 Super Buddy Pass 20% discount = 1260</t>
  </si>
  <si>
    <t xml:space="preserve">AIC20</t>
  </si>
  <si>
    <t xml:space="preserve">2025-08</t>
  </si>
  <si>
    <t xml:space="preserve">AIP15</t>
  </si>
  <si>
    <t xml:space="preserve">ASPIRE InflataPark 15%</t>
  </si>
  <si>
    <t xml:space="preserve">AJIIC20</t>
  </si>
  <si>
    <t xml:space="preserve">ALARAB1</t>
  </si>
  <si>
    <t xml:space="preserve">2023-03</t>
  </si>
  <si>
    <t xml:space="preserve">ALZ15</t>
  </si>
  <si>
    <t xml:space="preserve">Al Jazeera 15% discount</t>
  </si>
  <si>
    <t xml:space="preserve">ANH23</t>
  </si>
  <si>
    <t xml:space="preserve">ASG10</t>
  </si>
  <si>
    <t xml:space="preserve">AlShaya group 10% discount</t>
  </si>
  <si>
    <t xml:space="preserve">2025-06</t>
  </si>
  <si>
    <t xml:space="preserve">ASG20</t>
  </si>
  <si>
    <t xml:space="preserve">alshaya group 20% discount</t>
  </si>
  <si>
    <t xml:space="preserve">Ahmad20</t>
  </si>
  <si>
    <t xml:space="preserve">Ahmad 20% off</t>
  </si>
  <si>
    <t xml:space="preserve">2024-12</t>
  </si>
  <si>
    <t xml:space="preserve">BE10</t>
  </si>
  <si>
    <t xml:space="preserve">Bein Sports 10% Discount</t>
  </si>
  <si>
    <t xml:space="preserve">BE20</t>
  </si>
  <si>
    <t xml:space="preserve">Bein Sports 20% Discount</t>
  </si>
  <si>
    <t xml:space="preserve">BINUCH1</t>
  </si>
  <si>
    <t xml:space="preserve">BNSIC20</t>
  </si>
  <si>
    <t xml:space="preserve">BSNSCLS</t>
  </si>
  <si>
    <t xml:space="preserve">BUSINF1</t>
  </si>
  <si>
    <t xml:space="preserve">BUSINF2</t>
  </si>
  <si>
    <t xml:space="preserve">CG100</t>
  </si>
  <si>
    <t xml:space="preserve">CIC20</t>
  </si>
  <si>
    <t xml:space="preserve">CM3</t>
  </si>
  <si>
    <t xml:space="preserve">3% class mate discount on family pass</t>
  </si>
  <si>
    <t xml:space="preserve">CM6</t>
  </si>
  <si>
    <t xml:space="preserve">6% classmate discount on inflatapass</t>
  </si>
  <si>
    <t xml:space="preserve">CNB5</t>
  </si>
  <si>
    <t xml:space="preserve">2023-09</t>
  </si>
  <si>
    <t xml:space="preserve">DAIC20</t>
  </si>
  <si>
    <t xml:space="preserve">DG50</t>
  </si>
  <si>
    <t xml:space="preserve">Disability group 50% Inflatapass</t>
  </si>
  <si>
    <t xml:space="preserve">DIAINF</t>
  </si>
  <si>
    <t xml:space="preserve">DOHMTH23</t>
  </si>
  <si>
    <t xml:space="preserve">DOHTNG</t>
  </si>
  <si>
    <t xml:space="preserve">FLAENT</t>
  </si>
  <si>
    <t xml:space="preserve">FRND15</t>
  </si>
  <si>
    <t xml:space="preserve">For Team's Friends</t>
  </si>
  <si>
    <t xml:space="preserve">GCCIC</t>
  </si>
  <si>
    <t xml:space="preserve">graffiters 10% off</t>
  </si>
  <si>
    <t xml:space="preserve">GHNWKDS1</t>
  </si>
  <si>
    <t xml:space="preserve">GREEN</t>
  </si>
  <si>
    <t xml:space="preserve">20% for Green Valley</t>
  </si>
  <si>
    <t xml:space="preserve">HHGTY5</t>
  </si>
  <si>
    <t xml:space="preserve">HKGJK4</t>
  </si>
  <si>
    <t xml:space="preserve">HMC10</t>
  </si>
  <si>
    <t xml:space="preserve">Hamad hospital 10% discount</t>
  </si>
  <si>
    <t xml:space="preserve">HMC20</t>
  </si>
  <si>
    <t xml:space="preserve">Hamad Hospital 20% discount</t>
  </si>
  <si>
    <t xml:space="preserve">HMCIC20</t>
  </si>
  <si>
    <t xml:space="preserve">HRCHK1</t>
  </si>
  <si>
    <t xml:space="preserve">HRCHK2</t>
  </si>
  <si>
    <t xml:space="preserve">HRYR1</t>
  </si>
  <si>
    <t xml:space="preserve">ICAHMAD</t>
  </si>
  <si>
    <t xml:space="preserve">Family Pass 20% off</t>
  </si>
  <si>
    <t xml:space="preserve">2024-07</t>
  </si>
  <si>
    <t xml:space="preserve">ICC5</t>
  </si>
  <si>
    <t xml:space="preserve">InfaltaCafe - InfaltaCity 50%</t>
  </si>
  <si>
    <t xml:space="preserve">ICVD</t>
  </si>
  <si>
    <t xml:space="preserve">50% DISCOUNT FOR VENDORS</t>
  </si>
  <si>
    <t xml:space="preserve">IFC013DP</t>
  </si>
  <si>
    <t xml:space="preserve">Single Entry</t>
  </si>
  <si>
    <t xml:space="preserve">IFC02LFP</t>
  </si>
  <si>
    <t xml:space="preserve">Family Day Pass</t>
  </si>
  <si>
    <t xml:space="preserve">2024-06</t>
  </si>
  <si>
    <t xml:space="preserve">IFC0Q8DP</t>
  </si>
  <si>
    <t xml:space="preserve">IFC0XKDP</t>
  </si>
  <si>
    <t xml:space="preserve">IFC108DP</t>
  </si>
  <si>
    <t xml:space="preserve">IFC17HFP</t>
  </si>
  <si>
    <t xml:space="preserve">IFC1PPFP</t>
  </si>
  <si>
    <t xml:space="preserve">IFC1TVDP</t>
  </si>
  <si>
    <t xml:space="preserve">IFC1ULDP</t>
  </si>
  <si>
    <t xml:space="preserve">IFC2MXDP</t>
  </si>
  <si>
    <t xml:space="preserve">IFC2MYDP</t>
  </si>
  <si>
    <t xml:space="preserve">IFC2Q9DP</t>
  </si>
  <si>
    <t xml:space="preserve">IFC2SEFP</t>
  </si>
  <si>
    <t xml:space="preserve">IFC2YQFP</t>
  </si>
  <si>
    <t xml:space="preserve">IFC35RDP</t>
  </si>
  <si>
    <t xml:space="preserve">IFC3AKDP</t>
  </si>
  <si>
    <t xml:space="preserve">IFC3JMDP</t>
  </si>
  <si>
    <t xml:space="preserve">IFC3VJFP</t>
  </si>
  <si>
    <t xml:space="preserve">IFC3VUFP</t>
  </si>
  <si>
    <t xml:space="preserve">IFC3VYFP</t>
  </si>
  <si>
    <t xml:space="preserve">IFC44KFP</t>
  </si>
  <si>
    <t xml:space="preserve">IFC4LKFP</t>
  </si>
  <si>
    <t xml:space="preserve">IFC4QYFP</t>
  </si>
  <si>
    <t xml:space="preserve">IFC4UADP</t>
  </si>
  <si>
    <t xml:space="preserve">IFC4YNFP</t>
  </si>
  <si>
    <t xml:space="preserve">IFC50JDP</t>
  </si>
  <si>
    <t xml:space="preserve">IFC50KDP</t>
  </si>
  <si>
    <t xml:space="preserve">IFC51ODP</t>
  </si>
  <si>
    <t xml:space="preserve">IFC53YDP</t>
  </si>
  <si>
    <t xml:space="preserve">IFC54OFP</t>
  </si>
  <si>
    <t xml:space="preserve">IFC58KDP</t>
  </si>
  <si>
    <t xml:space="preserve">IFC5J2DP</t>
  </si>
  <si>
    <t xml:space="preserve">IFC5L9DP</t>
  </si>
  <si>
    <t xml:space="preserve">IFC5MQDP</t>
  </si>
  <si>
    <t xml:space="preserve">IFC5TNFP</t>
  </si>
  <si>
    <t xml:space="preserve">IFC616FP</t>
  </si>
  <si>
    <t xml:space="preserve">IFC63VDP</t>
  </si>
  <si>
    <t xml:space="preserve">IFC6AKFP</t>
  </si>
  <si>
    <t xml:space="preserve">IFC6CIDP</t>
  </si>
  <si>
    <t xml:space="preserve">IFC6CJFP</t>
  </si>
  <si>
    <t xml:space="preserve">IFC6DGDP</t>
  </si>
  <si>
    <t xml:space="preserve">IFC6HJDP</t>
  </si>
  <si>
    <t xml:space="preserve">IFC6I9DP</t>
  </si>
  <si>
    <t xml:space="preserve">IFC6JHDP</t>
  </si>
  <si>
    <t xml:space="preserve">IFC6OHDP</t>
  </si>
  <si>
    <t xml:space="preserve">IFC77DFP</t>
  </si>
  <si>
    <t xml:space="preserve">IFC7BODP</t>
  </si>
  <si>
    <t xml:space="preserve">IFC7GUFP</t>
  </si>
  <si>
    <t xml:space="preserve">IFC7O1DP</t>
  </si>
  <si>
    <t xml:space="preserve">IFC7UEDP</t>
  </si>
  <si>
    <t xml:space="preserve">IFC7WGDP</t>
  </si>
  <si>
    <t xml:space="preserve">IFC87FDP</t>
  </si>
  <si>
    <t xml:space="preserve">IFC890DP</t>
  </si>
  <si>
    <t xml:space="preserve">IFC8JCDP</t>
  </si>
  <si>
    <t xml:space="preserve">IFC8MBFP</t>
  </si>
  <si>
    <t xml:space="preserve">IFC8SHVP</t>
  </si>
  <si>
    <t xml:space="preserve">Day Pass</t>
  </si>
  <si>
    <t xml:space="preserve">IFC8ZJDP</t>
  </si>
  <si>
    <t xml:space="preserve">IFC94XDP</t>
  </si>
  <si>
    <t xml:space="preserve">IFC9HKDP</t>
  </si>
  <si>
    <t xml:space="preserve">IFC9JEFP</t>
  </si>
  <si>
    <t xml:space="preserve">IFC9PODP</t>
  </si>
  <si>
    <t xml:space="preserve">IFC9RCDP</t>
  </si>
  <si>
    <t xml:space="preserve">IFC9WZFP</t>
  </si>
  <si>
    <t xml:space="preserve">IFCA75DP</t>
  </si>
  <si>
    <t xml:space="preserve">IFCAEIDP</t>
  </si>
  <si>
    <t xml:space="preserve">IFCAEYDP</t>
  </si>
  <si>
    <t xml:space="preserve">IFCAJAFP</t>
  </si>
  <si>
    <t xml:space="preserve">IFCAPBFP</t>
  </si>
  <si>
    <t xml:space="preserve">IFCAWXDP</t>
  </si>
  <si>
    <t xml:space="preserve">IFCAZ3FP</t>
  </si>
  <si>
    <t xml:space="preserve">IFCB6CFP</t>
  </si>
  <si>
    <t xml:space="preserve">IFCB7MDP</t>
  </si>
  <si>
    <t xml:space="preserve">IFCBD1DP</t>
  </si>
  <si>
    <t xml:space="preserve">IFCBGNDP</t>
  </si>
  <si>
    <t xml:space="preserve">IFCBTDDP</t>
  </si>
  <si>
    <t xml:space="preserve">IFCBW1DP</t>
  </si>
  <si>
    <t xml:space="preserve">IFCC0GDP</t>
  </si>
  <si>
    <t xml:space="preserve">IFCCE9FP</t>
  </si>
  <si>
    <t xml:space="preserve">IFCCMVFP</t>
  </si>
  <si>
    <t xml:space="preserve">IFCCPRDP</t>
  </si>
  <si>
    <t xml:space="preserve">IFCCVHDP</t>
  </si>
  <si>
    <t xml:space="preserve">IFCD3YDP</t>
  </si>
  <si>
    <t xml:space="preserve">IFCD6LDP</t>
  </si>
  <si>
    <t xml:space="preserve">IFCDATDP</t>
  </si>
  <si>
    <t xml:space="preserve">IFCDE3DP</t>
  </si>
  <si>
    <t xml:space="preserve">IFCDKLFP</t>
  </si>
  <si>
    <t xml:space="preserve">IFCDMHDP</t>
  </si>
  <si>
    <t xml:space="preserve">IFCDNTDP</t>
  </si>
  <si>
    <t xml:space="preserve">IFCDPLFP</t>
  </si>
  <si>
    <t xml:space="preserve">IFCDQVDP</t>
  </si>
  <si>
    <t xml:space="preserve">IFCDRUFP</t>
  </si>
  <si>
    <t xml:space="preserve">IFCDVRDP</t>
  </si>
  <si>
    <t xml:space="preserve">IFCDWDDP</t>
  </si>
  <si>
    <t xml:space="preserve">IFCE3YDP</t>
  </si>
  <si>
    <t xml:space="preserve">IFCEBGDP</t>
  </si>
  <si>
    <t xml:space="preserve">IFCEQ1DP</t>
  </si>
  <si>
    <t xml:space="preserve">IFCEUYDP</t>
  </si>
  <si>
    <t xml:space="preserve">IFCEY3FP</t>
  </si>
  <si>
    <t xml:space="preserve">IFCEY5DP</t>
  </si>
  <si>
    <t xml:space="preserve">IFCF1YFP</t>
  </si>
  <si>
    <t xml:space="preserve">IFCF80FP</t>
  </si>
  <si>
    <t xml:space="preserve">IFCF9LFP</t>
  </si>
  <si>
    <t xml:space="preserve">IFCFBFDP</t>
  </si>
  <si>
    <t xml:space="preserve">IFCFCXDP</t>
  </si>
  <si>
    <t xml:space="preserve">IFCFDYDP</t>
  </si>
  <si>
    <t xml:space="preserve">IFCFE1FP</t>
  </si>
  <si>
    <t xml:space="preserve">IFCFNUDP</t>
  </si>
  <si>
    <t xml:space="preserve">IFCFOYDP</t>
  </si>
  <si>
    <t xml:space="preserve">IFCFQIDP</t>
  </si>
  <si>
    <t xml:space="preserve">IFCFUVDP</t>
  </si>
  <si>
    <t xml:space="preserve">IFCFVJDP</t>
  </si>
  <si>
    <t xml:space="preserve">IFCFX9FP</t>
  </si>
  <si>
    <t xml:space="preserve">IFCFXLDP</t>
  </si>
  <si>
    <t xml:space="preserve">IFCFYSFP</t>
  </si>
  <si>
    <t xml:space="preserve">IFCG23FP</t>
  </si>
  <si>
    <t xml:space="preserve">IFCG2XDP</t>
  </si>
  <si>
    <t xml:space="preserve">IFCG3GFP</t>
  </si>
  <si>
    <t xml:space="preserve">IFCG6KDP</t>
  </si>
  <si>
    <t xml:space="preserve">IFCG8RFP</t>
  </si>
  <si>
    <t xml:space="preserve">IFCG9GDP</t>
  </si>
  <si>
    <t xml:space="preserve">IFCGHEFP</t>
  </si>
  <si>
    <t xml:space="preserve">IFCGJBFP</t>
  </si>
  <si>
    <t xml:space="preserve">IFCGOUDP</t>
  </si>
  <si>
    <t xml:space="preserve">IFCGZFDP</t>
  </si>
  <si>
    <t xml:space="preserve">IFCH06DP</t>
  </si>
  <si>
    <t xml:space="preserve">IFCH6KDP</t>
  </si>
  <si>
    <t xml:space="preserve">IFCH6KFP</t>
  </si>
  <si>
    <t xml:space="preserve">IFCH6LFP</t>
  </si>
  <si>
    <t xml:space="preserve">IFCH9LDP</t>
  </si>
  <si>
    <t xml:space="preserve">IFCHB0DP</t>
  </si>
  <si>
    <t xml:space="preserve">IFCHBZDP</t>
  </si>
  <si>
    <t xml:space="preserve">IFCHDQDP</t>
  </si>
  <si>
    <t xml:space="preserve">IFCHG4DP</t>
  </si>
  <si>
    <t xml:space="preserve">IFCHHFFP</t>
  </si>
  <si>
    <t xml:space="preserve">IFCHL1DP</t>
  </si>
  <si>
    <t xml:space="preserve">IFCHO4FP</t>
  </si>
  <si>
    <t xml:space="preserve">IFCHXSDP</t>
  </si>
  <si>
    <t xml:space="preserve">IFCHZHDP</t>
  </si>
  <si>
    <t xml:space="preserve">IFCHZZDP</t>
  </si>
  <si>
    <t xml:space="preserve">IFCIDJFP</t>
  </si>
  <si>
    <t xml:space="preserve">IFCIDSFP</t>
  </si>
  <si>
    <t xml:space="preserve">IFCIG5FP</t>
  </si>
  <si>
    <t xml:space="preserve">IFCIMJDP</t>
  </si>
  <si>
    <t xml:space="preserve">IFCIT3FP</t>
  </si>
  <si>
    <t xml:space="preserve">IFCIU4DP</t>
  </si>
  <si>
    <t xml:space="preserve">IFCJ18DP</t>
  </si>
  <si>
    <t xml:space="preserve">IFCJ2CFP</t>
  </si>
  <si>
    <t xml:space="preserve">IFCJDZDP</t>
  </si>
  <si>
    <t xml:space="preserve">IFCJF0DP</t>
  </si>
  <si>
    <t xml:space="preserve">IFCJFEDP</t>
  </si>
  <si>
    <t xml:space="preserve">IFCJNTDP</t>
  </si>
  <si>
    <t xml:space="preserve">IFCJOSDP</t>
  </si>
  <si>
    <t xml:space="preserve">IFCJV3DP</t>
  </si>
  <si>
    <t xml:space="preserve">IFCJZEDP</t>
  </si>
  <si>
    <t xml:space="preserve">IFCJZIFP</t>
  </si>
  <si>
    <t xml:space="preserve">IFCK1UFP</t>
  </si>
  <si>
    <t xml:space="preserve">IFCK2XDP</t>
  </si>
  <si>
    <t xml:space="preserve">IFCK6NDP</t>
  </si>
  <si>
    <t xml:space="preserve">IFCKDHDP</t>
  </si>
  <si>
    <t xml:space="preserve">IFCKFUFP</t>
  </si>
  <si>
    <t xml:space="preserve">IFCKIRDP</t>
  </si>
  <si>
    <t xml:space="preserve">IFCKNADP</t>
  </si>
  <si>
    <t xml:space="preserve">IFCKPGDP</t>
  </si>
  <si>
    <t xml:space="preserve">IFCKRDDP</t>
  </si>
  <si>
    <t xml:space="preserve">IFCKRJDP</t>
  </si>
  <si>
    <t xml:space="preserve">IFCKVBDP</t>
  </si>
  <si>
    <t xml:space="preserve">IFCKWJDP</t>
  </si>
  <si>
    <t xml:space="preserve">IFCL01DP</t>
  </si>
  <si>
    <t xml:space="preserve">IFCL19DP</t>
  </si>
  <si>
    <t xml:space="preserve">IFCL6ZDP</t>
  </si>
  <si>
    <t xml:space="preserve">IFCLBUFP</t>
  </si>
  <si>
    <t xml:space="preserve">IFCLDBDP</t>
  </si>
  <si>
    <t xml:space="preserve">IFCLDNDP</t>
  </si>
  <si>
    <t xml:space="preserve">IFCLLWDP</t>
  </si>
  <si>
    <t xml:space="preserve">IFCLM7DP</t>
  </si>
  <si>
    <t xml:space="preserve">IFCLQJDP</t>
  </si>
  <si>
    <t xml:space="preserve">IFCLV4FP</t>
  </si>
  <si>
    <t xml:space="preserve">IFCLW0DP</t>
  </si>
  <si>
    <t xml:space="preserve">IFCM6PDP</t>
  </si>
  <si>
    <t xml:space="preserve">IFCM7NFP</t>
  </si>
  <si>
    <t xml:space="preserve">IFCM7TDP</t>
  </si>
  <si>
    <t xml:space="preserve">IFCM96FP</t>
  </si>
  <si>
    <t xml:space="preserve">IFCMDRDP</t>
  </si>
  <si>
    <t xml:space="preserve">IFCMSUDP</t>
  </si>
  <si>
    <t xml:space="preserve">IFCMTRDP</t>
  </si>
  <si>
    <t xml:space="preserve">IFCN2ZDP</t>
  </si>
  <si>
    <t xml:space="preserve">IFCN4IDP</t>
  </si>
  <si>
    <t xml:space="preserve">IFCN5RDP</t>
  </si>
  <si>
    <t xml:space="preserve">IFCN7CFP</t>
  </si>
  <si>
    <t xml:space="preserve">IFCN9LDP</t>
  </si>
  <si>
    <t xml:space="preserve">IFCNAIDP</t>
  </si>
  <si>
    <t xml:space="preserve">IFCNCYDP</t>
  </si>
  <si>
    <t xml:space="preserve">IFCNFLDP</t>
  </si>
  <si>
    <t xml:space="preserve">IFCNHRDP</t>
  </si>
  <si>
    <t xml:space="preserve">IFCNIADP</t>
  </si>
  <si>
    <t xml:space="preserve">IFCNJCDP</t>
  </si>
  <si>
    <t xml:space="preserve">IFCNLWDP</t>
  </si>
  <si>
    <t xml:space="preserve">IFCNPFDP</t>
  </si>
  <si>
    <t xml:space="preserve">IFCNVRFP</t>
  </si>
  <si>
    <t xml:space="preserve">IFCO4KFP</t>
  </si>
  <si>
    <t xml:space="preserve">IFCO6XDP</t>
  </si>
  <si>
    <t xml:space="preserve">IFCO80FP</t>
  </si>
  <si>
    <t xml:space="preserve">IFCOADFP</t>
  </si>
  <si>
    <t xml:space="preserve">IFCOC3VP</t>
  </si>
  <si>
    <t xml:space="preserve">IFCOHGDP</t>
  </si>
  <si>
    <t xml:space="preserve">IFCOR2FP</t>
  </si>
  <si>
    <t xml:space="preserve">IFCORBFP</t>
  </si>
  <si>
    <t xml:space="preserve">IFCOUADP</t>
  </si>
  <si>
    <t xml:space="preserve">IFCOXBDP</t>
  </si>
  <si>
    <t xml:space="preserve">IFCP25FP</t>
  </si>
  <si>
    <t xml:space="preserve">IFCP4EDP</t>
  </si>
  <si>
    <t xml:space="preserve">IFCP7BDP</t>
  </si>
  <si>
    <t xml:space="preserve">IFCPRWDP</t>
  </si>
  <si>
    <t xml:space="preserve">IFCPSPFP</t>
  </si>
  <si>
    <t xml:space="preserve">IFCPT5DP</t>
  </si>
  <si>
    <t xml:space="preserve">IFCPTTVP</t>
  </si>
  <si>
    <t xml:space="preserve">IFCPU3DP</t>
  </si>
  <si>
    <t xml:space="preserve">IFCPVGDP</t>
  </si>
  <si>
    <t xml:space="preserve">IFCQ4WDP</t>
  </si>
  <si>
    <t xml:space="preserve">IFCQBJDP</t>
  </si>
  <si>
    <t xml:space="preserve">IFCQFJDP</t>
  </si>
  <si>
    <t xml:space="preserve">IFCQIRFP</t>
  </si>
  <si>
    <t xml:space="preserve">IFCQJ1DP</t>
  </si>
  <si>
    <t xml:space="preserve">IFCQK6FP</t>
  </si>
  <si>
    <t xml:space="preserve">IFCQOGFP</t>
  </si>
  <si>
    <t xml:space="preserve">IFCQSRFP</t>
  </si>
  <si>
    <t xml:space="preserve">IFCQWZDP</t>
  </si>
  <si>
    <t xml:space="preserve">IFCQXZFP</t>
  </si>
  <si>
    <t xml:space="preserve">IFCRAUDP</t>
  </si>
  <si>
    <t xml:space="preserve">IFCREIFP</t>
  </si>
  <si>
    <t xml:space="preserve">IFCRHTFP</t>
  </si>
  <si>
    <t xml:space="preserve">IFCRMYDP</t>
  </si>
  <si>
    <t xml:space="preserve">IFCRVGFP</t>
  </si>
  <si>
    <t xml:space="preserve">IFCRVSVP</t>
  </si>
  <si>
    <t xml:space="preserve">IFCS3UDP</t>
  </si>
  <si>
    <t xml:space="preserve">IFCS52DP</t>
  </si>
  <si>
    <t xml:space="preserve">IFCS5OFP</t>
  </si>
  <si>
    <t xml:space="preserve">IFCS9TFP</t>
  </si>
  <si>
    <t xml:space="preserve">IFCSBZFP</t>
  </si>
  <si>
    <t xml:space="preserve">IFCSEMDP</t>
  </si>
  <si>
    <t xml:space="preserve">IFCT4PDP</t>
  </si>
  <si>
    <t xml:space="preserve">IFCT4RDP</t>
  </si>
  <si>
    <t xml:space="preserve">IFCT57DP</t>
  </si>
  <si>
    <t xml:space="preserve">IFCT6EDP</t>
  </si>
  <si>
    <t xml:space="preserve">IFCTLJFP</t>
  </si>
  <si>
    <t xml:space="preserve">IFCTNCFP</t>
  </si>
  <si>
    <t xml:space="preserve">IFCTO8DP</t>
  </si>
  <si>
    <t xml:space="preserve">IFCTOQFP</t>
  </si>
  <si>
    <t xml:space="preserve">IFCU51DP</t>
  </si>
  <si>
    <t xml:space="preserve">IFCUDKFP</t>
  </si>
  <si>
    <t xml:space="preserve">IFCUEZDP</t>
  </si>
  <si>
    <t xml:space="preserve">IFCUI1DP</t>
  </si>
  <si>
    <t xml:space="preserve">IFCUNEDP</t>
  </si>
  <si>
    <t xml:space="preserve">IFCUO4FP</t>
  </si>
  <si>
    <t xml:space="preserve">IFCUT4DP</t>
  </si>
  <si>
    <t xml:space="preserve">IFCUZUDP</t>
  </si>
  <si>
    <t xml:space="preserve">IFCV5UDP</t>
  </si>
  <si>
    <t xml:space="preserve">IFCV8FFP</t>
  </si>
  <si>
    <t xml:space="preserve">IFCVNRFP</t>
  </si>
  <si>
    <t xml:space="preserve">IFCVPCFP</t>
  </si>
  <si>
    <t xml:space="preserve">IFCVSRDP</t>
  </si>
  <si>
    <t xml:space="preserve">IFCW4VDP</t>
  </si>
  <si>
    <t xml:space="preserve">IFCW7DFP</t>
  </si>
  <si>
    <t xml:space="preserve">IFCWC5DP</t>
  </si>
  <si>
    <t xml:space="preserve">IFCWJADP</t>
  </si>
  <si>
    <t xml:space="preserve">IFCWKWDP</t>
  </si>
  <si>
    <t xml:space="preserve">IFCWPCDP</t>
  </si>
  <si>
    <t xml:space="preserve">IFCX4TDP</t>
  </si>
  <si>
    <t xml:space="preserve">IFCXHGDP</t>
  </si>
  <si>
    <t xml:space="preserve">IFCXKBDP</t>
  </si>
  <si>
    <t xml:space="preserve">IFCXMSDP</t>
  </si>
  <si>
    <t xml:space="preserve">IFCXN0DP</t>
  </si>
  <si>
    <t xml:space="preserve">IFCXOUDP</t>
  </si>
  <si>
    <t xml:space="preserve">IFCXP5DP</t>
  </si>
  <si>
    <t xml:space="preserve">IFCXS4DP</t>
  </si>
  <si>
    <t xml:space="preserve">IFCXSSDP</t>
  </si>
  <si>
    <t xml:space="preserve">IFCXV7DP</t>
  </si>
  <si>
    <t xml:space="preserve">IFCXY8DP</t>
  </si>
  <si>
    <t xml:space="preserve">IFCY6MDP</t>
  </si>
  <si>
    <t xml:space="preserve">IFCYIFFP</t>
  </si>
  <si>
    <t xml:space="preserve">IFCYIWDP</t>
  </si>
  <si>
    <t xml:space="preserve">IFCYKBDP</t>
  </si>
  <si>
    <t xml:space="preserve">IFCYLCFP</t>
  </si>
  <si>
    <t xml:space="preserve">IFCYLHDP</t>
  </si>
  <si>
    <t xml:space="preserve">IFCYMWFP</t>
  </si>
  <si>
    <t xml:space="preserve">IFCYSCDP</t>
  </si>
  <si>
    <t xml:space="preserve">IFCZ5JDP</t>
  </si>
  <si>
    <t xml:space="preserve">IFCZ5UDP</t>
  </si>
  <si>
    <t xml:space="preserve">IFCZ7HDP</t>
  </si>
  <si>
    <t xml:space="preserve">IFCZCYDP</t>
  </si>
  <si>
    <t xml:space="preserve">IFCZF9FP</t>
  </si>
  <si>
    <t xml:space="preserve">IFCZFIDP</t>
  </si>
  <si>
    <t xml:space="preserve">IFCZHZDP</t>
  </si>
  <si>
    <t xml:space="preserve">IFCZKODP</t>
  </si>
  <si>
    <t xml:space="preserve">IFCZOEFP</t>
  </si>
  <si>
    <t xml:space="preserve">IFCZPDDP</t>
  </si>
  <si>
    <t xml:space="preserve">IFCZTHFP</t>
  </si>
  <si>
    <t xml:space="preserve">IFCZTPDP</t>
  </si>
  <si>
    <t xml:space="preserve">ILQW1</t>
  </si>
  <si>
    <t xml:space="preserve">ILQW10</t>
  </si>
  <si>
    <t xml:space="preserve">ILQW12</t>
  </si>
  <si>
    <t xml:space="preserve">ILQW13</t>
  </si>
  <si>
    <t xml:space="preserve">ILQW2</t>
  </si>
  <si>
    <t xml:space="preserve">ILQW3</t>
  </si>
  <si>
    <t xml:space="preserve">ILQW4</t>
  </si>
  <si>
    <t xml:space="preserve">ILQW5</t>
  </si>
  <si>
    <t xml:space="preserve">ILQW6</t>
  </si>
  <si>
    <t xml:space="preserve">ILQW7</t>
  </si>
  <si>
    <t xml:space="preserve">INC08BFP</t>
  </si>
  <si>
    <t xml:space="preserve">Family Pass</t>
  </si>
  <si>
    <t xml:space="preserve">INC0B7DP</t>
  </si>
  <si>
    <t xml:space="preserve">INFLATA CITY GENERAL ENTRY</t>
  </si>
  <si>
    <t xml:space="preserve">INC0CSQT</t>
  </si>
  <si>
    <t xml:space="preserve">QATAR TOURISM</t>
  </si>
  <si>
    <t xml:space="preserve">INC0REFP</t>
  </si>
  <si>
    <t xml:space="preserve">INC1AFFP</t>
  </si>
  <si>
    <t xml:space="preserve">INC1J0DP</t>
  </si>
  <si>
    <t xml:space="preserve">INC1TTFP</t>
  </si>
  <si>
    <t xml:space="preserve">INC1ZNDP</t>
  </si>
  <si>
    <t xml:space="preserve">INC26WFP</t>
  </si>
  <si>
    <t xml:space="preserve">INC2C1FP</t>
  </si>
  <si>
    <t xml:space="preserve">INC2DGQT</t>
  </si>
  <si>
    <t xml:space="preserve">INC2TCFP</t>
  </si>
  <si>
    <t xml:space="preserve">INC3DXFP</t>
  </si>
  <si>
    <t xml:space="preserve">INC3G7QT</t>
  </si>
  <si>
    <t xml:space="preserve">INC3YGFP</t>
  </si>
  <si>
    <t xml:space="preserve">INC48YDP</t>
  </si>
  <si>
    <t xml:space="preserve">INC4OFFP</t>
  </si>
  <si>
    <t xml:space="preserve">INC4PYFP</t>
  </si>
  <si>
    <t xml:space="preserve">INC4ZMFP</t>
  </si>
  <si>
    <t xml:space="preserve">INC57OQT</t>
  </si>
  <si>
    <t xml:space="preserve">INC5F7QT</t>
  </si>
  <si>
    <t xml:space="preserve">INC5VFDP</t>
  </si>
  <si>
    <t xml:space="preserve">INC66YDP</t>
  </si>
  <si>
    <t xml:space="preserve">INC6E6FP</t>
  </si>
  <si>
    <t xml:space="preserve">INC6IIDP</t>
  </si>
  <si>
    <t xml:space="preserve">INC6M2QT</t>
  </si>
  <si>
    <t xml:space="preserve">INC6Y1DP</t>
  </si>
  <si>
    <t xml:space="preserve">INC71VFP</t>
  </si>
  <si>
    <t xml:space="preserve">INC7MTDP</t>
  </si>
  <si>
    <t xml:space="preserve">INC83XDP</t>
  </si>
  <si>
    <t xml:space="preserve">INC86WQT</t>
  </si>
  <si>
    <t xml:space="preserve">INC87HFP</t>
  </si>
  <si>
    <t xml:space="preserve">INC88IFP</t>
  </si>
  <si>
    <t xml:space="preserve">INC8XIDP</t>
  </si>
  <si>
    <t xml:space="preserve">INC8XTQT</t>
  </si>
  <si>
    <t xml:space="preserve">INC8Z0DP</t>
  </si>
  <si>
    <t xml:space="preserve">INC934DP</t>
  </si>
  <si>
    <t xml:space="preserve">INC96AFP</t>
  </si>
  <si>
    <t xml:space="preserve">INC9AXDP</t>
  </si>
  <si>
    <t xml:space="preserve">INC9E8QT</t>
  </si>
  <si>
    <t xml:space="preserve">INC9SLFP</t>
  </si>
  <si>
    <t xml:space="preserve">INCAB8QT</t>
  </si>
  <si>
    <t xml:space="preserve">INCAD4DP</t>
  </si>
  <si>
    <t xml:space="preserve">INCADEQT</t>
  </si>
  <si>
    <t xml:space="preserve">INCAKAFP</t>
  </si>
  <si>
    <t xml:space="preserve">INCALJ</t>
  </si>
  <si>
    <t xml:space="preserve">ALJAZEERA STAFF 20% Discount all passes</t>
  </si>
  <si>
    <t xml:space="preserve">INCAPDDP</t>
  </si>
  <si>
    <t xml:space="preserve">INCARBDP</t>
  </si>
  <si>
    <t xml:space="preserve">INCBAXDP</t>
  </si>
  <si>
    <t xml:space="preserve">INCBDSFP</t>
  </si>
  <si>
    <t xml:space="preserve">INCBNCDP</t>
  </si>
  <si>
    <t xml:space="preserve">INCC41DP</t>
  </si>
  <si>
    <t xml:space="preserve">INCC98DP</t>
  </si>
  <si>
    <t xml:space="preserve">INCCBGFP</t>
  </si>
  <si>
    <t xml:space="preserve">INCCJXDP</t>
  </si>
  <si>
    <t xml:space="preserve">INCCNZFP</t>
  </si>
  <si>
    <t xml:space="preserve">INCCOUFP</t>
  </si>
  <si>
    <t xml:space="preserve">INCCX8DP</t>
  </si>
  <si>
    <t xml:space="preserve">INCCZ8FP</t>
  </si>
  <si>
    <t xml:space="preserve">INCDAUFP</t>
  </si>
  <si>
    <t xml:space="preserve">INCDQOQT</t>
  </si>
  <si>
    <t xml:space="preserve">INCDRXFP</t>
  </si>
  <si>
    <t xml:space="preserve">INCDW6DP</t>
  </si>
  <si>
    <t xml:space="preserve">INCDWMDP</t>
  </si>
  <si>
    <t xml:space="preserve">INCE1VFP</t>
  </si>
  <si>
    <t xml:space="preserve">INCE37FP</t>
  </si>
  <si>
    <t xml:space="preserve">INCED9FP</t>
  </si>
  <si>
    <t xml:space="preserve">INCEGTQT</t>
  </si>
  <si>
    <t xml:space="preserve">INCEN1FP</t>
  </si>
  <si>
    <t xml:space="preserve">INCEVIDP</t>
  </si>
  <si>
    <t xml:space="preserve">INCFAQQT</t>
  </si>
  <si>
    <t xml:space="preserve">INCFEUFP</t>
  </si>
  <si>
    <t xml:space="preserve">INCFH9DP</t>
  </si>
  <si>
    <t xml:space="preserve">INCFKUDP</t>
  </si>
  <si>
    <t xml:space="preserve">INCFS7FP</t>
  </si>
  <si>
    <t xml:space="preserve">INCFTFDP</t>
  </si>
  <si>
    <t xml:space="preserve">INCFXUDP</t>
  </si>
  <si>
    <t xml:space="preserve">INCG6GFP</t>
  </si>
  <si>
    <t xml:space="preserve">INCGC8FP</t>
  </si>
  <si>
    <t xml:space="preserve">INCGEXDP</t>
  </si>
  <si>
    <t xml:space="preserve">INCGIIFP</t>
  </si>
  <si>
    <t xml:space="preserve">INCGLQDP</t>
  </si>
  <si>
    <t xml:space="preserve">INCGPTFP</t>
  </si>
  <si>
    <t xml:space="preserve">INCGXVDP</t>
  </si>
  <si>
    <t xml:space="preserve">INCGZNDP</t>
  </si>
  <si>
    <t xml:space="preserve">INCH8UFP</t>
  </si>
  <si>
    <t xml:space="preserve">INCH9MDP</t>
  </si>
  <si>
    <t xml:space="preserve">INCHARDP</t>
  </si>
  <si>
    <t xml:space="preserve">INCHCUFP</t>
  </si>
  <si>
    <t xml:space="preserve">INCHI1DP</t>
  </si>
  <si>
    <t xml:space="preserve">INCHJOQT</t>
  </si>
  <si>
    <t xml:space="preserve">INCHW3DP</t>
  </si>
  <si>
    <t xml:space="preserve">INCHZVFP</t>
  </si>
  <si>
    <t xml:space="preserve">INCI02DP</t>
  </si>
  <si>
    <t xml:space="preserve">INCIA9QT</t>
  </si>
  <si>
    <t xml:space="preserve">INCIYQFP</t>
  </si>
  <si>
    <t xml:space="preserve">INCIZLQT</t>
  </si>
  <si>
    <t xml:space="preserve">INCJ8CQT</t>
  </si>
  <si>
    <t xml:space="preserve">INCJ8QDP</t>
  </si>
  <si>
    <t xml:space="preserve">INCKM8FP</t>
  </si>
  <si>
    <t xml:space="preserve">INCKNPFP</t>
  </si>
  <si>
    <t xml:space="preserve">INCKPDFP</t>
  </si>
  <si>
    <t xml:space="preserve">INCKPJFP</t>
  </si>
  <si>
    <t xml:space="preserve">INCKXWFP</t>
  </si>
  <si>
    <t xml:space="preserve">INCL1KFP</t>
  </si>
  <si>
    <t xml:space="preserve">INCL2ZDP</t>
  </si>
  <si>
    <t xml:space="preserve">INCL32QT</t>
  </si>
  <si>
    <t xml:space="preserve">INCL47FP</t>
  </si>
  <si>
    <t xml:space="preserve">INCL8CQT</t>
  </si>
  <si>
    <t xml:space="preserve">INCL9LFP</t>
  </si>
  <si>
    <t xml:space="preserve">INCLLZDP</t>
  </si>
  <si>
    <t xml:space="preserve">INCLO6FP</t>
  </si>
  <si>
    <t xml:space="preserve">INCM1LFP</t>
  </si>
  <si>
    <t xml:space="preserve">INCM58DP</t>
  </si>
  <si>
    <t xml:space="preserve">INCM7MQT</t>
  </si>
  <si>
    <t xml:space="preserve">INCMR5FP</t>
  </si>
  <si>
    <t xml:space="preserve">INCMSLQT</t>
  </si>
  <si>
    <t xml:space="preserve">INCMSPQT</t>
  </si>
  <si>
    <t xml:space="preserve">INCMSUFP</t>
  </si>
  <si>
    <t xml:space="preserve">INCN6GFP</t>
  </si>
  <si>
    <t xml:space="preserve">INCN81FP</t>
  </si>
  <si>
    <t xml:space="preserve">INCNJGQT</t>
  </si>
  <si>
    <t xml:space="preserve">INCNKXDP</t>
  </si>
  <si>
    <t xml:space="preserve">INCNNHQT</t>
  </si>
  <si>
    <t xml:space="preserve">INCOMXFP</t>
  </si>
  <si>
    <t xml:space="preserve">INCOQRQT</t>
  </si>
  <si>
    <t xml:space="preserve">INCP79QT</t>
  </si>
  <si>
    <t xml:space="preserve">INCPIZFP</t>
  </si>
  <si>
    <t xml:space="preserve">INCPOMQT</t>
  </si>
  <si>
    <t xml:space="preserve">INCPOVFP</t>
  </si>
  <si>
    <t xml:space="preserve">INCPRDDP</t>
  </si>
  <si>
    <t xml:space="preserve">INCPT8DP</t>
  </si>
  <si>
    <t xml:space="preserve">INCQ0SQT</t>
  </si>
  <si>
    <t xml:space="preserve">INCQFEFP</t>
  </si>
  <si>
    <t xml:space="preserve">INCQGTFP</t>
  </si>
  <si>
    <t xml:space="preserve">INCQN1DP</t>
  </si>
  <si>
    <t xml:space="preserve">INCQQOQT</t>
  </si>
  <si>
    <t xml:space="preserve">INCQTMDP</t>
  </si>
  <si>
    <t xml:space="preserve">INCRBBFP</t>
  </si>
  <si>
    <t xml:space="preserve">INCRHJFP</t>
  </si>
  <si>
    <t xml:space="preserve">INCRTBDP</t>
  </si>
  <si>
    <t xml:space="preserve">INCRZQFP</t>
  </si>
  <si>
    <t xml:space="preserve">INCS1NDP</t>
  </si>
  <si>
    <t xml:space="preserve">INCS6JQT</t>
  </si>
  <si>
    <t xml:space="preserve">INCS9UFP</t>
  </si>
  <si>
    <t xml:space="preserve">INCSCHFP</t>
  </si>
  <si>
    <t xml:space="preserve">INCSD9DP</t>
  </si>
  <si>
    <t xml:space="preserve">INCSI5QT</t>
  </si>
  <si>
    <t xml:space="preserve">INCSI9FP</t>
  </si>
  <si>
    <t xml:space="preserve">INCSJRQT</t>
  </si>
  <si>
    <t xml:space="preserve">INCSKZFP</t>
  </si>
  <si>
    <t xml:space="preserve">INCSQGQT</t>
  </si>
  <si>
    <t xml:space="preserve">INCSU5FP</t>
  </si>
  <si>
    <t xml:space="preserve">INCSYEDP</t>
  </si>
  <si>
    <t xml:space="preserve">INCT67FP</t>
  </si>
  <si>
    <t xml:space="preserve">INCT6IFP</t>
  </si>
  <si>
    <t xml:space="preserve">INCT9GDP</t>
  </si>
  <si>
    <t xml:space="preserve">INCTDKDP</t>
  </si>
  <si>
    <t xml:space="preserve">INCTDLDP</t>
  </si>
  <si>
    <t xml:space="preserve">INCTSMQT</t>
  </si>
  <si>
    <t xml:space="preserve">INCTXSFP</t>
  </si>
  <si>
    <t xml:space="preserve">INCTYXFP</t>
  </si>
  <si>
    <t xml:space="preserve">INCTZ0QT</t>
  </si>
  <si>
    <t xml:space="preserve">INCU3UFP</t>
  </si>
  <si>
    <t xml:space="preserve">INCUGLFP</t>
  </si>
  <si>
    <t xml:space="preserve">INCUIZDP</t>
  </si>
  <si>
    <t xml:space="preserve">INCUNMFP</t>
  </si>
  <si>
    <t xml:space="preserve">INCVCWDP</t>
  </si>
  <si>
    <t xml:space="preserve">INCVKQQT</t>
  </si>
  <si>
    <t xml:space="preserve">INCVMTDP</t>
  </si>
  <si>
    <t xml:space="preserve">INCVSEFP</t>
  </si>
  <si>
    <t xml:space="preserve">INCVW8DP</t>
  </si>
  <si>
    <t xml:space="preserve">INCW4CDP</t>
  </si>
  <si>
    <t xml:space="preserve">INCWBBDP</t>
  </si>
  <si>
    <t xml:space="preserve">INCWEEFP</t>
  </si>
  <si>
    <t xml:space="preserve">INCWH1FP</t>
  </si>
  <si>
    <t xml:space="preserve">INCX0EDP</t>
  </si>
  <si>
    <t xml:space="preserve">INCX4UFP</t>
  </si>
  <si>
    <t xml:space="preserve">INCXAQFP</t>
  </si>
  <si>
    <t xml:space="preserve">INCXDFFP</t>
  </si>
  <si>
    <t xml:space="preserve">INCXFJQT</t>
  </si>
  <si>
    <t xml:space="preserve">INCXPOFP</t>
  </si>
  <si>
    <t xml:space="preserve">INCXVMDP</t>
  </si>
  <si>
    <t xml:space="preserve">INCXXOFP</t>
  </si>
  <si>
    <t xml:space="preserve">INCY7OFP</t>
  </si>
  <si>
    <t xml:space="preserve">INCYDBFP</t>
  </si>
  <si>
    <t xml:space="preserve">INCYEOQT</t>
  </si>
  <si>
    <t xml:space="preserve">INCYI6DP</t>
  </si>
  <si>
    <t xml:space="preserve">INCYUCDP</t>
  </si>
  <si>
    <t xml:space="preserve">INCYVIDP</t>
  </si>
  <si>
    <t xml:space="preserve">INCZ6FFP</t>
  </si>
  <si>
    <t xml:space="preserve">INCZ9IDP</t>
  </si>
  <si>
    <t xml:space="preserve">INCZBVQT</t>
  </si>
  <si>
    <t xml:space="preserve">INCZC0DP</t>
  </si>
  <si>
    <t xml:space="preserve">INCZG3FP</t>
  </si>
  <si>
    <t xml:space="preserve">INCZJGFP</t>
  </si>
  <si>
    <t xml:space="preserve">INCZVBFP</t>
  </si>
  <si>
    <t xml:space="preserve">INEC</t>
  </si>
  <si>
    <t xml:space="preserve">INFLATA CITY EVENT CREW STAFF (2024) - 50%</t>
  </si>
  <si>
    <t xml:space="preserve">INF05EIP</t>
  </si>
  <si>
    <t xml:space="preserve">Inflata Pass 100%</t>
  </si>
  <si>
    <t xml:space="preserve">INF085FP</t>
  </si>
  <si>
    <t xml:space="preserve">Family Pass 100%</t>
  </si>
  <si>
    <t xml:space="preserve">INF08PIP</t>
  </si>
  <si>
    <t xml:space="preserve">INF09YFP</t>
  </si>
  <si>
    <t xml:space="preserve">INF0COVP</t>
  </si>
  <si>
    <t xml:space="preserve">VIP Pass 100%</t>
  </si>
  <si>
    <t xml:space="preserve">INF0IUIP</t>
  </si>
  <si>
    <t xml:space="preserve">INF0IWIP</t>
  </si>
  <si>
    <t xml:space="preserve">INF0LKIP</t>
  </si>
  <si>
    <t xml:space="preserve">INF0NFVP</t>
  </si>
  <si>
    <t xml:space="preserve">INF0QTIP</t>
  </si>
  <si>
    <t xml:space="preserve">INF0RIVP</t>
  </si>
  <si>
    <t xml:space="preserve">INF0XIIP</t>
  </si>
  <si>
    <t xml:space="preserve">INF12BIP</t>
  </si>
  <si>
    <t xml:space="preserve">INF13CIP</t>
  </si>
  <si>
    <t xml:space="preserve">INF13GVP</t>
  </si>
  <si>
    <t xml:space="preserve">INF173FP</t>
  </si>
  <si>
    <t xml:space="preserve">INF1D0VP</t>
  </si>
  <si>
    <t xml:space="preserve">INF1GAIP</t>
  </si>
  <si>
    <t xml:space="preserve">INF1L3VP</t>
  </si>
  <si>
    <t xml:space="preserve">INF1R2IP</t>
  </si>
  <si>
    <t xml:space="preserve">INF1RGIP</t>
  </si>
  <si>
    <t xml:space="preserve">INF1SLFP</t>
  </si>
  <si>
    <t xml:space="preserve">INF1ZAIP</t>
  </si>
  <si>
    <t xml:space="preserve">INF1ZGFP</t>
  </si>
  <si>
    <t xml:space="preserve">INF21MIP</t>
  </si>
  <si>
    <t xml:space="preserve">INF235VP</t>
  </si>
  <si>
    <t xml:space="preserve">INF28HVP</t>
  </si>
  <si>
    <t xml:space="preserve">INF2CQVP</t>
  </si>
  <si>
    <t xml:space="preserve">INF2EEIP</t>
  </si>
  <si>
    <t xml:space="preserve">INF2EZIP</t>
  </si>
  <si>
    <t xml:space="preserve">INF2FLIP</t>
  </si>
  <si>
    <t xml:space="preserve">INF2FNIP</t>
  </si>
  <si>
    <t xml:space="preserve">INF2I8IP</t>
  </si>
  <si>
    <t xml:space="preserve">INF2INIP</t>
  </si>
  <si>
    <t xml:space="preserve">INF2LOIP</t>
  </si>
  <si>
    <t xml:space="preserve">INF2N9VP</t>
  </si>
  <si>
    <t xml:space="preserve">INF2O4FP</t>
  </si>
  <si>
    <t xml:space="preserve">INF2P8IP</t>
  </si>
  <si>
    <t xml:space="preserve">INF2VZIP</t>
  </si>
  <si>
    <t xml:space="preserve">INF2XPIP</t>
  </si>
  <si>
    <t xml:space="preserve">INF2Y6FP</t>
  </si>
  <si>
    <t xml:space="preserve">INF34WVP</t>
  </si>
  <si>
    <t xml:space="preserve">INF351IP</t>
  </si>
  <si>
    <t xml:space="preserve">INF3BWFP</t>
  </si>
  <si>
    <t xml:space="preserve">INF3CZFP</t>
  </si>
  <si>
    <t xml:space="preserve">INF3E0VP</t>
  </si>
  <si>
    <t xml:space="preserve">INF3LJIP</t>
  </si>
  <si>
    <t xml:space="preserve">INF3LLVP</t>
  </si>
  <si>
    <t xml:space="preserve">INF3MTIP</t>
  </si>
  <si>
    <t xml:space="preserve">INF3OSIP</t>
  </si>
  <si>
    <t xml:space="preserve">INF3Q9IP</t>
  </si>
  <si>
    <t xml:space="preserve">INF3SJVP</t>
  </si>
  <si>
    <t xml:space="preserve">INF3SLVP</t>
  </si>
  <si>
    <t xml:space="preserve">INF3ULIP</t>
  </si>
  <si>
    <t xml:space="preserve">INF3YNIP</t>
  </si>
  <si>
    <t xml:space="preserve">INF3YVIP</t>
  </si>
  <si>
    <t xml:space="preserve">INF49QIP</t>
  </si>
  <si>
    <t xml:space="preserve">INF4AXFP</t>
  </si>
  <si>
    <t xml:space="preserve">INF4H5VP</t>
  </si>
  <si>
    <t xml:space="preserve">INF4LUFP</t>
  </si>
  <si>
    <t xml:space="preserve">INF4NIFP</t>
  </si>
  <si>
    <t xml:space="preserve">INF4OKFP</t>
  </si>
  <si>
    <t xml:space="preserve">INF4SIIP</t>
  </si>
  <si>
    <t xml:space="preserve">INF4TAIP</t>
  </si>
  <si>
    <t xml:space="preserve">INF4WLIP</t>
  </si>
  <si>
    <t xml:space="preserve">INF5</t>
  </si>
  <si>
    <t xml:space="preserve">INF50WFP</t>
  </si>
  <si>
    <t xml:space="preserve">INF51JVP</t>
  </si>
  <si>
    <t xml:space="preserve">INF5CVIP</t>
  </si>
  <si>
    <t xml:space="preserve">INF5OXFP</t>
  </si>
  <si>
    <t xml:space="preserve">INF5PCIP</t>
  </si>
  <si>
    <t xml:space="preserve">INF5PGFP</t>
  </si>
  <si>
    <t xml:space="preserve">INF5VVFP</t>
  </si>
  <si>
    <t xml:space="preserve">INF5YAFP</t>
  </si>
  <si>
    <t xml:space="preserve">INF5ZTIP</t>
  </si>
  <si>
    <t xml:space="preserve">INF630VP</t>
  </si>
  <si>
    <t xml:space="preserve">INF673VP</t>
  </si>
  <si>
    <t xml:space="preserve">INF6MBVP</t>
  </si>
  <si>
    <t xml:space="preserve">INF6NEVP</t>
  </si>
  <si>
    <t xml:space="preserve">INF6UVFP</t>
  </si>
  <si>
    <t xml:space="preserve">INF6XXFP</t>
  </si>
  <si>
    <t xml:space="preserve">INF7A7IP</t>
  </si>
  <si>
    <t xml:space="preserve">INF7AUIP</t>
  </si>
  <si>
    <t xml:space="preserve">INF7DEVP</t>
  </si>
  <si>
    <t xml:space="preserve">INF7DVVP</t>
  </si>
  <si>
    <t xml:space="preserve">INF7EEIP</t>
  </si>
  <si>
    <t xml:space="preserve">INF7NAIP</t>
  </si>
  <si>
    <t xml:space="preserve">INF7QVVP</t>
  </si>
  <si>
    <t xml:space="preserve">INF7X8IP</t>
  </si>
  <si>
    <t xml:space="preserve">INF821IP</t>
  </si>
  <si>
    <t xml:space="preserve">INF884IP</t>
  </si>
  <si>
    <t xml:space="preserve">INF8EOFP</t>
  </si>
  <si>
    <t xml:space="preserve">INF8H0IP</t>
  </si>
  <si>
    <t xml:space="preserve">INF8IJIP</t>
  </si>
  <si>
    <t xml:space="preserve">INF8JDVP</t>
  </si>
  <si>
    <t xml:space="preserve">INF8JJVP</t>
  </si>
  <si>
    <t xml:space="preserve">INF91GFP</t>
  </si>
  <si>
    <t xml:space="preserve">INF942IP</t>
  </si>
  <si>
    <t xml:space="preserve">INF95TVP</t>
  </si>
  <si>
    <t xml:space="preserve">INF990FP</t>
  </si>
  <si>
    <t xml:space="preserve">INF9AHVP</t>
  </si>
  <si>
    <t xml:space="preserve">INF9IHFP</t>
  </si>
  <si>
    <t xml:space="preserve">INF9L8FP</t>
  </si>
  <si>
    <t xml:space="preserve">INF9LVIP</t>
  </si>
  <si>
    <t xml:space="preserve">INF9YBIP</t>
  </si>
  <si>
    <t xml:space="preserve">INF9ZNVP</t>
  </si>
  <si>
    <t xml:space="preserve">INFA4DFP</t>
  </si>
  <si>
    <t xml:space="preserve">INFA4LFP</t>
  </si>
  <si>
    <t xml:space="preserve">INFA7KFP</t>
  </si>
  <si>
    <t xml:space="preserve">INFA8AFP</t>
  </si>
  <si>
    <t xml:space="preserve">INFA9VVP</t>
  </si>
  <si>
    <t xml:space="preserve">INFACNFP</t>
  </si>
  <si>
    <t xml:space="preserve">INFADLA</t>
  </si>
  <si>
    <t xml:space="preserve">2024-01</t>
  </si>
  <si>
    <t xml:space="preserve">INFADLAA</t>
  </si>
  <si>
    <t xml:space="preserve">INFADLAB</t>
  </si>
  <si>
    <t xml:space="preserve">INFADLAD</t>
  </si>
  <si>
    <t xml:space="preserve">INFADLAO</t>
  </si>
  <si>
    <t xml:space="preserve">INFADLAP</t>
  </si>
  <si>
    <t xml:space="preserve">INFADLAR</t>
  </si>
  <si>
    <t xml:space="preserve">INFADLAS</t>
  </si>
  <si>
    <t xml:space="preserve">INFADLAW</t>
  </si>
  <si>
    <t xml:space="preserve">INFADLAY</t>
  </si>
  <si>
    <t xml:space="preserve">INFADLBA</t>
  </si>
  <si>
    <t xml:space="preserve">INFADLBB</t>
  </si>
  <si>
    <t xml:space="preserve">INFADLBC</t>
  </si>
  <si>
    <t xml:space="preserve">INFADLBR</t>
  </si>
  <si>
    <t xml:space="preserve">INFADLBT</t>
  </si>
  <si>
    <t xml:space="preserve">INFADLBV</t>
  </si>
  <si>
    <t xml:space="preserve">INFADLBX</t>
  </si>
  <si>
    <t xml:space="preserve">INFADLCC</t>
  </si>
  <si>
    <t xml:space="preserve">INFADLCF</t>
  </si>
  <si>
    <t xml:space="preserve">INFADLCI</t>
  </si>
  <si>
    <t xml:space="preserve">INFADLCL</t>
  </si>
  <si>
    <t xml:space="preserve">INFADLCM</t>
  </si>
  <si>
    <t xml:space="preserve">INFADLCO</t>
  </si>
  <si>
    <t xml:space="preserve">INFADLCT</t>
  </si>
  <si>
    <t xml:space="preserve">INFADLCX</t>
  </si>
  <si>
    <t xml:space="preserve">INFADLDA</t>
  </si>
  <si>
    <t xml:space="preserve">INFADLDB</t>
  </si>
  <si>
    <t xml:space="preserve">INFADLDD</t>
  </si>
  <si>
    <t xml:space="preserve">INFADLDH</t>
  </si>
  <si>
    <t xml:space="preserve">INFADLDP</t>
  </si>
  <si>
    <t xml:space="preserve">INFADLDT</t>
  </si>
  <si>
    <t xml:space="preserve">INFADLDV</t>
  </si>
  <si>
    <t xml:space="preserve">INFADLEA</t>
  </si>
  <si>
    <t xml:space="preserve">INFADLEC</t>
  </si>
  <si>
    <t xml:space="preserve">INFADLEH</t>
  </si>
  <si>
    <t xml:space="preserve">INFADLEJ</t>
  </si>
  <si>
    <t xml:space="preserve">INFADLEK</t>
  </si>
  <si>
    <t xml:space="preserve">INFADLEP</t>
  </si>
  <si>
    <t xml:space="preserve">INFADLER</t>
  </si>
  <si>
    <t xml:space="preserve">INFADLEU</t>
  </si>
  <si>
    <t xml:space="preserve">INFADLEY</t>
  </si>
  <si>
    <t xml:space="preserve">INFADLFE</t>
  </si>
  <si>
    <t xml:space="preserve">INFADLFG</t>
  </si>
  <si>
    <t xml:space="preserve">INFADLFP</t>
  </si>
  <si>
    <t xml:space="preserve">INFADLFV</t>
  </si>
  <si>
    <t xml:space="preserve">INFADLFX</t>
  </si>
  <si>
    <t xml:space="preserve">INFADLGB</t>
  </si>
  <si>
    <t xml:space="preserve">INFADLGT</t>
  </si>
  <si>
    <t xml:space="preserve">INFADLGU</t>
  </si>
  <si>
    <t xml:space="preserve">INFADLGV</t>
  </si>
  <si>
    <t xml:space="preserve">INFADLGW</t>
  </si>
  <si>
    <t xml:space="preserve">INFADLGX</t>
  </si>
  <si>
    <t xml:space="preserve">INFADLHF</t>
  </si>
  <si>
    <t xml:space="preserve">INFADLHJ</t>
  </si>
  <si>
    <t xml:space="preserve">INFADLHN</t>
  </si>
  <si>
    <t xml:space="preserve">INFADLP</t>
  </si>
  <si>
    <t xml:space="preserve">INFADLV</t>
  </si>
  <si>
    <t xml:space="preserve">INFAFXIP</t>
  </si>
  <si>
    <t xml:space="preserve">INFAIYIP</t>
  </si>
  <si>
    <t xml:space="preserve">INFAJFIP</t>
  </si>
  <si>
    <t xml:space="preserve">INFAJPK</t>
  </si>
  <si>
    <t xml:space="preserve">INFANKN</t>
  </si>
  <si>
    <t xml:space="preserve">INFAUKFP</t>
  </si>
  <si>
    <t xml:space="preserve">INFAVVIP</t>
  </si>
  <si>
    <t xml:space="preserve">INFB0RFP</t>
  </si>
  <si>
    <t xml:space="preserve">INFB34IP</t>
  </si>
  <si>
    <t xml:space="preserve">INFB75FP</t>
  </si>
  <si>
    <t xml:space="preserve">INFB7SFP</t>
  </si>
  <si>
    <t xml:space="preserve">INFBFZFP</t>
  </si>
  <si>
    <t xml:space="preserve">INFBJUFP</t>
  </si>
  <si>
    <t xml:space="preserve">INFBRFFP</t>
  </si>
  <si>
    <t xml:space="preserve">INFBX</t>
  </si>
  <si>
    <t xml:space="preserve">20% OFF FOR BOKTOWN</t>
  </si>
  <si>
    <t xml:space="preserve">INFBY2FP</t>
  </si>
  <si>
    <t xml:space="preserve">INFC2BIP</t>
  </si>
  <si>
    <t xml:space="preserve">INFC3DFP</t>
  </si>
  <si>
    <t xml:space="preserve">INFC7LIP</t>
  </si>
  <si>
    <t xml:space="preserve">INFCAHIP</t>
  </si>
  <si>
    <t xml:space="preserve">INFCAWIP</t>
  </si>
  <si>
    <t xml:space="preserve">INFCF5IP</t>
  </si>
  <si>
    <t xml:space="preserve">INFCGSIP</t>
  </si>
  <si>
    <t xml:space="preserve">INFCIAIP</t>
  </si>
  <si>
    <t xml:space="preserve">INFCJAFP</t>
  </si>
  <si>
    <t xml:space="preserve">INFCKZFP</t>
  </si>
  <si>
    <t xml:space="preserve">INFCMRFP</t>
  </si>
  <si>
    <t xml:space="preserve">INFCO2IP</t>
  </si>
  <si>
    <t xml:space="preserve">INFCOCVP</t>
  </si>
  <si>
    <t xml:space="preserve">INFCVDIP</t>
  </si>
  <si>
    <t xml:space="preserve">INFCZAIP</t>
  </si>
  <si>
    <t xml:space="preserve">INFD06IP</t>
  </si>
  <si>
    <t xml:space="preserve">INFD4GIP</t>
  </si>
  <si>
    <t xml:space="preserve">INFD97FP</t>
  </si>
  <si>
    <t xml:space="preserve">INFDIANA</t>
  </si>
  <si>
    <t xml:space="preserve">INFDNCFP</t>
  </si>
  <si>
    <t xml:space="preserve">INFDOSIP</t>
  </si>
  <si>
    <t xml:space="preserve">INFDRXIP</t>
  </si>
  <si>
    <t xml:space="preserve">INFDSOIP</t>
  </si>
  <si>
    <t xml:space="preserve">INFDVRFP</t>
  </si>
  <si>
    <t xml:space="preserve">INFDX3IP</t>
  </si>
  <si>
    <t xml:space="preserve">INFDXKFP</t>
  </si>
  <si>
    <t xml:space="preserve">INFDYHVP</t>
  </si>
  <si>
    <t xml:space="preserve">INFDZMIP</t>
  </si>
  <si>
    <t xml:space="preserve">INFE3HFP</t>
  </si>
  <si>
    <t xml:space="preserve">INFE4DIP</t>
  </si>
  <si>
    <t xml:space="preserve">INFE4GIP</t>
  </si>
  <si>
    <t xml:space="preserve">INFE5WFP</t>
  </si>
  <si>
    <t xml:space="preserve">INFE9BVP</t>
  </si>
  <si>
    <t xml:space="preserve">INFEHUIP</t>
  </si>
  <si>
    <t xml:space="preserve">INFEKEIP</t>
  </si>
  <si>
    <t xml:space="preserve">INFEO0IP</t>
  </si>
  <si>
    <t xml:space="preserve">INFEO4IP</t>
  </si>
  <si>
    <t xml:space="preserve">INFEOBVP</t>
  </si>
  <si>
    <t xml:space="preserve">INFERT</t>
  </si>
  <si>
    <t xml:space="preserve">INFEWKIP</t>
  </si>
  <si>
    <t xml:space="preserve">INFEZOFP</t>
  </si>
  <si>
    <t xml:space="preserve">INFF4GIP</t>
  </si>
  <si>
    <t xml:space="preserve">INFFA9IP</t>
  </si>
  <si>
    <t xml:space="preserve">INFFCBVP</t>
  </si>
  <si>
    <t xml:space="preserve">INFFDV</t>
  </si>
  <si>
    <t xml:space="preserve">Food Vendor 20%</t>
  </si>
  <si>
    <t xml:space="preserve">INFFE0IP</t>
  </si>
  <si>
    <t xml:space="preserve">INFFFF</t>
  </si>
  <si>
    <t xml:space="preserve">INFFI2IP</t>
  </si>
  <si>
    <t xml:space="preserve">INFFX1IP</t>
  </si>
  <si>
    <t xml:space="preserve">INFG3XFP</t>
  </si>
  <si>
    <t xml:space="preserve">INFG73VP</t>
  </si>
  <si>
    <t xml:space="preserve">INFGCGIP</t>
  </si>
  <si>
    <t xml:space="preserve">INFGD0FP</t>
  </si>
  <si>
    <t xml:space="preserve">INFGLIFP</t>
  </si>
  <si>
    <t xml:space="preserve">INFGORFP</t>
  </si>
  <si>
    <t xml:space="preserve">INFGTZIP</t>
  </si>
  <si>
    <t xml:space="preserve">INFGXPIP</t>
  </si>
  <si>
    <t xml:space="preserve">INFH1FFP</t>
  </si>
  <si>
    <t xml:space="preserve">INFH4CIP</t>
  </si>
  <si>
    <t xml:space="preserve">INFH4FFP</t>
  </si>
  <si>
    <t xml:space="preserve">INFH6XFP</t>
  </si>
  <si>
    <t xml:space="preserve">INFH81VP</t>
  </si>
  <si>
    <t xml:space="preserve">INFHAM</t>
  </si>
  <si>
    <t xml:space="preserve">INFHEUIP</t>
  </si>
  <si>
    <t xml:space="preserve">INFHJOVP</t>
  </si>
  <si>
    <t xml:space="preserve">INFHMXIP</t>
  </si>
  <si>
    <t xml:space="preserve">INFHPHIP</t>
  </si>
  <si>
    <t xml:space="preserve">INFHT2FP</t>
  </si>
  <si>
    <t xml:space="preserve">INFHTHIP</t>
  </si>
  <si>
    <t xml:space="preserve">INFHVGIP</t>
  </si>
  <si>
    <t xml:space="preserve">INFHXKIP</t>
  </si>
  <si>
    <t xml:space="preserve">INFHXPIP</t>
  </si>
  <si>
    <t xml:space="preserve">INFHYAIP</t>
  </si>
  <si>
    <t xml:space="preserve">INFHZQIP</t>
  </si>
  <si>
    <t xml:space="preserve">INFI0BVP</t>
  </si>
  <si>
    <t xml:space="preserve">INFI1IIP</t>
  </si>
  <si>
    <t xml:space="preserve">INFI3JFP</t>
  </si>
  <si>
    <t xml:space="preserve">INFI4DVP</t>
  </si>
  <si>
    <t xml:space="preserve">INFIBGIP</t>
  </si>
  <si>
    <t xml:space="preserve">INFICZIP</t>
  </si>
  <si>
    <t xml:space="preserve">INFIDAIP</t>
  </si>
  <si>
    <t xml:space="preserve">INFIFMFP</t>
  </si>
  <si>
    <t xml:space="preserve">INFIGGFP</t>
  </si>
  <si>
    <t xml:space="preserve">INFIHUIP</t>
  </si>
  <si>
    <t xml:space="preserve">INFIIVIP</t>
  </si>
  <si>
    <t xml:space="preserve">INFIJGIP</t>
  </si>
  <si>
    <t xml:space="preserve">INFIS7IP</t>
  </si>
  <si>
    <t xml:space="preserve">INFITTIP</t>
  </si>
  <si>
    <t xml:space="preserve">INFIU7IP</t>
  </si>
  <si>
    <t xml:space="preserve">INFIWBFP</t>
  </si>
  <si>
    <t xml:space="preserve">INFIWKFP</t>
  </si>
  <si>
    <t xml:space="preserve">INFIZLIP</t>
  </si>
  <si>
    <t xml:space="preserve">INFJ21IP</t>
  </si>
  <si>
    <t xml:space="preserve">INFJ5CFP</t>
  </si>
  <si>
    <t xml:space="preserve">INFJFDFP</t>
  </si>
  <si>
    <t xml:space="preserve">INFJG3IP</t>
  </si>
  <si>
    <t xml:space="preserve">INFJKKIP</t>
  </si>
  <si>
    <t xml:space="preserve">INFJO4IP</t>
  </si>
  <si>
    <t xml:space="preserve">INFJPK</t>
  </si>
  <si>
    <t xml:space="preserve">INFJTAFP</t>
  </si>
  <si>
    <t xml:space="preserve">INFJX0VP</t>
  </si>
  <si>
    <t xml:space="preserve">INFK4VFP</t>
  </si>
  <si>
    <t xml:space="preserve">INFK5BFP</t>
  </si>
  <si>
    <t xml:space="preserve">INFK6HIP</t>
  </si>
  <si>
    <t xml:space="preserve">INFK7YFP</t>
  </si>
  <si>
    <t xml:space="preserve">INFK8GVP</t>
  </si>
  <si>
    <t xml:space="preserve">INFK8WIP</t>
  </si>
  <si>
    <t xml:space="preserve">INFKKG</t>
  </si>
  <si>
    <t xml:space="preserve">INFKLRIP</t>
  </si>
  <si>
    <t xml:space="preserve">INFKMOIP</t>
  </si>
  <si>
    <t xml:space="preserve">INFKNRVP</t>
  </si>
  <si>
    <t xml:space="preserve">INFKUNFP</t>
  </si>
  <si>
    <t xml:space="preserve">INFL1</t>
  </si>
  <si>
    <t xml:space="preserve">INFL2</t>
  </si>
  <si>
    <t xml:space="preserve">INFL3</t>
  </si>
  <si>
    <t xml:space="preserve">INFL4</t>
  </si>
  <si>
    <t xml:space="preserve">INFL4WIP</t>
  </si>
  <si>
    <t xml:space="preserve">INFL8WVP</t>
  </si>
  <si>
    <t xml:space="preserve">INFLEMIP</t>
  </si>
  <si>
    <t xml:space="preserve">INFLI6IP</t>
  </si>
  <si>
    <t xml:space="preserve">INFLSPIP</t>
  </si>
  <si>
    <t xml:space="preserve">INFLTTIP</t>
  </si>
  <si>
    <t xml:space="preserve">INFLZ5VP</t>
  </si>
  <si>
    <t xml:space="preserve">INFM4XIP</t>
  </si>
  <si>
    <t xml:space="preserve">INFM5BIP</t>
  </si>
  <si>
    <t xml:space="preserve">INFM7KFP</t>
  </si>
  <si>
    <t xml:space="preserve">INFM9NIP</t>
  </si>
  <si>
    <t xml:space="preserve">INFMAH</t>
  </si>
  <si>
    <t xml:space="preserve">INFMAHE</t>
  </si>
  <si>
    <t xml:space="preserve">INFMAMA</t>
  </si>
  <si>
    <t xml:space="preserve">INFMD3FP</t>
  </si>
  <si>
    <t xml:space="preserve">INFME4IP</t>
  </si>
  <si>
    <t xml:space="preserve">INFMGFFP</t>
  </si>
  <si>
    <t xml:space="preserve">INFMH5IP</t>
  </si>
  <si>
    <t xml:space="preserve">INFMJAIP</t>
  </si>
  <si>
    <t xml:space="preserve">INFMJTIP</t>
  </si>
  <si>
    <t xml:space="preserve">INFMJWFP</t>
  </si>
  <si>
    <t xml:space="preserve">INFMNDIP</t>
  </si>
  <si>
    <t xml:space="preserve">INFMQ3IP</t>
  </si>
  <si>
    <t xml:space="preserve">INFMUVIP</t>
  </si>
  <si>
    <t xml:space="preserve">INFMW1VP</t>
  </si>
  <si>
    <t xml:space="preserve">INFMYXIP</t>
  </si>
  <si>
    <t xml:space="preserve">INFN6GFP</t>
  </si>
  <si>
    <t xml:space="preserve">INFN7BFP</t>
  </si>
  <si>
    <t xml:space="preserve">INFN7DIP</t>
  </si>
  <si>
    <t xml:space="preserve">INFNCYIP</t>
  </si>
  <si>
    <t xml:space="preserve">INFNEMFP</t>
  </si>
  <si>
    <t xml:space="preserve">INFNIKIP</t>
  </si>
  <si>
    <t xml:space="preserve">INFNIYVP</t>
  </si>
  <si>
    <t xml:space="preserve">INFNKN</t>
  </si>
  <si>
    <t xml:space="preserve">INFNLWVP</t>
  </si>
  <si>
    <t xml:space="preserve">INFNN7IP</t>
  </si>
  <si>
    <t xml:space="preserve">INFNOUVP</t>
  </si>
  <si>
    <t xml:space="preserve">INFNR7FP</t>
  </si>
  <si>
    <t xml:space="preserve">INFNRKVP</t>
  </si>
  <si>
    <t xml:space="preserve">INFNSTIP</t>
  </si>
  <si>
    <t xml:space="preserve">INFNSVIP</t>
  </si>
  <si>
    <t xml:space="preserve">INFNTYIP</t>
  </si>
  <si>
    <t xml:space="preserve">INFNYEFP</t>
  </si>
  <si>
    <t xml:space="preserve">INFNZTVP</t>
  </si>
  <si>
    <t xml:space="preserve">INFO01IP</t>
  </si>
  <si>
    <t xml:space="preserve">INFO04IP</t>
  </si>
  <si>
    <t xml:space="preserve">INFO0UVP</t>
  </si>
  <si>
    <t xml:space="preserve">INFO1OIP</t>
  </si>
  <si>
    <t xml:space="preserve">INFO9EFP</t>
  </si>
  <si>
    <t xml:space="preserve">INFOHHIP</t>
  </si>
  <si>
    <t xml:space="preserve">INFOJBFP</t>
  </si>
  <si>
    <t xml:space="preserve">INFONAVP</t>
  </si>
  <si>
    <t xml:space="preserve">INFOVCFP</t>
  </si>
  <si>
    <t xml:space="preserve">INFOWGVP</t>
  </si>
  <si>
    <t xml:space="preserve">INFOWOFP</t>
  </si>
  <si>
    <t xml:space="preserve">INFP26VP</t>
  </si>
  <si>
    <t xml:space="preserve">INFP5XVP</t>
  </si>
  <si>
    <t xml:space="preserve">INFP6KFP</t>
  </si>
  <si>
    <t xml:space="preserve">INFP7DIP</t>
  </si>
  <si>
    <t xml:space="preserve">INFPAYIP</t>
  </si>
  <si>
    <t xml:space="preserve">INFPFPIP</t>
  </si>
  <si>
    <t xml:space="preserve">INFPGNFP</t>
  </si>
  <si>
    <t xml:space="preserve">INFPHPFP</t>
  </si>
  <si>
    <t xml:space="preserve">INFPP8VP</t>
  </si>
  <si>
    <t xml:space="preserve">INFPR6IP</t>
  </si>
  <si>
    <t xml:space="preserve">INFPTEFP</t>
  </si>
  <si>
    <t xml:space="preserve">INFQ4LVP</t>
  </si>
  <si>
    <t xml:space="preserve">INFQ8QVP</t>
  </si>
  <si>
    <t xml:space="preserve">INFQA</t>
  </si>
  <si>
    <t xml:space="preserve">Qatar Airways 20%</t>
  </si>
  <si>
    <t xml:space="preserve">INFQB6IP</t>
  </si>
  <si>
    <t xml:space="preserve">INFQC6VP</t>
  </si>
  <si>
    <t xml:space="preserve">INFQDKIP</t>
  </si>
  <si>
    <t xml:space="preserve">INFQE0VP</t>
  </si>
  <si>
    <t xml:space="preserve">INFQE4FP</t>
  </si>
  <si>
    <t xml:space="preserve">INFQEDIP</t>
  </si>
  <si>
    <t xml:space="preserve">INFQF</t>
  </si>
  <si>
    <t xml:space="preserve">Qatar Foundation 10%</t>
  </si>
  <si>
    <t xml:space="preserve">INFQHOFP</t>
  </si>
  <si>
    <t xml:space="preserve">INFQHZIP</t>
  </si>
  <si>
    <t xml:space="preserve">INFQIIIP</t>
  </si>
  <si>
    <t xml:space="preserve">INFQJJFP</t>
  </si>
  <si>
    <t xml:space="preserve">INFQK1FP</t>
  </si>
  <si>
    <t xml:space="preserve">INFQS8IP</t>
  </si>
  <si>
    <t xml:space="preserve">INFQSOFP</t>
  </si>
  <si>
    <t xml:space="preserve">INFQT</t>
  </si>
  <si>
    <t xml:space="preserve">Qatar Tourism 30%</t>
  </si>
  <si>
    <t xml:space="preserve">INFQTDVP</t>
  </si>
  <si>
    <t xml:space="preserve">INFQVEIP</t>
  </si>
  <si>
    <t xml:space="preserve">INFQWHFP</t>
  </si>
  <si>
    <t xml:space="preserve">INFR3EIP</t>
  </si>
  <si>
    <t xml:space="preserve">INFR7UIP</t>
  </si>
  <si>
    <t xml:space="preserve">INFRAAN</t>
  </si>
  <si>
    <t xml:space="preserve">INFRANA</t>
  </si>
  <si>
    <t xml:space="preserve">2023-12</t>
  </si>
  <si>
    <t xml:space="preserve">INFRANB</t>
  </si>
  <si>
    <t xml:space="preserve">INFRB4IP</t>
  </si>
  <si>
    <t xml:space="preserve">INFRCBIP</t>
  </si>
  <si>
    <t xml:space="preserve">INFRFIVP</t>
  </si>
  <si>
    <t xml:space="preserve">INFRG6IP</t>
  </si>
  <si>
    <t xml:space="preserve">INFRHFFP</t>
  </si>
  <si>
    <t xml:space="preserve">INFRK6FP</t>
  </si>
  <si>
    <t xml:space="preserve">INFRMHFP</t>
  </si>
  <si>
    <t xml:space="preserve">INFRN7FP</t>
  </si>
  <si>
    <t xml:space="preserve">INFRNIVP</t>
  </si>
  <si>
    <t xml:space="preserve">INFROU</t>
  </si>
  <si>
    <t xml:space="preserve">INFRRSIP</t>
  </si>
  <si>
    <t xml:space="preserve">INFS40</t>
  </si>
  <si>
    <t xml:space="preserve">INFSAA</t>
  </si>
  <si>
    <t xml:space="preserve">INFSAH</t>
  </si>
  <si>
    <t xml:space="preserve">INFSBS</t>
  </si>
  <si>
    <t xml:space="preserve">INFSETVP</t>
  </si>
  <si>
    <t xml:space="preserve">INFSKAIP</t>
  </si>
  <si>
    <t xml:space="preserve">INFSL2IP</t>
  </si>
  <si>
    <t xml:space="preserve">INFSLYFP</t>
  </si>
  <si>
    <t xml:space="preserve">INFSMMVP</t>
  </si>
  <si>
    <t xml:space="preserve">INFSOMIP</t>
  </si>
  <si>
    <t xml:space="preserve">INFSULFP</t>
  </si>
  <si>
    <t xml:space="preserve">INFSVGIP</t>
  </si>
  <si>
    <t xml:space="preserve">INFSVXIP</t>
  </si>
  <si>
    <t xml:space="preserve">INFSWRFP</t>
  </si>
  <si>
    <t xml:space="preserve">INFSX1FP</t>
  </si>
  <si>
    <t xml:space="preserve">INFT1MFP</t>
  </si>
  <si>
    <t xml:space="preserve">INFT2IFP</t>
  </si>
  <si>
    <t xml:space="preserve">INFT3VIP</t>
  </si>
  <si>
    <t xml:space="preserve">INFT5XFP</t>
  </si>
  <si>
    <t xml:space="preserve">INFT9MIP</t>
  </si>
  <si>
    <t xml:space="preserve">INFTBJIP</t>
  </si>
  <si>
    <t xml:space="preserve">INFTBPFP</t>
  </si>
  <si>
    <t xml:space="preserve">INFTJKFP</t>
  </si>
  <si>
    <t xml:space="preserve">INFTLQIP</t>
  </si>
  <si>
    <t xml:space="preserve">INFTSJFP</t>
  </si>
  <si>
    <t xml:space="preserve">INFTTKIP</t>
  </si>
  <si>
    <t xml:space="preserve">INFTU1VP</t>
  </si>
  <si>
    <t xml:space="preserve">INFTUMFP</t>
  </si>
  <si>
    <t xml:space="preserve">INFTWGIP</t>
  </si>
  <si>
    <t xml:space="preserve">INFTZIIP</t>
  </si>
  <si>
    <t xml:space="preserve">INFU2IIP</t>
  </si>
  <si>
    <t xml:space="preserve">INFU54IP</t>
  </si>
  <si>
    <t xml:space="preserve">INFU54VP</t>
  </si>
  <si>
    <t xml:space="preserve">INFUA7IP</t>
  </si>
  <si>
    <t xml:space="preserve">INFUC7IP</t>
  </si>
  <si>
    <t xml:space="preserve">INFUHWIP</t>
  </si>
  <si>
    <t xml:space="preserve">INFUSHIP</t>
  </si>
  <si>
    <t xml:space="preserve">INFUVUIP</t>
  </si>
  <si>
    <t xml:space="preserve">INFUWAIP</t>
  </si>
  <si>
    <t xml:space="preserve">INFUYTVP</t>
  </si>
  <si>
    <t xml:space="preserve">INFV26FP</t>
  </si>
  <si>
    <t xml:space="preserve">INFV3EIP</t>
  </si>
  <si>
    <t xml:space="preserve">INFVA8VP</t>
  </si>
  <si>
    <t xml:space="preserve">INFVAQFP</t>
  </si>
  <si>
    <t xml:space="preserve">INFVB5IP</t>
  </si>
  <si>
    <t xml:space="preserve">INFVDIIP</t>
  </si>
  <si>
    <t xml:space="preserve">INFVM0IP</t>
  </si>
  <si>
    <t xml:space="preserve">INFVN3IP</t>
  </si>
  <si>
    <t xml:space="preserve">INFW59IP</t>
  </si>
  <si>
    <t xml:space="preserve">INFW5EFP</t>
  </si>
  <si>
    <t xml:space="preserve">INFWATFP</t>
  </si>
  <si>
    <t xml:space="preserve">INFWDOIP</t>
  </si>
  <si>
    <t xml:space="preserve">INFWFGIP</t>
  </si>
  <si>
    <t xml:space="preserve">INFWJGFP</t>
  </si>
  <si>
    <t xml:space="preserve">INFWJMIP</t>
  </si>
  <si>
    <t xml:space="preserve">INFWKZIP</t>
  </si>
  <si>
    <t xml:space="preserve">INFWM</t>
  </si>
  <si>
    <t xml:space="preserve">INFWOEFP</t>
  </si>
  <si>
    <t xml:space="preserve">INFWP4VP</t>
  </si>
  <si>
    <t xml:space="preserve">INFWRCIP</t>
  </si>
  <si>
    <t xml:space="preserve">INFWT5IP</t>
  </si>
  <si>
    <t xml:space="preserve">INFX92IP</t>
  </si>
  <si>
    <t xml:space="preserve">INFXC4IP</t>
  </si>
  <si>
    <t xml:space="preserve">INFXC6IP</t>
  </si>
  <si>
    <t xml:space="preserve">INFXNUIP</t>
  </si>
  <si>
    <t xml:space="preserve">INFXPVVP</t>
  </si>
  <si>
    <t xml:space="preserve">INFXU5VP</t>
  </si>
  <si>
    <t xml:space="preserve">INFXX6IP</t>
  </si>
  <si>
    <t xml:space="preserve">INFXYHVP</t>
  </si>
  <si>
    <t xml:space="preserve">INFY01IP</t>
  </si>
  <si>
    <t xml:space="preserve">INFY61IP</t>
  </si>
  <si>
    <t xml:space="preserve">INFY6MFP</t>
  </si>
  <si>
    <t xml:space="preserve">INFYEHFP</t>
  </si>
  <si>
    <t xml:space="preserve">INFYEPIP</t>
  </si>
  <si>
    <t xml:space="preserve">INFYFAFP</t>
  </si>
  <si>
    <t xml:space="preserve">INFYIDIP</t>
  </si>
  <si>
    <t xml:space="preserve">INFYIRVP</t>
  </si>
  <si>
    <t xml:space="preserve">INFYJEFP</t>
  </si>
  <si>
    <t xml:space="preserve">INFYQBIP</t>
  </si>
  <si>
    <t xml:space="preserve">INFYSZVP</t>
  </si>
  <si>
    <t xml:space="preserve">INFYUFIP</t>
  </si>
  <si>
    <t xml:space="preserve">INFZ0AFP</t>
  </si>
  <si>
    <t xml:space="preserve">INFZ0XIP</t>
  </si>
  <si>
    <t xml:space="preserve">INFZ27VP</t>
  </si>
  <si>
    <t xml:space="preserve">INFZ4EIP</t>
  </si>
  <si>
    <t xml:space="preserve">INFZ7TVP</t>
  </si>
  <si>
    <t xml:space="preserve">INFZ86FP</t>
  </si>
  <si>
    <t xml:space="preserve">INFZBHIP</t>
  </si>
  <si>
    <t xml:space="preserve">INFZC8FP</t>
  </si>
  <si>
    <t xml:space="preserve">INFZMOIP</t>
  </si>
  <si>
    <t xml:space="preserve">INFZN5VP</t>
  </si>
  <si>
    <t xml:space="preserve">INFZOEFP</t>
  </si>
  <si>
    <t xml:space="preserve">INFZPOFP</t>
  </si>
  <si>
    <t xml:space="preserve">INFZTXIP</t>
  </si>
  <si>
    <t xml:space="preserve">INFZVAFP</t>
  </si>
  <si>
    <t xml:space="preserve">INFZVKVP</t>
  </si>
  <si>
    <t xml:space="preserve">INFZW3VP</t>
  </si>
  <si>
    <t xml:space="preserve">INFZWSVP</t>
  </si>
  <si>
    <t xml:space="preserve">INFZWUFP</t>
  </si>
  <si>
    <t xml:space="preserve">INFZX1VP</t>
  </si>
  <si>
    <t xml:space="preserve">INFZXPVP</t>
  </si>
  <si>
    <t xml:space="preserve">INFZXRFP</t>
  </si>
  <si>
    <t xml:space="preserve">INFZZ4FP</t>
  </si>
  <si>
    <t xml:space="preserve">INQNCC</t>
  </si>
  <si>
    <t xml:space="preserve">QNCC 50% OFF</t>
  </si>
  <si>
    <t xml:space="preserve">IR03TDFF</t>
  </si>
  <si>
    <t xml:space="preserve">Giveaway Guest</t>
  </si>
  <si>
    <t xml:space="preserve">IR09EHTF</t>
  </si>
  <si>
    <t xml:space="preserve">IR0QZHFF</t>
  </si>
  <si>
    <t xml:space="preserve">2025-01</t>
  </si>
  <si>
    <t xml:space="preserve">IR0TIOVF</t>
  </si>
  <si>
    <t xml:space="preserve">IR0UZOZF</t>
  </si>
  <si>
    <t xml:space="preserve">IR0YNJ6V</t>
  </si>
  <si>
    <t xml:space="preserve">VIP GUEST</t>
  </si>
  <si>
    <t xml:space="preserve">IR1FUOPS</t>
  </si>
  <si>
    <t xml:space="preserve">Guest / Giveaway</t>
  </si>
  <si>
    <t xml:space="preserve">IR1L375F</t>
  </si>
  <si>
    <t xml:space="preserve">IR1P0MQS</t>
  </si>
  <si>
    <t xml:space="preserve">IR1SVQLF</t>
  </si>
  <si>
    <t xml:space="preserve">IR1TM14S</t>
  </si>
  <si>
    <t xml:space="preserve">IR1V4WJF</t>
  </si>
  <si>
    <t xml:space="preserve">IR24D5RF</t>
  </si>
  <si>
    <t xml:space="preserve">IR27P5NF</t>
  </si>
  <si>
    <t xml:space="preserve">IR2H409F</t>
  </si>
  <si>
    <t xml:space="preserve">IR2KWG7S</t>
  </si>
  <si>
    <t xml:space="preserve">IR2L4FNF</t>
  </si>
  <si>
    <t xml:space="preserve">IR2R0WBF</t>
  </si>
  <si>
    <t xml:space="preserve">IR3E5GDF</t>
  </si>
  <si>
    <t xml:space="preserve">IR3HSGCS</t>
  </si>
  <si>
    <t xml:space="preserve">IR3MEYSF</t>
  </si>
  <si>
    <t xml:space="preserve">IR3N142F</t>
  </si>
  <si>
    <t xml:space="preserve">IR3P070F</t>
  </si>
  <si>
    <t xml:space="preserve">IR3P9X9F</t>
  </si>
  <si>
    <t xml:space="preserve">IR3S8NEF</t>
  </si>
  <si>
    <t xml:space="preserve">IR41U61F</t>
  </si>
  <si>
    <t xml:space="preserve">IR43R9EF</t>
  </si>
  <si>
    <t xml:space="preserve">IR4DNVYS</t>
  </si>
  <si>
    <t xml:space="preserve">IR4FEAGF</t>
  </si>
  <si>
    <t xml:space="preserve">IR4JU1DF</t>
  </si>
  <si>
    <t xml:space="preserve">IR4K68EF</t>
  </si>
  <si>
    <t xml:space="preserve">IR4LU6RF</t>
  </si>
  <si>
    <t xml:space="preserve">IR5IT9SS</t>
  </si>
  <si>
    <t xml:space="preserve">IR5RV97F</t>
  </si>
  <si>
    <t xml:space="preserve">IR5T7A0F</t>
  </si>
  <si>
    <t xml:space="preserve">IR5ZWULF</t>
  </si>
  <si>
    <t xml:space="preserve">IR62P0WF</t>
  </si>
  <si>
    <t xml:space="preserve">IR6JD2XF</t>
  </si>
  <si>
    <t xml:space="preserve">IR6RCJJF</t>
  </si>
  <si>
    <t xml:space="preserve">IR6VYVIF</t>
  </si>
  <si>
    <t xml:space="preserve">IR70IB6F</t>
  </si>
  <si>
    <t xml:space="preserve">IR73HU0S</t>
  </si>
  <si>
    <t xml:space="preserve">IR7DOZFF</t>
  </si>
  <si>
    <t xml:space="preserve">IR7DW9NS</t>
  </si>
  <si>
    <t xml:space="preserve">IR7RGKWS</t>
  </si>
  <si>
    <t xml:space="preserve">IR7V3L9F</t>
  </si>
  <si>
    <t xml:space="preserve">IR7WFKMF</t>
  </si>
  <si>
    <t xml:space="preserve">IR7X8CXF</t>
  </si>
  <si>
    <t xml:space="preserve">IR7ZIUTF</t>
  </si>
  <si>
    <t xml:space="preserve">IR87GA5F</t>
  </si>
  <si>
    <t xml:space="preserve">IR8BV7YF</t>
  </si>
  <si>
    <t xml:space="preserve">IR8HX6ZF</t>
  </si>
  <si>
    <t xml:space="preserve">IR8JLF3F</t>
  </si>
  <si>
    <t xml:space="preserve">IR8PLMQF</t>
  </si>
  <si>
    <t xml:space="preserve">IR9IY1WF</t>
  </si>
  <si>
    <t xml:space="preserve">IR9JT51F</t>
  </si>
  <si>
    <t xml:space="preserve">IR9MH1VF</t>
  </si>
  <si>
    <t xml:space="preserve">IR9MZNCF</t>
  </si>
  <si>
    <t xml:space="preserve">IR9Z6XMF</t>
  </si>
  <si>
    <t xml:space="preserve">IRAFLJ3F</t>
  </si>
  <si>
    <t xml:space="preserve">IRAJ769F</t>
  </si>
  <si>
    <t xml:space="preserve">IRAJUCMF</t>
  </si>
  <si>
    <t xml:space="preserve">IRAMKA1F</t>
  </si>
  <si>
    <t xml:space="preserve">IRAS30FF</t>
  </si>
  <si>
    <t xml:space="preserve">IRATHDWF</t>
  </si>
  <si>
    <t xml:space="preserve">IRB1F08F</t>
  </si>
  <si>
    <t xml:space="preserve">IRB5GH9F</t>
  </si>
  <si>
    <t xml:space="preserve">IRB8B7KF</t>
  </si>
  <si>
    <t xml:space="preserve">IRBBHNLF</t>
  </si>
  <si>
    <t xml:space="preserve">IRBEAFCS</t>
  </si>
  <si>
    <t xml:space="preserve">IRBKEKDS</t>
  </si>
  <si>
    <t xml:space="preserve">IRBU24DF</t>
  </si>
  <si>
    <t xml:space="preserve">IRBV3X2F</t>
  </si>
  <si>
    <t xml:space="preserve">IRC54YRF</t>
  </si>
  <si>
    <t xml:space="preserve">IRC7JCVF</t>
  </si>
  <si>
    <t xml:space="preserve">IRC7PKZF</t>
  </si>
  <si>
    <t xml:space="preserve">IRC7XUEF</t>
  </si>
  <si>
    <t xml:space="preserve">IRC965BF</t>
  </si>
  <si>
    <t xml:space="preserve">IRCB45IF</t>
  </si>
  <si>
    <t xml:space="preserve">IRCCB45V</t>
  </si>
  <si>
    <t xml:space="preserve">IRCEF8JF</t>
  </si>
  <si>
    <t xml:space="preserve">IRCR2CGF</t>
  </si>
  <si>
    <t xml:space="preserve">IRCSZCJF</t>
  </si>
  <si>
    <t xml:space="preserve">IRD9YQDV</t>
  </si>
  <si>
    <t xml:space="preserve">IRDBXHFS</t>
  </si>
  <si>
    <t xml:space="preserve">IRDI66RF</t>
  </si>
  <si>
    <t xml:space="preserve">IRDRRM4F</t>
  </si>
  <si>
    <t xml:space="preserve">IRDX444S</t>
  </si>
  <si>
    <t xml:space="preserve">IRE0J4UF</t>
  </si>
  <si>
    <t xml:space="preserve">IRE2XQ8F</t>
  </si>
  <si>
    <t xml:space="preserve">IRE9R3PS</t>
  </si>
  <si>
    <t xml:space="preserve">IREICMVF</t>
  </si>
  <si>
    <t xml:space="preserve">IRER9MUF</t>
  </si>
  <si>
    <t xml:space="preserve">IREY8CIF</t>
  </si>
  <si>
    <t xml:space="preserve">IRFARTZF</t>
  </si>
  <si>
    <t xml:space="preserve">IRFHG9DF</t>
  </si>
  <si>
    <t xml:space="preserve">IRFSYTAF</t>
  </si>
  <si>
    <t xml:space="preserve">IRFT2P1F</t>
  </si>
  <si>
    <t xml:space="preserve">IRFX1HZF</t>
  </si>
  <si>
    <t xml:space="preserve">IRG0WL9F</t>
  </si>
  <si>
    <t xml:space="preserve">IRG3PU8F</t>
  </si>
  <si>
    <t xml:space="preserve">IRG3SBAF</t>
  </si>
  <si>
    <t xml:space="preserve">IRGENL9F</t>
  </si>
  <si>
    <t xml:space="preserve">IRGKZ78F</t>
  </si>
  <si>
    <t xml:space="preserve">IRGR257F</t>
  </si>
  <si>
    <t xml:space="preserve">IRGTRAOF</t>
  </si>
  <si>
    <t xml:space="preserve">IRH2UMOF</t>
  </si>
  <si>
    <t xml:space="preserve">IRH54XQF</t>
  </si>
  <si>
    <t xml:space="preserve">IRHD0LAF</t>
  </si>
  <si>
    <t xml:space="preserve">IRHJJSKF</t>
  </si>
  <si>
    <t xml:space="preserve">IRHVNZSF</t>
  </si>
  <si>
    <t xml:space="preserve">IRI8ORQS</t>
  </si>
  <si>
    <t xml:space="preserve">IRIF9WGF</t>
  </si>
  <si>
    <t xml:space="preserve">IRIGMLWF</t>
  </si>
  <si>
    <t xml:space="preserve">IRILGPYF</t>
  </si>
  <si>
    <t xml:space="preserve">IRIMI9VF</t>
  </si>
  <si>
    <t xml:space="preserve">IRIUCB3F</t>
  </si>
  <si>
    <t xml:space="preserve">IRIV5U1F</t>
  </si>
  <si>
    <t xml:space="preserve">IRIWJ91F</t>
  </si>
  <si>
    <t xml:space="preserve">IRJ34RKS</t>
  </si>
  <si>
    <t xml:space="preserve">IRJIS4ZF</t>
  </si>
  <si>
    <t xml:space="preserve">IRJLP7CF</t>
  </si>
  <si>
    <t xml:space="preserve">IRJQ554F</t>
  </si>
  <si>
    <t xml:space="preserve">IRJXODBF</t>
  </si>
  <si>
    <t xml:space="preserve">IRJXYYZF</t>
  </si>
  <si>
    <t xml:space="preserve">IRK2LELF</t>
  </si>
  <si>
    <t xml:space="preserve">IRK55TPF</t>
  </si>
  <si>
    <t xml:space="preserve">IRK642KF</t>
  </si>
  <si>
    <t xml:space="preserve">IRK6OPHF</t>
  </si>
  <si>
    <t xml:space="preserve">IRK8XSTF</t>
  </si>
  <si>
    <t xml:space="preserve">IRKHZ6TF</t>
  </si>
  <si>
    <t xml:space="preserve">IRKJ5K9V</t>
  </si>
  <si>
    <t xml:space="preserve">IRKOC89F</t>
  </si>
  <si>
    <t xml:space="preserve">IRKUDZSF</t>
  </si>
  <si>
    <t xml:space="preserve">IRL1HNEF</t>
  </si>
  <si>
    <t xml:space="preserve">IRL49T5F</t>
  </si>
  <si>
    <t xml:space="preserve">IRL6DYZF</t>
  </si>
  <si>
    <t xml:space="preserve">IRLFQP9F</t>
  </si>
  <si>
    <t xml:space="preserve">IRLG64GF</t>
  </si>
  <si>
    <t xml:space="preserve">IRLL4EZS</t>
  </si>
  <si>
    <t xml:space="preserve">IRLLEQCF</t>
  </si>
  <si>
    <t xml:space="preserve">IRLN4JLF</t>
  </si>
  <si>
    <t xml:space="preserve">IRM0PQFF</t>
  </si>
  <si>
    <t xml:space="preserve">IRM2VLXF</t>
  </si>
  <si>
    <t xml:space="preserve">IRM4U6VF</t>
  </si>
  <si>
    <t xml:space="preserve">IRMELINF</t>
  </si>
  <si>
    <t xml:space="preserve">IRMIV21S</t>
  </si>
  <si>
    <t xml:space="preserve">IRMPDT5F</t>
  </si>
  <si>
    <t xml:space="preserve">IRN1QDGF</t>
  </si>
  <si>
    <t xml:space="preserve">IRN2FHWS</t>
  </si>
  <si>
    <t xml:space="preserve">IRN4LTJS</t>
  </si>
  <si>
    <t xml:space="preserve">IRNBKSUS</t>
  </si>
  <si>
    <t xml:space="preserve">IRNFXM2F</t>
  </si>
  <si>
    <t xml:space="preserve">IRNTA7IS</t>
  </si>
  <si>
    <t xml:space="preserve">IRNU0L9F</t>
  </si>
  <si>
    <t xml:space="preserve">IRO45UZS</t>
  </si>
  <si>
    <t xml:space="preserve">IRO7X2KF</t>
  </si>
  <si>
    <t xml:space="preserve">IRP0XYRF</t>
  </si>
  <si>
    <t xml:space="preserve">IRP0Z7NF</t>
  </si>
  <si>
    <t xml:space="preserve">IRP267XF</t>
  </si>
  <si>
    <t xml:space="preserve">IRP77H0S</t>
  </si>
  <si>
    <t xml:space="preserve">IRP9543F</t>
  </si>
  <si>
    <t xml:space="preserve">IRPBR43S</t>
  </si>
  <si>
    <t xml:space="preserve">IRPMXGCF</t>
  </si>
  <si>
    <t xml:space="preserve">IRPVD13F</t>
  </si>
  <si>
    <t xml:space="preserve">IRPW3G4F</t>
  </si>
  <si>
    <t xml:space="preserve">IRQPQWVF</t>
  </si>
  <si>
    <t xml:space="preserve">IRQSPJ5F</t>
  </si>
  <si>
    <t xml:space="preserve">IRQXA7BS</t>
  </si>
  <si>
    <t xml:space="preserve">IRR1D3XF</t>
  </si>
  <si>
    <t xml:space="preserve">IRRBA5VF</t>
  </si>
  <si>
    <t xml:space="preserve">IRRCNZMF</t>
  </si>
  <si>
    <t xml:space="preserve">IRRH0BNS</t>
  </si>
  <si>
    <t xml:space="preserve">IRRI830F</t>
  </si>
  <si>
    <t xml:space="preserve">IRRT4F6F</t>
  </si>
  <si>
    <t xml:space="preserve">IRRVPRAS</t>
  </si>
  <si>
    <t xml:space="preserve">IRRXGZ1F</t>
  </si>
  <si>
    <t xml:space="preserve">IRRXVJSS</t>
  </si>
  <si>
    <t xml:space="preserve">IRRZVMTS</t>
  </si>
  <si>
    <t xml:space="preserve">IRS4B1VS</t>
  </si>
  <si>
    <t xml:space="preserve">IRS4XFLF</t>
  </si>
  <si>
    <t xml:space="preserve">IRS70OQS</t>
  </si>
  <si>
    <t xml:space="preserve">IRS9MREF</t>
  </si>
  <si>
    <t xml:space="preserve">IRSBPKOS</t>
  </si>
  <si>
    <t xml:space="preserve">IRSZ00DF</t>
  </si>
  <si>
    <t xml:space="preserve">IRT968SF</t>
  </si>
  <si>
    <t xml:space="preserve">IRTGJTRF</t>
  </si>
  <si>
    <t xml:space="preserve">IRTJ4T2F</t>
  </si>
  <si>
    <t xml:space="preserve">IRTOEGPS</t>
  </si>
  <si>
    <t xml:space="preserve">IRTRV1XF</t>
  </si>
  <si>
    <t xml:space="preserve">IRTZG6MF</t>
  </si>
  <si>
    <t xml:space="preserve">IRUH7LRF</t>
  </si>
  <si>
    <t xml:space="preserve">IRUNDKLS</t>
  </si>
  <si>
    <t xml:space="preserve">IRUV1JVF</t>
  </si>
  <si>
    <t xml:space="preserve">IRV18SEF</t>
  </si>
  <si>
    <t xml:space="preserve">IRV9M5EF</t>
  </si>
  <si>
    <t xml:space="preserve">IRVLO3GS</t>
  </si>
  <si>
    <t xml:space="preserve">IRVMR2YF</t>
  </si>
  <si>
    <t xml:space="preserve">IRVN68YS</t>
  </si>
  <si>
    <t xml:space="preserve">IRVPQRVF</t>
  </si>
  <si>
    <t xml:space="preserve">IRVWLJ1F</t>
  </si>
  <si>
    <t xml:space="preserve">IRW0HEGF</t>
  </si>
  <si>
    <t xml:space="preserve">IRWAUBIF</t>
  </si>
  <si>
    <t xml:space="preserve">IRWWTGPS</t>
  </si>
  <si>
    <t xml:space="preserve">IRX4G6PS</t>
  </si>
  <si>
    <t xml:space="preserve">IRXJS16F</t>
  </si>
  <si>
    <t xml:space="preserve">IRXP5QXF</t>
  </si>
  <si>
    <t xml:space="preserve">IRXR44LF</t>
  </si>
  <si>
    <t xml:space="preserve">IRXUBDRF</t>
  </si>
  <si>
    <t xml:space="preserve">IRXV1NQF</t>
  </si>
  <si>
    <t xml:space="preserve">IRXVXWOF</t>
  </si>
  <si>
    <t xml:space="preserve">IRY1WODF</t>
  </si>
  <si>
    <t xml:space="preserve">IRY2JSQF</t>
  </si>
  <si>
    <t xml:space="preserve">IRY92Z8F</t>
  </si>
  <si>
    <t xml:space="preserve">IRYE5BGF</t>
  </si>
  <si>
    <t xml:space="preserve">IRYEGBHV</t>
  </si>
  <si>
    <t xml:space="preserve">IRZGUYMF</t>
  </si>
  <si>
    <t xml:space="preserve">IRZJCUCF</t>
  </si>
  <si>
    <t xml:space="preserve">IRZP7YSS</t>
  </si>
  <si>
    <t xml:space="preserve">IRZPQ4PF</t>
  </si>
  <si>
    <t xml:space="preserve">IRZUD4ZS</t>
  </si>
  <si>
    <t xml:space="preserve">IRZVF0UV</t>
  </si>
  <si>
    <t xml:space="preserve">IRZYXPAF</t>
  </si>
  <si>
    <t xml:space="preserve">IRZZMHGF</t>
  </si>
  <si>
    <t xml:space="preserve">JA20</t>
  </si>
  <si>
    <t xml:space="preserve">Al Jazeera 20% discount</t>
  </si>
  <si>
    <t xml:space="preserve">JOHNBA1</t>
  </si>
  <si>
    <t xml:space="preserve">KDAL</t>
  </si>
  <si>
    <t xml:space="preserve">Al Jazeera Imityazat 15%</t>
  </si>
  <si>
    <t xml:space="preserve">KDFM</t>
  </si>
  <si>
    <t xml:space="preserve">Dar App by fadaat media 15%</t>
  </si>
  <si>
    <t xml:space="preserve">KDHS50</t>
  </si>
  <si>
    <t xml:space="preserve">Hussain Mehdi 50%</t>
  </si>
  <si>
    <t xml:space="preserve">KDMB100</t>
  </si>
  <si>
    <t xml:space="preserve">Kds my book 100%</t>
  </si>
  <si>
    <t xml:space="preserve">KDQA</t>
  </si>
  <si>
    <t xml:space="preserve">Qatar Airways 15%</t>
  </si>
  <si>
    <t xml:space="preserve">KDQB</t>
  </si>
  <si>
    <t xml:space="preserve">QIB 15%</t>
  </si>
  <si>
    <t xml:space="preserve">KDSMB50</t>
  </si>
  <si>
    <t xml:space="preserve">50% mybook discount</t>
  </si>
  <si>
    <t xml:space="preserve">KIDSQTR1</t>
  </si>
  <si>
    <t xml:space="preserve">KILBW7</t>
  </si>
  <si>
    <t xml:space="preserve">KRISBOU23</t>
  </si>
  <si>
    <t xml:space="preserve">KTP23</t>
  </si>
  <si>
    <t xml:space="preserve">L50</t>
  </si>
  <si>
    <t xml:space="preserve">STAFF 50%</t>
  </si>
  <si>
    <t xml:space="preserve">LEG1A7FQ</t>
  </si>
  <si>
    <t xml:space="preserve">2024-04</t>
  </si>
  <si>
    <t xml:space="preserve">LEG1H5FQ</t>
  </si>
  <si>
    <t xml:space="preserve">le clefs</t>
  </si>
  <si>
    <t xml:space="preserve">LEG1N4FQ</t>
  </si>
  <si>
    <t xml:space="preserve">LEG2H7FQ</t>
  </si>
  <si>
    <t xml:space="preserve">TripleF</t>
  </si>
  <si>
    <t xml:space="preserve">LEG2K7FQ</t>
  </si>
  <si>
    <t xml:space="preserve">LEG2M8FQ</t>
  </si>
  <si>
    <t xml:space="preserve">LEG2U4FQ</t>
  </si>
  <si>
    <t xml:space="preserve">LEG3D9FQ</t>
  </si>
  <si>
    <t xml:space="preserve">LEG3H5FQ</t>
  </si>
  <si>
    <t xml:space="preserve">LEG4J9FQ</t>
  </si>
  <si>
    <t xml:space="preserve">LEG4P6FQ</t>
  </si>
  <si>
    <t xml:space="preserve">LEG4Z1FQ</t>
  </si>
  <si>
    <t xml:space="preserve">LEG5R2FQ</t>
  </si>
  <si>
    <t xml:space="preserve">LEG6B4FQ</t>
  </si>
  <si>
    <t xml:space="preserve">LEG6J2FQ</t>
  </si>
  <si>
    <t xml:space="preserve">LEG7V8FQ</t>
  </si>
  <si>
    <t xml:space="preserve">LEG7X4FQ</t>
  </si>
  <si>
    <t xml:space="preserve">LEG8G0FQ</t>
  </si>
  <si>
    <t xml:space="preserve">Andrew Hay</t>
  </si>
  <si>
    <t xml:space="preserve">LEG8H2FQ</t>
  </si>
  <si>
    <t xml:space="preserve">LEG8M0FQ</t>
  </si>
  <si>
    <t xml:space="preserve">LEG9F3FQ</t>
  </si>
  <si>
    <t xml:space="preserve">LEG9G1FQ</t>
  </si>
  <si>
    <t xml:space="preserve">LEGAB6FQ</t>
  </si>
  <si>
    <t xml:space="preserve">LEGFT7FQ</t>
  </si>
  <si>
    <t xml:space="preserve">LEGFW5FQ</t>
  </si>
  <si>
    <t xml:space="preserve">LEGFZ2FQ</t>
  </si>
  <si>
    <t xml:space="preserve">LEGHJ8FQ</t>
  </si>
  <si>
    <t xml:space="preserve">LEGIA4FQ</t>
  </si>
  <si>
    <t xml:space="preserve">LEGJB1FQ</t>
  </si>
  <si>
    <t xml:space="preserve">LEGJQ6FQ</t>
  </si>
  <si>
    <t xml:space="preserve">LEGKC6FQ</t>
  </si>
  <si>
    <t xml:space="preserve">LEGKT8FQ</t>
  </si>
  <si>
    <t xml:space="preserve">LEGKW8FQ</t>
  </si>
  <si>
    <t xml:space="preserve">Ahlem Tabet</t>
  </si>
  <si>
    <t xml:space="preserve">LEGLY9FQ</t>
  </si>
  <si>
    <t xml:space="preserve">LEGMH3FQ</t>
  </si>
  <si>
    <t xml:space="preserve">LEGNQ7FQ</t>
  </si>
  <si>
    <t xml:space="preserve">LEGOR0FQ</t>
  </si>
  <si>
    <t xml:space="preserve">LEGOT8FQ</t>
  </si>
  <si>
    <t xml:space="preserve">KIDS LOVE QATR</t>
  </si>
  <si>
    <t xml:space="preserve">LEGPJ6FQ</t>
  </si>
  <si>
    <t xml:space="preserve">LEGQZ8FQ</t>
  </si>
  <si>
    <t xml:space="preserve">LEGRK2FQ</t>
  </si>
  <si>
    <t xml:space="preserve">LEGSD5FQ</t>
  </si>
  <si>
    <t xml:space="preserve">LEGSZ9FQ</t>
  </si>
  <si>
    <t xml:space="preserve">LEGTB7FQ</t>
  </si>
  <si>
    <t xml:space="preserve">LEGUC4FQ</t>
  </si>
  <si>
    <t xml:space="preserve">LEGUW0FQ</t>
  </si>
  <si>
    <t xml:space="preserve">LEGWN5FQ</t>
  </si>
  <si>
    <t xml:space="preserve">Everything Mama</t>
  </si>
  <si>
    <t xml:space="preserve">LEGWU9FQ</t>
  </si>
  <si>
    <t xml:space="preserve">LEGXC3FQ</t>
  </si>
  <si>
    <t xml:space="preserve">LEGXY9FQ</t>
  </si>
  <si>
    <t xml:space="preserve">LEGYQ0FQ</t>
  </si>
  <si>
    <t xml:space="preserve">LEGYQ6FQ</t>
  </si>
  <si>
    <t xml:space="preserve">Eat974</t>
  </si>
  <si>
    <t xml:space="preserve">LEGZP3FQ</t>
  </si>
  <si>
    <t xml:space="preserve">LEGZP6FQ</t>
  </si>
  <si>
    <t xml:space="preserve">LEGZP7FQ</t>
  </si>
  <si>
    <t xml:space="preserve">LGAG50</t>
  </si>
  <si>
    <t xml:space="preserve">E3-50%</t>
  </si>
  <si>
    <t xml:space="preserve">LGE3SF</t>
  </si>
  <si>
    <t xml:space="preserve">E3 Staff</t>
  </si>
  <si>
    <t xml:space="preserve">LGEM20</t>
  </si>
  <si>
    <t xml:space="preserve">CORPORATE 20%</t>
  </si>
  <si>
    <t xml:space="preserve">LGNH50</t>
  </si>
  <si>
    <t xml:space="preserve">LGNMA50</t>
  </si>
  <si>
    <t xml:space="preserve">LGONVIS</t>
  </si>
  <si>
    <t xml:space="preserve">School</t>
  </si>
  <si>
    <t xml:space="preserve">LGRRA50</t>
  </si>
  <si>
    <t xml:space="preserve">LGSS50</t>
  </si>
  <si>
    <t xml:space="preserve">LGZL50</t>
  </si>
  <si>
    <t xml:space="preserve">LIFEQTR1</t>
  </si>
  <si>
    <t xml:space="preserve">LSCIC20</t>
  </si>
  <si>
    <t xml:space="preserve">LSDP20</t>
  </si>
  <si>
    <t xml:space="preserve">20% Day pass for Lebanese school. lego shows</t>
  </si>
  <si>
    <t xml:space="preserve">LSFP10</t>
  </si>
  <si>
    <t xml:space="preserve">10% family pass for lebanese school. lego shows</t>
  </si>
  <si>
    <t xml:space="preserve">LSP0H8DP</t>
  </si>
  <si>
    <t xml:space="preserve">QNCC</t>
  </si>
  <si>
    <t xml:space="preserve">LSP0L6DP</t>
  </si>
  <si>
    <t xml:space="preserve">QATR EVENTS</t>
  </si>
  <si>
    <t xml:space="preserve">LSP1Z3DP</t>
  </si>
  <si>
    <t xml:space="preserve">LSP2A4DP</t>
  </si>
  <si>
    <t xml:space="preserve">LSP3K7DP</t>
  </si>
  <si>
    <t xml:space="preserve">LSP3T4DP</t>
  </si>
  <si>
    <t xml:space="preserve">LSP4J6DP</t>
  </si>
  <si>
    <t xml:space="preserve">LSP5P9DP</t>
  </si>
  <si>
    <t xml:space="preserve">LSP5Z2DP</t>
  </si>
  <si>
    <t xml:space="preserve">LSP6P5DP</t>
  </si>
  <si>
    <t xml:space="preserve">LSP7C0DP</t>
  </si>
  <si>
    <t xml:space="preserve">LSP7T0DP</t>
  </si>
  <si>
    <t xml:space="preserve">LSPQF2DP</t>
  </si>
  <si>
    <t xml:space="preserve">LSPWF5DP</t>
  </si>
  <si>
    <t xml:space="preserve">LSQ0H2DP</t>
  </si>
  <si>
    <t xml:space="preserve">VISIT QATAR</t>
  </si>
  <si>
    <t xml:space="preserve">LSQ2N9DP</t>
  </si>
  <si>
    <t xml:space="preserve">LSQ5X6DP</t>
  </si>
  <si>
    <t xml:space="preserve">LSQ6D7DP</t>
  </si>
  <si>
    <t xml:space="preserve">LSQAF4DP</t>
  </si>
  <si>
    <t xml:space="preserve">LSQBC9DP</t>
  </si>
  <si>
    <t xml:space="preserve">LSQBG1DP</t>
  </si>
  <si>
    <t xml:space="preserve">LSQBR3DP</t>
  </si>
  <si>
    <t xml:space="preserve">LSQCI1DP</t>
  </si>
  <si>
    <t xml:space="preserve">LSQDP8DP</t>
  </si>
  <si>
    <t xml:space="preserve">LSQDT9DP</t>
  </si>
  <si>
    <t xml:space="preserve">LSQDX0DP</t>
  </si>
  <si>
    <t xml:space="preserve">LSQEB2DP</t>
  </si>
  <si>
    <t xml:space="preserve">LSQFZ9DP</t>
  </si>
  <si>
    <t xml:space="preserve">LSQGP2DP</t>
  </si>
  <si>
    <t xml:space="preserve">LSQHT2DP</t>
  </si>
  <si>
    <t xml:space="preserve">LSQIB3DP</t>
  </si>
  <si>
    <t xml:space="preserve">LSQIO7DP</t>
  </si>
  <si>
    <t xml:space="preserve">LSQIU1DP</t>
  </si>
  <si>
    <t xml:space="preserve">LSQKD4DP</t>
  </si>
  <si>
    <t xml:space="preserve">LSQMF4DP</t>
  </si>
  <si>
    <t xml:space="preserve">LSQML1DP</t>
  </si>
  <si>
    <t xml:space="preserve">LSQOQ6DP</t>
  </si>
  <si>
    <t xml:space="preserve">LSQPL6DP</t>
  </si>
  <si>
    <t xml:space="preserve">LSQPV3DP</t>
  </si>
  <si>
    <t xml:space="preserve">LSQRJ8DP</t>
  </si>
  <si>
    <t xml:space="preserve">LSQRY6DP</t>
  </si>
  <si>
    <t xml:space="preserve">LSQSD4DP</t>
  </si>
  <si>
    <t xml:space="preserve">LSQSD8DP</t>
  </si>
  <si>
    <t xml:space="preserve">LSQUP1DP</t>
  </si>
  <si>
    <t xml:space="preserve">LSQVK0DP</t>
  </si>
  <si>
    <t xml:space="preserve">LSQWG6DP</t>
  </si>
  <si>
    <t xml:space="preserve">LSQWQ7DP</t>
  </si>
  <si>
    <t xml:space="preserve">LSQWX4DP</t>
  </si>
  <si>
    <t xml:space="preserve">LSQXK3DP</t>
  </si>
  <si>
    <t xml:space="preserve">LSQYA4DP</t>
  </si>
  <si>
    <t xml:space="preserve">LSQYF4DP</t>
  </si>
  <si>
    <t xml:space="preserve">LSQYH8DP</t>
  </si>
  <si>
    <t xml:space="preserve">LSQZY8DP</t>
  </si>
  <si>
    <t xml:space="preserve">LUSAIL1</t>
  </si>
  <si>
    <t xml:space="preserve">MARPN1</t>
  </si>
  <si>
    <t xml:space="preserve">MB100</t>
  </si>
  <si>
    <t xml:space="preserve">MBD</t>
  </si>
  <si>
    <t xml:space="preserve">My Book 20% Day Pass</t>
  </si>
  <si>
    <t xml:space="preserve">MBF</t>
  </si>
  <si>
    <t xml:space="preserve">Mybook 10% Family Pass</t>
  </si>
  <si>
    <t xml:space="preserve">MBIC20</t>
  </si>
  <si>
    <t xml:space="preserve">MDH123</t>
  </si>
  <si>
    <t xml:space="preserve">MEHDI123</t>
  </si>
  <si>
    <t xml:space="preserve">MRCHSTF1</t>
  </si>
  <si>
    <t xml:space="preserve">MRCHSTF2</t>
  </si>
  <si>
    <t xml:space="preserve">MRHB1</t>
  </si>
  <si>
    <t xml:space="preserve">MRWQ20</t>
  </si>
  <si>
    <t xml:space="preserve">Meryal Waterpark, Qetaifan Island North</t>
  </si>
  <si>
    <t xml:space="preserve">MYB100</t>
  </si>
  <si>
    <t xml:space="preserve">my book 100% off</t>
  </si>
  <si>
    <t xml:space="preserve">MYBOOK</t>
  </si>
  <si>
    <t xml:space="preserve">MY BOOK 25%</t>
  </si>
  <si>
    <t xml:space="preserve">MYBOOK20</t>
  </si>
  <si>
    <t xml:space="preserve">MY BOOK 20% DISCOUNT ON ALL PASSES EXCEPT VIP</t>
  </si>
  <si>
    <t xml:space="preserve">NISDP20</t>
  </si>
  <si>
    <t xml:space="preserve">20% day pass for Northview international school. lego shows.</t>
  </si>
  <si>
    <t xml:space="preserve">NORTHOIL20</t>
  </si>
  <si>
    <t xml:space="preserve">NORTH OIL</t>
  </si>
  <si>
    <t xml:space="preserve">OISIC20</t>
  </si>
  <si>
    <t xml:space="preserve">PB10</t>
  </si>
  <si>
    <t xml:space="preserve">10% Discount on Paintless-Paintball / Bazooka ball</t>
  </si>
  <si>
    <t xml:space="preserve">2025-02</t>
  </si>
  <si>
    <t xml:space="preserve">PRMA2023</t>
  </si>
  <si>
    <t xml:space="preserve">PRMB2023</t>
  </si>
  <si>
    <t xml:space="preserve">QA20</t>
  </si>
  <si>
    <t xml:space="preserve">QATAR AIRWAYS 20% DISCOUNT ON EVERY PASS</t>
  </si>
  <si>
    <t xml:space="preserve">QAF10</t>
  </si>
  <si>
    <t xml:space="preserve">Qatar Foundation 10% discount</t>
  </si>
  <si>
    <t xml:space="preserve">QAF20</t>
  </si>
  <si>
    <t xml:space="preserve">Qatar Foundation 20% discount</t>
  </si>
  <si>
    <t xml:space="preserve">QAIC20</t>
  </si>
  <si>
    <t xml:space="preserve">QAIF</t>
  </si>
  <si>
    <t xml:space="preserve">QBREE3</t>
  </si>
  <si>
    <t xml:space="preserve">Online Qabayan Radio 20%</t>
  </si>
  <si>
    <t xml:space="preserve">QFIC20</t>
  </si>
  <si>
    <t xml:space="preserve">QFLEGOD20</t>
  </si>
  <si>
    <t xml:space="preserve">QATAR FOUNDATION 20%</t>
  </si>
  <si>
    <t xml:space="preserve">QFP01</t>
  </si>
  <si>
    <t xml:space="preserve">QFS01</t>
  </si>
  <si>
    <t xml:space="preserve">QFSL01</t>
  </si>
  <si>
    <t xml:space="preserve">QHEFLA</t>
  </si>
  <si>
    <t xml:space="preserve">QHHINF</t>
  </si>
  <si>
    <t xml:space="preserve">QHPINF</t>
  </si>
  <si>
    <t xml:space="preserve">QIBIC20</t>
  </si>
  <si>
    <t xml:space="preserve">QIBJR</t>
  </si>
  <si>
    <t xml:space="preserve">QIB junior 15%</t>
  </si>
  <si>
    <t xml:space="preserve">QNCCIC20</t>
  </si>
  <si>
    <t xml:space="preserve">QPHFNI</t>
  </si>
  <si>
    <t xml:space="preserve">QRIC20</t>
  </si>
  <si>
    <t xml:space="preserve">QRSTF350</t>
  </si>
  <si>
    <t xml:space="preserve">QSE50</t>
  </si>
  <si>
    <t xml:space="preserve">Quasail Ali 50%</t>
  </si>
  <si>
    <t xml:space="preserve">RACINF</t>
  </si>
  <si>
    <t xml:space="preserve">RAMADAN15</t>
  </si>
  <si>
    <t xml:space="preserve">RAMADAN OFFER"</t>
  </si>
  <si>
    <t xml:space="preserve">2025-03</t>
  </si>
  <si>
    <t xml:space="preserve">RJIC</t>
  </si>
  <si>
    <t xml:space="preserve">RNINFT</t>
  </si>
  <si>
    <t xml:space="preserve">SADJAH1</t>
  </si>
  <si>
    <t xml:space="preserve">SC10</t>
  </si>
  <si>
    <t xml:space="preserve">supreme commite 10% off on family and inflata pass</t>
  </si>
  <si>
    <t xml:space="preserve">SCSP</t>
  </si>
  <si>
    <t xml:space="preserve">Classmate 15% super pass</t>
  </si>
  <si>
    <t xml:space="preserve">SLWMNZ</t>
  </si>
  <si>
    <t xml:space="preserve">SMNJ23</t>
  </si>
  <si>
    <t xml:space="preserve">SNYMO23</t>
  </si>
  <si>
    <t xml:space="preserve">STAFF50</t>
  </si>
  <si>
    <t xml:space="preserve">STAFF 50% OFF</t>
  </si>
  <si>
    <t xml:space="preserve">STAFFACC</t>
  </si>
  <si>
    <t xml:space="preserve">STAFTKT</t>
  </si>
  <si>
    <t xml:space="preserve">STFPK50</t>
  </si>
  <si>
    <t xml:space="preserve">E3 STAFF DISCOUNT 50%</t>
  </si>
  <si>
    <t xml:space="preserve">SUCCQVIP</t>
  </si>
  <si>
    <t xml:space="preserve">Complementary</t>
  </si>
  <si>
    <t xml:space="preserve">SUCQ15</t>
  </si>
  <si>
    <t xml:space="preserve">SUCQ DISCOUNT</t>
  </si>
  <si>
    <t xml:space="preserve">2025-04</t>
  </si>
  <si>
    <t xml:space="preserve">TOTALENG20</t>
  </si>
  <si>
    <t xml:space="preserve">TOTAL ENERGIES</t>
  </si>
  <si>
    <t xml:space="preserve">TRSM1001</t>
  </si>
  <si>
    <t xml:space="preserve">TRSM297</t>
  </si>
  <si>
    <t xml:space="preserve">TRSM330</t>
  </si>
  <si>
    <t xml:space="preserve">TRSM486</t>
  </si>
  <si>
    <t xml:space="preserve">TRSM492</t>
  </si>
  <si>
    <t xml:space="preserve">TRSM583</t>
  </si>
  <si>
    <t xml:space="preserve">TRSM647</t>
  </si>
  <si>
    <t xml:space="preserve">TRSM747</t>
  </si>
  <si>
    <t xml:space="preserve">TRSM950</t>
  </si>
  <si>
    <t xml:space="preserve">TYCRY8</t>
  </si>
  <si>
    <t xml:space="preserve">Test102</t>
  </si>
  <si>
    <t xml:space="preserve">Test103</t>
  </si>
  <si>
    <t xml:space="preserve">UBOGO</t>
  </si>
  <si>
    <t xml:space="preserve">50% buy one get one for urban point</t>
  </si>
  <si>
    <t xml:space="preserve">VHST10</t>
  </si>
  <si>
    <t xml:space="preserve">VQ10</t>
  </si>
  <si>
    <t xml:space="preserve">VQ20</t>
  </si>
  <si>
    <t xml:space="preserve">visit qatar 20% off</t>
  </si>
  <si>
    <t xml:space="preserve">VQIC20</t>
  </si>
  <si>
    <t xml:space="preserve">VUGD</t>
  </si>
  <si>
    <t xml:space="preserve">Virgin Upgrade 50%</t>
  </si>
  <si>
    <t xml:space="preserve">WINNER</t>
  </si>
  <si>
    <t xml:space="preserve">For winners</t>
  </si>
  <si>
    <t xml:space="preserve">WTSPDOH</t>
  </si>
  <si>
    <t xml:space="preserve">YALLA1</t>
  </si>
  <si>
    <t xml:space="preserve">YALLA2</t>
  </si>
  <si>
    <t xml:space="preserve">YEZNAV1</t>
  </si>
  <si>
    <t xml:space="preserve">inf251</t>
  </si>
  <si>
    <t xml:space="preserve">1</t>
  </si>
  <si>
    <t xml:space="preserve">inf2510</t>
  </si>
  <si>
    <t xml:space="preserve">10</t>
  </si>
  <si>
    <t xml:space="preserve">inf2511</t>
  </si>
  <si>
    <t xml:space="preserve">11</t>
  </si>
  <si>
    <t xml:space="preserve">inf2514</t>
  </si>
  <si>
    <t xml:space="preserve">14</t>
  </si>
  <si>
    <t xml:space="preserve">inf2515</t>
  </si>
  <si>
    <t xml:space="preserve">15</t>
  </si>
  <si>
    <t xml:space="preserve">inf2516</t>
  </si>
  <si>
    <t xml:space="preserve">16</t>
  </si>
  <si>
    <t xml:space="preserve">inf2517</t>
  </si>
  <si>
    <t xml:space="preserve">17</t>
  </si>
  <si>
    <t xml:space="preserve">inf2518</t>
  </si>
  <si>
    <t xml:space="preserve">18</t>
  </si>
  <si>
    <t xml:space="preserve">inf2519</t>
  </si>
  <si>
    <t xml:space="preserve">19</t>
  </si>
  <si>
    <t xml:space="preserve">inf252</t>
  </si>
  <si>
    <t xml:space="preserve">2</t>
  </si>
  <si>
    <t xml:space="preserve">inf2520</t>
  </si>
  <si>
    <t xml:space="preserve">20</t>
  </si>
  <si>
    <t xml:space="preserve">inf2521</t>
  </si>
  <si>
    <t xml:space="preserve">21</t>
  </si>
  <si>
    <t xml:space="preserve">inf2522</t>
  </si>
  <si>
    <t xml:space="preserve">22</t>
  </si>
  <si>
    <t xml:space="preserve">inf2523</t>
  </si>
  <si>
    <t xml:space="preserve">23</t>
  </si>
  <si>
    <t xml:space="preserve">inf2524</t>
  </si>
  <si>
    <t xml:space="preserve">24</t>
  </si>
  <si>
    <t xml:space="preserve">inf2525</t>
  </si>
  <si>
    <t xml:space="preserve">25</t>
  </si>
  <si>
    <t xml:space="preserve">inf253</t>
  </si>
  <si>
    <t xml:space="preserve">3</t>
  </si>
  <si>
    <t xml:space="preserve">inf254</t>
  </si>
  <si>
    <t xml:space="preserve">4</t>
  </si>
  <si>
    <t xml:space="preserve">inf255</t>
  </si>
  <si>
    <t xml:space="preserve">5</t>
  </si>
  <si>
    <t xml:space="preserve">inf256</t>
  </si>
  <si>
    <t xml:space="preserve">6</t>
  </si>
  <si>
    <t xml:space="preserve">inf257</t>
  </si>
  <si>
    <t xml:space="preserve">7</t>
  </si>
  <si>
    <t xml:space="preserve">inf258</t>
  </si>
  <si>
    <t xml:space="preserve">8</t>
  </si>
  <si>
    <t xml:space="preserve">inf259</t>
  </si>
  <si>
    <t xml:space="preserve">9</t>
  </si>
  <si>
    <t xml:space="preserve">lego20</t>
  </si>
  <si>
    <t xml:space="preserve">lego30</t>
  </si>
  <si>
    <t xml:space="preserve">lego show 30% for repeating customers</t>
  </si>
  <si>
    <t xml:space="preserve">odo</t>
  </si>
  <si>
    <t xml:space="preserve">ooredoo discount</t>
  </si>
  <si>
    <t xml:space="preserve">qrail</t>
  </si>
  <si>
    <t xml:space="preserve">Qatar Rail 100%</t>
  </si>
  <si>
    <t xml:space="preserve">raj14</t>
  </si>
  <si>
    <t xml:space="preserve">Test-ApplePay</t>
  </si>
  <si>
    <t xml:space="preserve">2024-05</t>
  </si>
  <si>
    <t xml:space="preserve">raj15</t>
  </si>
  <si>
    <t xml:space="preserve">Test-Apple Pay</t>
  </si>
  <si>
    <t xml:space="preserve">raj16</t>
  </si>
  <si>
    <t xml:space="preserve">app testing</t>
  </si>
  <si>
    <t xml:space="preserve">raj18</t>
  </si>
  <si>
    <t xml:space="preserve">application test</t>
  </si>
  <si>
    <t xml:space="preserve">raj34</t>
  </si>
  <si>
    <t xml:space="preserve">test</t>
  </si>
  <si>
    <t xml:space="preserve">school15</t>
  </si>
  <si>
    <t xml:space="preserve">Loydence school 15% off on space tribe</t>
  </si>
  <si>
    <t xml:space="preserve">test100</t>
  </si>
  <si>
    <t xml:space="preserve">apple pay promocode</t>
  </si>
  <si>
    <t xml:space="preserve">Partner master (from the Corporate Deals Google Sheet)</t>
  </si>
  <si>
    <t xml:space="preserve">Source: Corporate Deals sheet, both tabs. Add new partners here and in Code Mapping.</t>
  </si>
  <si>
    <t xml:space="preserve">Redemption mechanism</t>
  </si>
  <si>
    <t xml:space="preserve">Staff ID</t>
  </si>
  <si>
    <t xml:space="preserve">App PIN 9247</t>
  </si>
  <si>
    <t xml:space="preserve">QIB cardholders</t>
  </si>
  <si>
    <t xml:space="preserve">Dar community app</t>
  </si>
  <si>
    <t xml:space="preserve">App 9581</t>
  </si>
  <si>
    <t xml:space="preserve">Sogha card ID</t>
  </si>
  <si>
    <t xml:space="preserve">App 7654</t>
  </si>
  <si>
    <t xml:space="preserve">Qatar Living Deals app</t>
  </si>
  <si>
    <t xml:space="preserve">Imtyazat ID card</t>
  </si>
  <si>
    <t xml:space="preserve">App 9171</t>
  </si>
  <si>
    <t xml:space="preserve">MyBenefit</t>
  </si>
  <si>
    <t xml:space="preserve">Codes mbfua15 / mbfip15 / mbfcb15 / mbfkd15</t>
  </si>
  <si>
    <t xml:space="preserve">DHL</t>
  </si>
  <si>
    <t xml:space="preserve">Huawei</t>
  </si>
  <si>
    <t xml:space="preserve">Scity app</t>
  </si>
  <si>
    <t xml:space="preserve">Weekly Log: raw export from BookingQube plus lookup columns</t>
  </si>
  <si>
    <t xml:space="preserve">Weekly log: paste each new weekly export below the last filled row (columns A to I). Formulas cover 600 spare rows. The Dashboard reads the week named in Dashboard!C4.</t>
  </si>
  <si>
    <t xml:space="preserve">promocode_id</t>
  </si>
  <si>
    <t xml:space="preserve">promocode</t>
  </si>
  <si>
    <t xml:space="preserve">description</t>
  </si>
  <si>
    <t xml:space="preserve">company_name</t>
  </si>
  <si>
    <t xml:space="preserve">event_id</t>
  </si>
  <si>
    <t xml:space="preserve">event_title</t>
  </si>
  <si>
    <t xml:space="preserve">period_week</t>
  </si>
  <si>
    <t xml:space="preserve">times_used</t>
  </si>
  <si>
    <t xml:space="preserve">booking_lines</t>
  </si>
  <si>
    <t xml:space="preserve">tickets</t>
  </si>
  <si>
    <t xml:space="preserve">total_discount</t>
  </si>
  <si>
    <t xml:space="preserve">Month Data: raw export from BookingQube plus lookup columns</t>
  </si>
  <si>
    <t xml:space="preserve">Columns A to K are pasted from the system export (event-wise). L and M look up Code Mapping; N repeats the venue from the export. To refresh, paste the new export over A5 downward.</t>
  </si>
  <si>
    <t xml:space="preserve">period_month</t>
  </si>
  <si>
    <t xml:space="preserve">Trend Data: raw export from BookingQube plus lookup columns</t>
  </si>
  <si>
    <t xml:space="preserve">Winter Mirage Fest Meryal Park</t>
  </si>
  <si>
    <t xml:space="preserve">Aspire Zubara</t>
  </si>
  <si>
    <t xml:space="preserve">INFLATARUN FOOTBALL MADNESS 2025</t>
  </si>
  <si>
    <t xml:space="preserve">Ronald Ssemaganda Live in Doha</t>
  </si>
  <si>
    <t xml:space="preserve">Driving School</t>
  </si>
  <si>
    <t xml:space="preserve">InflataCity 2025</t>
  </si>
  <si>
    <t xml:space="preserve">Stand Up Comedy Qatar @ Collectors</t>
  </si>
  <si>
    <t xml:space="preserve">LEGO® SHOWS Qatar 2025</t>
  </si>
  <si>
    <t xml:space="preserve">Urban Arena-Space Tribe</t>
  </si>
  <si>
    <t xml:space="preserve">Urban Arena - Paintless Paintball and Bazooka Ball</t>
  </si>
  <si>
    <t xml:space="preserve">InflataRun 2024</t>
  </si>
  <si>
    <t xml:space="preserve">InflataCity</t>
  </si>
  <si>
    <t xml:space="preserve">LEGO Shows Qatar</t>
  </si>
  <si>
    <t xml:space="preserve">2024-03</t>
  </si>
  <si>
    <t xml:space="preserve">InflataRun</t>
  </si>
  <si>
    <t xml:space="preserve">2023-11</t>
  </si>
  <si>
    <t xml:space="preserve">2023-10</t>
  </si>
  <si>
    <t xml:space="preserve">Crayons &amp; Bricks</t>
  </si>
  <si>
    <t xml:space="preserve">2023-08</t>
  </si>
  <si>
    <t xml:space="preserve">InflataRaces</t>
  </si>
  <si>
    <t xml:space="preserve">2023-02</t>
  </si>
  <si>
    <t xml:space="preserve">Follow-up on previous minutes: FEC Management and Operations Review, 8 September 2026</t>
  </si>
  <si>
    <t xml:space="preserve">Update the yellow cells before each Tuesday meeting. Status: Open / In progress / Closed.</t>
  </si>
  <si>
    <t xml:space="preserve">#</t>
  </si>
  <si>
    <t xml:space="preserve">Item</t>
  </si>
  <si>
    <t xml:space="preserve">Decision on 8 Sep</t>
  </si>
  <si>
    <t xml:space="preserve">Owner</t>
  </si>
  <si>
    <t xml:space="preserve">Due</t>
  </si>
  <si>
    <t xml:space="preserve">Status</t>
  </si>
  <si>
    <t xml:space="preserve">Update this week</t>
  </si>
  <si>
    <t xml:space="preserve">Q-Balloon backside safety grill (critical safety; incident reported)</t>
  </si>
  <si>
    <t xml:space="preserve">Approved by higher management; final quotation to be submitted for budget release and installation</t>
  </si>
  <si>
    <t xml:space="preserve">Operations / Maintenance</t>
  </si>
  <si>
    <t xml:space="preserve">Immediate</t>
  </si>
  <si>
    <t xml:space="preserve">Open</t>
  </si>
  <si>
    <t xml:space="preserve">Socks stock availability (escalated approx. 85 days)</t>
  </si>
  <si>
    <t xml:space="preserve">KDS / InflataPark / Urban Arena</t>
  </si>
  <si>
    <t xml:space="preserve">Immediate need from 20,000-pair shipment; Operations to submit quantity by venue and size; fixed reorder quantity and minimum level to follow; weekly stock monitoring</t>
  </si>
  <si>
    <t xml:space="preserve">Operations</t>
  </si>
  <si>
    <t xml:space="preserve">InflataPark blowers (5 x 2500 W) and Inflata Kids white lighting</t>
  </si>
  <si>
    <t xml:space="preserve">Maintenance to proceed with service and lighting; PR for final approval once quotations received</t>
  </si>
  <si>
    <t xml:space="preserve">Maintenance</t>
  </si>
  <si>
    <t xml:space="preserve">Commercial Registration renewals (KDS and InflataPark expired 13 Sep)</t>
  </si>
  <si>
    <t xml:space="preserve">KDS / InflataPark</t>
  </si>
  <si>
    <t xml:space="preserve">To be signed off by 12 September</t>
  </si>
  <si>
    <t xml:space="preserve">Operations / Admin</t>
  </si>
  <si>
    <t xml:space="preserve">12 Sep</t>
  </si>
  <si>
    <t xml:space="preserve">Urban Arena Qatar Tourism licence (expires 15 Sep)</t>
  </si>
  <si>
    <t xml:space="preserve">To be processed before 15 September</t>
  </si>
  <si>
    <t xml:space="preserve">15 Sep</t>
  </si>
  <si>
    <t xml:space="preserve">Mandatory safety training and Training Development Programme</t>
  </si>
  <si>
    <t xml:space="preserve">KDS / C&amp;B DAS / C&amp;B Vendome / Aspire Carousel</t>
  </si>
  <si>
    <t xml:space="preserve">Consolidated training plan (courses, staff, providers, schedule, cost) for approval; initial schedule mid-September</t>
  </si>
  <si>
    <t xml:space="preserve">Operations / HR</t>
  </si>
  <si>
    <t xml:space="preserve">Mid-Sep</t>
  </si>
  <si>
    <t xml:space="preserve">CCTV UPS replacement</t>
  </si>
  <si>
    <t xml:space="preserve">Approved subject to quotation and final approval</t>
  </si>
  <si>
    <t xml:space="preserve">Quasain / Operations</t>
  </si>
  <si>
    <t xml:space="preserve">CCTV room rack design and budget</t>
  </si>
  <si>
    <t xml:space="preserve">Quasain to confirm design, then quotation to higher management</t>
  </si>
  <si>
    <t xml:space="preserve">Quasain</t>
  </si>
  <si>
    <t xml:space="preserve">Additional wristbands (approx. 150 for Urban Arena) and Yalla Wall protection material</t>
  </si>
  <si>
    <t xml:space="preserve">KDS / Urban Arena</t>
  </si>
  <si>
    <t xml:space="preserve">Wristbands required; Quasain to confirm alternative sourcing for Yalla Wall material</t>
  </si>
  <si>
    <t xml:space="preserve">TBC</t>
  </si>
  <si>
    <t xml:space="preserve">Spare parts for attractions</t>
  </si>
  <si>
    <t xml:space="preserve">Urban Arena / KDS / InflataPark / C&amp;B Vendome</t>
  </si>
  <si>
    <t xml:space="preserve">Russell to finalise consolidated sheet; identify items in current shipment; quotations for the rest</t>
  </si>
  <si>
    <t xml:space="preserve">Russell</t>
  </si>
  <si>
    <t xml:space="preserve">Fixed monthly operational floats</t>
  </si>
  <si>
    <t xml:space="preserve">Multi-venue</t>
  </si>
  <si>
    <t xml:space="preserve">QAR 1,000 birthday events (Louie) and QAR 300 Urban Arena supervisor approved, to PR system; QAR 2,000 maintenance float not approved</t>
  </si>
  <si>
    <t xml:space="preserve">Team performance incentive and team building (August campaign: 1,393 reviews; KDS 280 to 740)</t>
  </si>
  <si>
    <t xml:space="preserve">All venues</t>
  </si>
  <si>
    <t xml:space="preserve">Formal plan to be prepared; higher management to set sales targets for next four months</t>
  </si>
  <si>
    <t xml:space="preserve">Operations / Management</t>
  </si>
  <si>
    <t xml:space="preserve">September</t>
  </si>
  <si>
    <t xml:space="preserve">KDS Photo Booth pricing and weekday pricing</t>
  </si>
  <si>
    <t xml:space="preserve">May be revised; proposed structure for final approval</t>
  </si>
  <si>
    <t xml:space="preserve">Uniforms and name badges</t>
  </si>
  <si>
    <t xml:space="preserve">Ahmad to prepare revised design (supervisor vs crew); quotations once quantities finalised</t>
  </si>
  <si>
    <t xml:space="preserve">Ahmad</t>
  </si>
  <si>
    <t xml:space="preserve">Camera 18 repositioning</t>
  </si>
  <si>
    <t xml:space="preserve">Approved; ALFOG quotation for final approval before execution</t>
  </si>
  <si>
    <t xml:space="preserve">CCTV room storage racks (not discussed, approval required)</t>
  </si>
  <si>
    <t xml:space="preserve">Quasain to confirm design, then quotation and approval</t>
  </si>
  <si>
    <t xml:space="preserve">Operations / Quasain</t>
  </si>
  <si>
    <t xml:space="preserve">Cheap toys sale (not discussed, approval required)</t>
  </si>
  <si>
    <t xml:space="preserve">Awada to confirm buyer, price and timeline</t>
  </si>
  <si>
    <t xml:space="preserve">Awada</t>
  </si>
  <si>
    <t xml:space="preserve">Entrance/exit floor branding and barriers (not discussed)</t>
  </si>
  <si>
    <t xml:space="preserve">Design and costing for approval</t>
  </si>
  <si>
    <t xml:space="preserve">Operations / Ahmad</t>
  </si>
  <si>
    <t xml:space="preserve">Safety barrier modifications (not discussed)</t>
  </si>
  <si>
    <t xml:space="preserve">Aspire Park Carousel / Urban Arena</t>
  </si>
  <si>
    <t xml:space="preserve">Designs and quotations to higher management</t>
  </si>
  <si>
    <t xml:space="preserve">Maintenance / Operations</t>
  </si>
  <si>
    <t xml:space="preserve">Urban Arena membership plan</t>
  </si>
  <si>
    <t xml:space="preserve">Prepare and submit to Mr. Adil</t>
  </si>
  <si>
    <t xml:space="preserve">Rajan Pathak / Lucian</t>
  </si>
  <si>
    <t xml:space="preserve">FEC HR solution demo</t>
  </si>
  <si>
    <t xml:space="preserve">Demonstrate to HR and incorporate changes</t>
  </si>
  <si>
    <t xml:space="preserve">Rajan Pathak / HR</t>
  </si>
  <si>
    <t xml:space="preserve">Demo pending</t>
  </si>
  <si>
    <t xml:space="preserve">FEC Project Management Tool rework (client approval workflow)</t>
  </si>
  <si>
    <t xml:space="preserve">Finalise with the expert being hired</t>
  </si>
  <si>
    <t xml:space="preserve">Rajan Pathak</t>
  </si>
  <si>
    <t xml:space="preserve">In progress</t>
  </si>
  <si>
    <t xml:space="preserve">Weekly Corporate Deals Report</t>
  </si>
  <si>
    <t xml:space="preserve">Standardised weekly report by company (this workbook)</t>
  </si>
  <si>
    <t xml:space="preserve">Weekly</t>
  </si>
  <si>
    <t xml:space="preserve">C&amp;B Vendome activity plan (slime, acrylic, figurine painting, small slides) with pricing</t>
  </si>
  <si>
    <t xml:space="preserve">Prepare plan and pricing</t>
  </si>
  <si>
    <t xml:space="preserve">C&amp;B Vendome Ops / Rajan Pathak</t>
  </si>
</sst>
</file>

<file path=xl/styles.xml><?xml version="1.0" encoding="utf-8"?>
<styleSheet xmlns="http://schemas.openxmlformats.org/spreadsheetml/2006/main">
  <numFmts count="6">
    <numFmt numFmtId="164" formatCode="General"/>
    <numFmt numFmtId="165" formatCode="dd\ mmm\ yyyy"/>
    <numFmt numFmtId="166" formatCode="#,##0"/>
    <numFmt numFmtId="167" formatCode="0%"/>
    <numFmt numFmtId="168" formatCode="#,##0;\-#,##0;\-"/>
    <numFmt numFmtId="169" formatCode="#,##0.00"/>
  </numFmts>
  <fonts count="22">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0"/>
      <color rgb="FFCADCFC"/>
      <name val="Arial"/>
      <family val="0"/>
      <charset val="1"/>
    </font>
    <font>
      <b val="true"/>
      <sz val="10"/>
      <color rgb="FF1B2333"/>
      <name val="Arial"/>
      <family val="0"/>
      <charset val="1"/>
    </font>
    <font>
      <b val="true"/>
      <sz val="10"/>
      <color rgb="FF0000FF"/>
      <name val="Arial"/>
      <family val="0"/>
      <charset val="1"/>
    </font>
    <font>
      <b val="true"/>
      <sz val="10"/>
      <name val="Arial"/>
      <family val="0"/>
      <charset val="1"/>
    </font>
    <font>
      <sz val="10"/>
      <color rgb="FF0000FF"/>
      <name val="Arial"/>
      <family val="0"/>
      <charset val="1"/>
    </font>
    <font>
      <i val="true"/>
      <sz val="10"/>
      <color rgb="FF6B7690"/>
      <name val="Arial"/>
      <family val="0"/>
      <charset val="1"/>
    </font>
    <font>
      <sz val="8"/>
      <color rgb="FFFFFFFF"/>
      <name val="Arial"/>
      <family val="0"/>
      <charset val="1"/>
    </font>
    <font>
      <b val="true"/>
      <sz val="9"/>
      <color rgb="FF6B7690"/>
      <name val="Arial"/>
      <family val="0"/>
      <charset val="1"/>
    </font>
    <font>
      <b val="true"/>
      <sz val="24"/>
      <color rgb="FF1F3B73"/>
      <name val="Arial"/>
      <family val="0"/>
      <charset val="1"/>
    </font>
    <font>
      <sz val="9"/>
      <color rgb="FF6B7690"/>
      <name val="Arial"/>
      <family val="0"/>
      <charset val="1"/>
    </font>
    <font>
      <b val="true"/>
      <sz val="12"/>
      <color rgb="FF1F3B73"/>
      <name val="Arial"/>
      <family val="0"/>
      <charset val="1"/>
    </font>
    <font>
      <b val="true"/>
      <sz val="10"/>
      <color rgb="FFFFFFFF"/>
      <name val="Arial"/>
      <family val="0"/>
      <charset val="1"/>
    </font>
    <font>
      <sz val="10"/>
      <name val="Arial"/>
      <family val="0"/>
      <charset val="1"/>
    </font>
    <font>
      <b val="true"/>
      <sz val="18"/>
      <color rgb="FF000000"/>
      <name val="Calibri"/>
      <family val="2"/>
    </font>
    <font>
      <sz val="10"/>
      <color rgb="FF000000"/>
      <name val="Calibri"/>
      <family val="2"/>
    </font>
    <font>
      <b val="true"/>
      <sz val="16"/>
      <color rgb="FF1F3B73"/>
      <name val="Arial"/>
      <family val="0"/>
      <charset val="1"/>
    </font>
    <font>
      <sz val="10"/>
      <name val="Arial"/>
      <family val="2"/>
    </font>
  </fonts>
  <fills count="5">
    <fill>
      <patternFill patternType="none"/>
    </fill>
    <fill>
      <patternFill patternType="gray125"/>
    </fill>
    <fill>
      <patternFill patternType="solid">
        <fgColor rgb="FF1F3B73"/>
        <bgColor rgb="FF003366"/>
      </patternFill>
    </fill>
    <fill>
      <patternFill patternType="solid">
        <fgColor rgb="FFFFF2CC"/>
        <bgColor rgb="FFF9F9F9"/>
      </patternFill>
    </fill>
    <fill>
      <patternFill patternType="solid">
        <fgColor rgb="FFE8EEF8"/>
        <bgColor rgb="FFF9F9F9"/>
      </patternFill>
    </fill>
  </fills>
  <borders count="2">
    <border diagonalUp="false" diagonalDown="false">
      <left/>
      <right/>
      <top/>
      <bottom/>
      <diagonal/>
    </border>
    <border diagonalUp="false" diagonalDown="false">
      <left style="thin">
        <color rgb="FFD9DFE9"/>
      </left>
      <right style="thin">
        <color rgb="FFD9DFE9"/>
      </right>
      <top style="thin">
        <color rgb="FFD9DFE9"/>
      </top>
      <bottom style="thin">
        <color rgb="FFD9DFE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5" fontId="9"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true" applyAlignment="true" applyProtection="false">
      <alignment horizontal="left" vertical="center" textRotation="0" wrapText="true" indent="0" shrinkToFit="false"/>
      <protection locked="true" hidden="false"/>
    </xf>
    <xf numFmtId="166" fontId="13" fillId="4" borderId="0" xfId="0" applyFont="true" applyBorder="true" applyAlignment="true" applyProtection="false">
      <alignment horizontal="left" vertical="center" textRotation="0" wrapText="true" indent="0" shrinkToFit="false"/>
      <protection locked="true" hidden="false"/>
    </xf>
    <xf numFmtId="164" fontId="13" fillId="4" borderId="0" xfId="0" applyFont="true" applyBorder="true" applyAlignment="true" applyProtection="false">
      <alignment horizontal="left" vertical="center" textRotation="0" wrapText="true" indent="0" shrinkToFit="false"/>
      <protection locked="true" hidden="false"/>
    </xf>
    <xf numFmtId="167" fontId="13" fillId="4" borderId="0" xfId="0" applyFont="true" applyBorder="true" applyAlignment="true" applyProtection="false">
      <alignment horizontal="left" vertical="center" textRotation="0" wrapText="true" indent="0" shrinkToFit="false"/>
      <protection locked="true" hidden="false"/>
    </xf>
    <xf numFmtId="164" fontId="14" fillId="4" borderId="0" xfId="0" applyFont="true" applyBorder="true" applyAlignment="true" applyProtection="false">
      <alignment horizontal="left" vertical="center" textRotation="0" wrapText="true" indent="0" shrinkToFit="false"/>
      <protection locked="true" hidden="false"/>
    </xf>
    <xf numFmtId="164" fontId="15" fillId="0" borderId="0" xfId="0" applyFont="true" applyBorder="false" applyAlignment="true" applyProtection="false">
      <alignment horizontal="left" vertical="center" textRotation="0" wrapText="true" indent="0" shrinkToFit="false"/>
      <protection locked="true" hidden="false"/>
    </xf>
    <xf numFmtId="164" fontId="16" fillId="2" borderId="1" xfId="0" applyFont="true" applyBorder="true" applyAlignment="false" applyProtection="false">
      <alignment horizontal="general" vertical="bottom" textRotation="0" wrapText="false" indent="0" shrinkToFit="false"/>
      <protection locked="true" hidden="false"/>
    </xf>
    <xf numFmtId="168" fontId="17" fillId="0" borderId="1" xfId="0" applyFont="true" applyBorder="true" applyAlignment="false" applyProtection="false">
      <alignment horizontal="general" vertical="bottom" textRotation="0" wrapText="false" indent="0" shrinkToFit="false"/>
      <protection locked="true" hidden="false"/>
    </xf>
    <xf numFmtId="166" fontId="1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9" fontId="17" fillId="0" borderId="1" xfId="0" applyFont="true" applyBorder="true" applyAlignment="false" applyProtection="false">
      <alignment horizontal="general" vertical="bottom" textRotation="0" wrapText="false" indent="0" shrinkToFit="false"/>
      <protection locked="true" hidden="false"/>
    </xf>
    <xf numFmtId="167" fontId="17" fillId="0" borderId="1" xfId="0" applyFont="true" applyBorder="tru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6" fillId="2" borderId="1" xfId="0" applyFont="true" applyBorder="true" applyAlignment="true" applyProtection="false">
      <alignment horizontal="general" vertical="center" textRotation="0" wrapText="tru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9" fontId="1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7" fontId="17"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B73"/>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AA433F"/>
      <rgbColor rgb="FFFFF2CC"/>
      <rgbColor rgb="FFE8EEF8"/>
      <rgbColor rgb="FF660066"/>
      <rgbColor rgb="FFFF8080"/>
      <rgbColor rgb="FF0066CC"/>
      <rgbColor rgb="FFCADCFC"/>
      <rgbColor rgb="FF000080"/>
      <rgbColor rgb="FFFF00FF"/>
      <rgbColor rgb="FFFFFF00"/>
      <rgbColor rgb="FF00FFFF"/>
      <rgbColor rgb="FF800080"/>
      <rgbColor rgb="FF800000"/>
      <rgbColor rgb="FF008080"/>
      <rgbColor rgb="FF0000FF"/>
      <rgbColor rgb="FF00CCFF"/>
      <rgbColor rgb="FFF9F9F9"/>
      <rgbColor rgb="FFD9DFE9"/>
      <rgbColor rgb="FFFFFF99"/>
      <rgbColor rgb="FF99CCFF"/>
      <rgbColor rgb="FFFF99CC"/>
      <rgbColor rgb="FFCC99FF"/>
      <rgbColor rgb="FFFFCC99"/>
      <rgbColor rgb="FF4F81BD"/>
      <rgbColor rgb="FF33CCCC"/>
      <rgbColor rgb="FF99CC00"/>
      <rgbColor rgb="FFFFCC00"/>
      <rgbColor rgb="FFFF9900"/>
      <rgbColor rgb="FFFF6600"/>
      <rgbColor rgb="FF6B7690"/>
      <rgbColor rgb="FFCC8F8E"/>
      <rgbColor rgb="FF003366"/>
      <rgbColor rgb="FF339966"/>
      <rgbColor rgb="FF003300"/>
      <rgbColor rgb="FF333300"/>
      <rgbColor rgb="FF993300"/>
      <rgbColor rgb="FF993366"/>
      <rgbColor rgb="FF1F3B73"/>
      <rgbColor rgb="FF1B2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partners this week</a:t>
            </a:r>
          </a:p>
        </c:rich>
      </c:tx>
      <c:overlay val="0"/>
      <c:spPr>
        <a:noFill/>
        <a:ln w="0">
          <a:noFill/>
        </a:ln>
      </c:spPr>
    </c:title>
    <c:autoTitleDeleted val="0"/>
    <c:plotArea>
      <c:barChart>
        <c:barDir val="bar"/>
        <c:grouping val="clustered"/>
        <c:varyColors val="0"/>
        <c:ser>
          <c:idx val="0"/>
          <c:order val="0"/>
          <c:tx>
            <c:strRef>
              <c:f>Dashboard!C13</c:f>
              <c:strCache>
                <c:ptCount val="1"/>
                <c:pt idx="0">
                  <c:v>This week</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Dashboard!$B$14:$B$23</c:f>
              <c:strCache>
                <c:ptCount val="10"/>
                <c:pt idx="0">
                  <c:v>Imtyazat</c:v>
                </c:pt>
                <c:pt idx="1">
                  <c:v>Qatar Airways</c:v>
                </c:pt>
                <c:pt idx="2">
                  <c:v>Urban Point</c:v>
                </c:pt>
                <c:pt idx="3">
                  <c:v>Public Health Sector (Sogha)</c:v>
                </c:pt>
                <c:pt idx="4">
                  <c:v>My Book</c:v>
                </c:pt>
                <c:pt idx="5">
                  <c:v>Entertainer</c:v>
                </c:pt>
                <c:pt idx="6">
                  <c:v>Qatar Foundation</c:v>
                </c:pt>
                <c:pt idx="7">
                  <c:v>Qatar Investment Authority</c:v>
                </c:pt>
                <c:pt idx="8">
                  <c:v>Aspire</c:v>
                </c:pt>
                <c:pt idx="9">
                  <c:v>Al Jazeera Imtiyazat</c:v>
                </c:pt>
              </c:strCache>
            </c:strRef>
          </c:cat>
          <c:val>
            <c:numRef>
              <c:f>Dashboard!$C$14:$C$23</c:f>
              <c:numCache>
                <c:formatCode>#,##0;\-#,##0;\-</c:formatCode>
                <c:ptCount val="10"/>
                <c:pt idx="0">
                  <c:v>40</c:v>
                </c:pt>
                <c:pt idx="1">
                  <c:v>37</c:v>
                </c:pt>
                <c:pt idx="2">
                  <c:v>27</c:v>
                </c:pt>
                <c:pt idx="3">
                  <c:v>25</c:v>
                </c:pt>
                <c:pt idx="4">
                  <c:v>14</c:v>
                </c:pt>
                <c:pt idx="5">
                  <c:v>14</c:v>
                </c:pt>
                <c:pt idx="6">
                  <c:v>13</c:v>
                </c:pt>
                <c:pt idx="7">
                  <c:v>12</c:v>
                </c:pt>
                <c:pt idx="8">
                  <c:v>4</c:v>
                </c:pt>
                <c:pt idx="9">
                  <c:v>3</c:v>
                </c:pt>
              </c:numCache>
            </c:numRef>
          </c:val>
        </c:ser>
        <c:gapWidth val="150"/>
        <c:overlap val="0"/>
        <c:axId val="16604138"/>
        <c:axId val="81664426"/>
      </c:barChart>
      <c:catAx>
        <c:axId val="16604138"/>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664426"/>
        <c:crosses val="autoZero"/>
        <c:auto val="1"/>
        <c:lblAlgn val="ctr"/>
        <c:lblOffset val="100"/>
        <c:noMultiLvlLbl val="0"/>
      </c:catAx>
      <c:valAx>
        <c:axId val="81664426"/>
        <c:scaling>
          <c:orientation val="minMax"/>
        </c:scaling>
        <c:delete val="0"/>
        <c:axPos val="l"/>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60413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Weekly partner redemptions</a:t>
            </a:r>
          </a:p>
        </c:rich>
      </c:tx>
      <c:overlay val="0"/>
      <c:spPr>
        <a:noFill/>
        <a:ln w="0">
          <a:noFill/>
        </a:ln>
      </c:spPr>
    </c:title>
    <c:autoTitleDeleted val="0"/>
    <c:plotArea>
      <c:lineChart>
        <c:grouping val="standard"/>
        <c:varyColors val="0"/>
        <c:ser>
          <c:idx val="0"/>
          <c:order val="0"/>
          <c:tx>
            <c:strRef>
              <c:f>Dashboard!C34</c:f>
              <c:strCache>
                <c:ptCount val="1"/>
                <c:pt idx="0">
                  <c:v>Redemptions</c:v>
                </c:pt>
              </c:strCache>
            </c:strRef>
          </c:tx>
          <c:spPr>
            <a:solidFill>
              <a:srgbClr val="aa433f"/>
            </a:solidFill>
            <a:ln w="47520">
              <a:solidFill>
                <a:srgbClr val="aa433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Dashboard!$B$35:$B$44</c:f>
              <c:strCache>
                <c:ptCount val="10"/>
                <c:pt idx="0">
                  <c:v>2026-W36</c:v>
                </c:pt>
                <c:pt idx="1">
                  <c:v>2026-W37</c:v>
                </c:pt>
                <c:pt idx="2">
                  <c:v/>
                </c:pt>
                <c:pt idx="3">
                  <c:v/>
                </c:pt>
                <c:pt idx="4">
                  <c:v/>
                </c:pt>
                <c:pt idx="5">
                  <c:v/>
                </c:pt>
                <c:pt idx="6">
                  <c:v/>
                </c:pt>
                <c:pt idx="7">
                  <c:v/>
                </c:pt>
                <c:pt idx="8">
                  <c:v/>
                </c:pt>
                <c:pt idx="9">
                  <c:v/>
                </c:pt>
              </c:strCache>
            </c:strRef>
          </c:cat>
          <c:val>
            <c:numRef>
              <c:f>Dashboard!$C$35:$C$44</c:f>
              <c:numCache>
                <c:formatCode>#,##0</c:formatCode>
                <c:ptCount val="10"/>
                <c:pt idx="0">
                  <c:v>0</c:v>
                </c:pt>
                <c:pt idx="1">
                  <c:v>194</c:v>
                </c:pt>
              </c:numCache>
            </c:numRef>
          </c:val>
          <c:smooth val="1"/>
        </c:ser>
        <c:ser>
          <c:idx val="1"/>
          <c:order val="1"/>
          <c:tx>
            <c:strRef>
              <c:f>Dashboard!F34</c:f>
              <c:strCache>
                <c:ptCount val="1"/>
                <c:pt idx="0">
                  <c:v>Aggregator BOGO</c:v>
                </c:pt>
              </c:strCache>
            </c:strRef>
          </c:tx>
          <c:spPr>
            <a:solidFill>
              <a:srgbClr val="cc8f8e"/>
            </a:solidFill>
            <a:ln w="47520">
              <a:solidFill>
                <a:srgbClr val="cc8f8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Dashboard!$B$35:$B$44</c:f>
              <c:strCache>
                <c:ptCount val="10"/>
                <c:pt idx="0">
                  <c:v>2026-W36</c:v>
                </c:pt>
                <c:pt idx="1">
                  <c:v>2026-W37</c:v>
                </c:pt>
                <c:pt idx="2">
                  <c:v/>
                </c:pt>
                <c:pt idx="3">
                  <c:v/>
                </c:pt>
                <c:pt idx="4">
                  <c:v/>
                </c:pt>
                <c:pt idx="5">
                  <c:v/>
                </c:pt>
                <c:pt idx="6">
                  <c:v/>
                </c:pt>
                <c:pt idx="7">
                  <c:v/>
                </c:pt>
                <c:pt idx="8">
                  <c:v/>
                </c:pt>
                <c:pt idx="9">
                  <c:v/>
                </c:pt>
              </c:strCache>
            </c:strRef>
          </c:cat>
          <c:val>
            <c:numRef>
              <c:f>Dashboard!$F$35:$F$44</c:f>
              <c:numCache>
                <c:formatCode>#,##0</c:formatCode>
                <c:ptCount val="10"/>
                <c:pt idx="0">
                  <c:v>0</c:v>
                </c:pt>
                <c:pt idx="1">
                  <c:v>55</c:v>
                </c:pt>
              </c:numCache>
            </c:numRef>
          </c:val>
          <c:smooth val="1"/>
        </c:ser>
        <c:hiLowLines>
          <c:spPr>
            <a:ln w="0">
              <a:noFill/>
            </a:ln>
          </c:spPr>
        </c:hiLowLines>
        <c:marker val="0"/>
        <c:axId val="79562442"/>
        <c:axId val="94423582"/>
      </c:lineChart>
      <c:catAx>
        <c:axId val="7956244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423582"/>
        <c:crosses val="autoZero"/>
        <c:auto val="1"/>
        <c:lblAlgn val="ctr"/>
        <c:lblOffset val="100"/>
        <c:noMultiLvlLbl val="0"/>
      </c:catAx>
      <c:valAx>
        <c:axId val="94423582"/>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56244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Redemptions by partner, month to date</a:t>
            </a:r>
          </a:p>
        </c:rich>
      </c:tx>
      <c:overlay val="0"/>
      <c:spPr>
        <a:noFill/>
        <a:ln w="0">
          <a:noFill/>
        </a:ln>
      </c:spPr>
    </c:title>
    <c:autoTitleDeleted val="0"/>
    <c:plotArea>
      <c:barChart>
        <c:barDir val="bar"/>
        <c:grouping val="clustered"/>
        <c:varyColors val="0"/>
        <c:ser>
          <c:idx val="0"/>
          <c:order val="0"/>
          <c:tx>
            <c:strRef>
              <c:f>Summary!D24</c:f>
              <c:strCache>
                <c:ptCount val="1"/>
                <c:pt idx="0">
                  <c:v>Month: redemptions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Summary!$A$25:$A$45</c:f>
              <c:strCache>
                <c:ptCount val="21"/>
                <c:pt idx="0">
                  <c:v>Al Jazeera Imtiyazat</c:v>
                </c:pt>
                <c:pt idx="1">
                  <c:v>My Book</c:v>
                </c:pt>
                <c:pt idx="2">
                  <c:v>QIB</c:v>
                </c:pt>
                <c:pt idx="3">
                  <c:v>Dar App</c:v>
                </c:pt>
                <c:pt idx="4">
                  <c:v>Qatar Airways</c:v>
                </c:pt>
                <c:pt idx="5">
                  <c:v>Entertainer</c:v>
                </c:pt>
                <c:pt idx="6">
                  <c:v>Public Health Sector (Sogha)</c:v>
                </c:pt>
                <c:pt idx="7">
                  <c:v>Urban Point</c:v>
                </c:pt>
                <c:pt idx="8">
                  <c:v>Qatar Living Deals</c:v>
                </c:pt>
                <c:pt idx="9">
                  <c:v>Imtyazat</c:v>
                </c:pt>
                <c:pt idx="10">
                  <c:v>Classmate</c:v>
                </c:pt>
                <c:pt idx="11">
                  <c:v>MyBenefit</c:v>
                </c:pt>
                <c:pt idx="12">
                  <c:v>DHL</c:v>
                </c:pt>
                <c:pt idx="13">
                  <c:v>Qatar Foundation</c:v>
                </c:pt>
                <c:pt idx="14">
                  <c:v>Qatar Investment Authority</c:v>
                </c:pt>
                <c:pt idx="15">
                  <c:v>Bein</c:v>
                </c:pt>
                <c:pt idx="16">
                  <c:v>Huawei</c:v>
                </c:pt>
                <c:pt idx="17">
                  <c:v>Aspire</c:v>
                </c:pt>
                <c:pt idx="18">
                  <c:v>Qatar Media Corporation</c:v>
                </c:pt>
                <c:pt idx="19">
                  <c:v>QNB Rewards</c:v>
                </c:pt>
                <c:pt idx="20">
                  <c:v>Snoonu Employees</c:v>
                </c:pt>
              </c:strCache>
            </c:strRef>
          </c:cat>
          <c:val>
            <c:numRef>
              <c:f>Summary!$D$25:$D$45</c:f>
              <c:numCache>
                <c:formatCode>#,##0;\-#,##0;\-</c:formatCode>
                <c:ptCount val="21"/>
                <c:pt idx="0">
                  <c:v>6</c:v>
                </c:pt>
                <c:pt idx="1">
                  <c:v>25</c:v>
                </c:pt>
                <c:pt idx="2">
                  <c:v>5</c:v>
                </c:pt>
                <c:pt idx="3">
                  <c:v>0</c:v>
                </c:pt>
                <c:pt idx="4">
                  <c:v>66</c:v>
                </c:pt>
                <c:pt idx="5">
                  <c:v>19</c:v>
                </c:pt>
                <c:pt idx="6">
                  <c:v>51</c:v>
                </c:pt>
                <c:pt idx="7">
                  <c:v>40</c:v>
                </c:pt>
                <c:pt idx="8">
                  <c:v>1</c:v>
                </c:pt>
                <c:pt idx="9">
                  <c:v>72</c:v>
                </c:pt>
                <c:pt idx="10">
                  <c:v>0</c:v>
                </c:pt>
                <c:pt idx="11">
                  <c:v>0</c:v>
                </c:pt>
                <c:pt idx="12">
                  <c:v>0</c:v>
                </c:pt>
                <c:pt idx="13">
                  <c:v>34</c:v>
                </c:pt>
                <c:pt idx="14">
                  <c:v>20</c:v>
                </c:pt>
                <c:pt idx="15">
                  <c:v>1</c:v>
                </c:pt>
                <c:pt idx="16">
                  <c:v>0</c:v>
                </c:pt>
                <c:pt idx="17">
                  <c:v>5</c:v>
                </c:pt>
                <c:pt idx="18">
                  <c:v>0</c:v>
                </c:pt>
                <c:pt idx="19">
                  <c:v>6</c:v>
                </c:pt>
                <c:pt idx="20">
                  <c:v>0</c:v>
                </c:pt>
              </c:numCache>
            </c:numRef>
          </c:val>
        </c:ser>
        <c:gapWidth val="150"/>
        <c:overlap val="0"/>
        <c:axId val="21812745"/>
        <c:axId val="18968407"/>
      </c:barChart>
      <c:catAx>
        <c:axId val="2181274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968407"/>
        <c:crosses val="autoZero"/>
        <c:auto val="1"/>
        <c:lblAlgn val="ctr"/>
        <c:lblOffset val="100"/>
        <c:noMultiLvlLbl val="0"/>
      </c:catAx>
      <c:valAx>
        <c:axId val="18968407"/>
        <c:scaling>
          <c:orientation val="minMax"/>
        </c:scaling>
        <c:delete val="0"/>
        <c:axPos val="l"/>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81274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redemptions: corporate vs aggregator</a:t>
            </a:r>
          </a:p>
        </c:rich>
      </c:tx>
      <c:overlay val="0"/>
      <c:spPr>
        <a:noFill/>
        <a:ln w="0">
          <a:noFill/>
        </a:ln>
      </c:spPr>
    </c:title>
    <c:autoTitleDeleted val="0"/>
    <c:plotArea>
      <c:lineChart>
        <c:grouping val="standard"/>
        <c:varyColors val="0"/>
        <c:ser>
          <c:idx val="0"/>
          <c:order val="0"/>
          <c:tx>
            <c:strRef>
              <c:f>Summary!E50</c:f>
              <c:strCache>
                <c:ptCount val="1"/>
                <c:pt idx="0">
                  <c:v>Corporate discount redemptions</c:v>
                </c:pt>
              </c:strCache>
            </c:strRef>
          </c:tx>
          <c:spPr>
            <a:solidFill>
              <a:srgbClr val="aa433f"/>
            </a:solidFill>
            <a:ln w="47520">
              <a:solidFill>
                <a:srgbClr val="aa433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Summary!$A$51:$A$63</c:f>
              <c:strCache>
                <c:ptCount val="13"/>
                <c:pt idx="0">
                  <c:v>2025-09</c:v>
                </c:pt>
                <c:pt idx="1">
                  <c:v>2025-10</c:v>
                </c:pt>
                <c:pt idx="2">
                  <c:v>2025-11</c:v>
                </c:pt>
                <c:pt idx="3">
                  <c:v>2025-12</c:v>
                </c:pt>
                <c:pt idx="4">
                  <c:v>2026-01</c:v>
                </c:pt>
                <c:pt idx="5">
                  <c:v>2026-02</c:v>
                </c:pt>
                <c:pt idx="6">
                  <c:v>2026-03</c:v>
                </c:pt>
                <c:pt idx="7">
                  <c:v>2026-04</c:v>
                </c:pt>
                <c:pt idx="8">
                  <c:v>2026-05</c:v>
                </c:pt>
                <c:pt idx="9">
                  <c:v>2026-06</c:v>
                </c:pt>
                <c:pt idx="10">
                  <c:v>2026-07</c:v>
                </c:pt>
                <c:pt idx="11">
                  <c:v>2026-08</c:v>
                </c:pt>
                <c:pt idx="12">
                  <c:v>2026-09</c:v>
                </c:pt>
              </c:strCache>
            </c:strRef>
          </c:cat>
          <c:val>
            <c:numRef>
              <c:f>Summary!$E$51:$E$63</c:f>
              <c:numCache>
                <c:formatCode>#,##0</c:formatCode>
                <c:ptCount val="13"/>
                <c:pt idx="0">
                  <c:v>30</c:v>
                </c:pt>
                <c:pt idx="1">
                  <c:v>20</c:v>
                </c:pt>
                <c:pt idx="2">
                  <c:v>16</c:v>
                </c:pt>
                <c:pt idx="3">
                  <c:v>13</c:v>
                </c:pt>
                <c:pt idx="4">
                  <c:v>11</c:v>
                </c:pt>
                <c:pt idx="5">
                  <c:v>13</c:v>
                </c:pt>
                <c:pt idx="6">
                  <c:v>29</c:v>
                </c:pt>
                <c:pt idx="7">
                  <c:v>200</c:v>
                </c:pt>
                <c:pt idx="8">
                  <c:v>482</c:v>
                </c:pt>
                <c:pt idx="9">
                  <c:v>605</c:v>
                </c:pt>
                <c:pt idx="10">
                  <c:v>701</c:v>
                </c:pt>
                <c:pt idx="11">
                  <c:v>669</c:v>
                </c:pt>
                <c:pt idx="12">
                  <c:v>266</c:v>
                </c:pt>
              </c:numCache>
            </c:numRef>
          </c:val>
          <c:smooth val="1"/>
        </c:ser>
        <c:ser>
          <c:idx val="1"/>
          <c:order val="1"/>
          <c:tx>
            <c:strRef>
              <c:f>Summary!F50</c:f>
              <c:strCache>
                <c:ptCount val="1"/>
                <c:pt idx="0">
                  <c:v>Aggregator BOGO redemptions</c:v>
                </c:pt>
              </c:strCache>
            </c:strRef>
          </c:tx>
          <c:spPr>
            <a:solidFill>
              <a:srgbClr val="cc8f8e"/>
            </a:solidFill>
            <a:ln w="47520">
              <a:solidFill>
                <a:srgbClr val="cc8f8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Summary!$A$51:$A$63</c:f>
              <c:strCache>
                <c:ptCount val="13"/>
                <c:pt idx="0">
                  <c:v>2025-09</c:v>
                </c:pt>
                <c:pt idx="1">
                  <c:v>2025-10</c:v>
                </c:pt>
                <c:pt idx="2">
                  <c:v>2025-11</c:v>
                </c:pt>
                <c:pt idx="3">
                  <c:v>2025-12</c:v>
                </c:pt>
                <c:pt idx="4">
                  <c:v>2026-01</c:v>
                </c:pt>
                <c:pt idx="5">
                  <c:v>2026-02</c:v>
                </c:pt>
                <c:pt idx="6">
                  <c:v>2026-03</c:v>
                </c:pt>
                <c:pt idx="7">
                  <c:v>2026-04</c:v>
                </c:pt>
                <c:pt idx="8">
                  <c:v>2026-05</c:v>
                </c:pt>
                <c:pt idx="9">
                  <c:v>2026-06</c:v>
                </c:pt>
                <c:pt idx="10">
                  <c:v>2026-07</c:v>
                </c:pt>
                <c:pt idx="11">
                  <c:v>2026-08</c:v>
                </c:pt>
                <c:pt idx="12">
                  <c:v>2026-09</c:v>
                </c:pt>
              </c:strCache>
            </c:strRef>
          </c:cat>
          <c:val>
            <c:numRef>
              <c:f>Summary!$F$51:$F$63</c:f>
              <c:numCache>
                <c:formatCode>#,##0</c:formatCode>
                <c:ptCount val="13"/>
                <c:pt idx="0">
                  <c:v>259</c:v>
                </c:pt>
                <c:pt idx="1">
                  <c:v>388</c:v>
                </c:pt>
                <c:pt idx="2">
                  <c:v>164</c:v>
                </c:pt>
                <c:pt idx="3">
                  <c:v>345</c:v>
                </c:pt>
                <c:pt idx="4">
                  <c:v>285</c:v>
                </c:pt>
                <c:pt idx="5">
                  <c:v>205</c:v>
                </c:pt>
                <c:pt idx="6">
                  <c:v>311</c:v>
                </c:pt>
                <c:pt idx="7">
                  <c:v>216</c:v>
                </c:pt>
                <c:pt idx="8">
                  <c:v>220</c:v>
                </c:pt>
                <c:pt idx="9">
                  <c:v>191</c:v>
                </c:pt>
                <c:pt idx="10">
                  <c:v>185</c:v>
                </c:pt>
                <c:pt idx="11">
                  <c:v>204</c:v>
                </c:pt>
                <c:pt idx="12">
                  <c:v>85</c:v>
                </c:pt>
              </c:numCache>
            </c:numRef>
          </c:val>
          <c:smooth val="1"/>
        </c:ser>
        <c:hiLowLines>
          <c:spPr>
            <a:ln w="0">
              <a:noFill/>
            </a:ln>
          </c:spPr>
        </c:hiLowLines>
        <c:marker val="0"/>
        <c:axId val="3622089"/>
        <c:axId val="54136066"/>
      </c:lineChart>
      <c:catAx>
        <c:axId val="362208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136066"/>
        <c:crosses val="autoZero"/>
        <c:auto val="1"/>
        <c:lblAlgn val="ctr"/>
        <c:lblOffset val="100"/>
        <c:noMultiLvlLbl val="0"/>
      </c:catAx>
      <c:valAx>
        <c:axId val="54136066"/>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2208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28</xdr:row>
      <xdr:rowOff>97200</xdr:rowOff>
    </xdr:from>
    <xdr:to>
      <xdr:col>10</xdr:col>
      <xdr:colOff>324720</xdr:colOff>
      <xdr:row>43</xdr:row>
      <xdr:rowOff>148680</xdr:rowOff>
    </xdr:to>
    <xdr:graphicFrame>
      <xdr:nvGraphicFramePr>
        <xdr:cNvPr id="0" name="Chart 1"/>
        <xdr:cNvGraphicFramePr/>
      </xdr:nvGraphicFramePr>
      <xdr:xfrm>
        <a:off x="6414120" y="6134040"/>
        <a:ext cx="539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43</xdr:row>
      <xdr:rowOff>137160</xdr:rowOff>
    </xdr:from>
    <xdr:to>
      <xdr:col>10</xdr:col>
      <xdr:colOff>324720</xdr:colOff>
      <xdr:row>58</xdr:row>
      <xdr:rowOff>189000</xdr:rowOff>
    </xdr:to>
    <xdr:graphicFrame>
      <xdr:nvGraphicFramePr>
        <xdr:cNvPr id="1" name="Chart 2"/>
        <xdr:cNvGraphicFramePr/>
      </xdr:nvGraphicFramePr>
      <xdr:xfrm>
        <a:off x="6414120" y="9182160"/>
        <a:ext cx="539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6</xdr:row>
      <xdr:rowOff>130680</xdr:rowOff>
    </xdr:from>
    <xdr:to>
      <xdr:col>20</xdr:col>
      <xdr:colOff>273240</xdr:colOff>
      <xdr:row>25</xdr:row>
      <xdr:rowOff>103680</xdr:rowOff>
    </xdr:to>
    <xdr:graphicFrame>
      <xdr:nvGraphicFramePr>
        <xdr:cNvPr id="2" name="Chart 1"/>
        <xdr:cNvGraphicFramePr/>
      </xdr:nvGraphicFramePr>
      <xdr:xfrm>
        <a:off x="14661000" y="1333440"/>
        <a:ext cx="647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46</xdr:row>
      <xdr:rowOff>144720</xdr:rowOff>
    </xdr:from>
    <xdr:to>
      <xdr:col>20</xdr:col>
      <xdr:colOff>273240</xdr:colOff>
      <xdr:row>62</xdr:row>
      <xdr:rowOff>81720</xdr:rowOff>
    </xdr:to>
    <xdr:graphicFrame>
      <xdr:nvGraphicFramePr>
        <xdr:cNvPr id="3" name="Chart 2"/>
        <xdr:cNvGraphicFramePr/>
      </xdr:nvGraphicFramePr>
      <xdr:xfrm>
        <a:off x="14661000" y="933444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CodeMap" displayName="CodeMap" ref="A4:I1753" headerRowCount="1" totalsRowCount="0" totalsRowShown="0">
  <autoFilter ref="A4:I1753"/>
  <tableColumns count="9">
    <tableColumn id="1" name="Promo code"/>
    <tableColumn id="2" name="Description (from system)"/>
    <tableColumn id="3" name="Company field"/>
    <tableColumn id="4" name="Partner"/>
    <tableColumn id="5" name="Category"/>
    <tableColumn id="6" name="Venue"/>
    <tableColumn id="7" name="Last used (month)"/>
    <tableColumn id="8" name="Uses, last 12 months"/>
    <tableColumn id="9" name="Mapping sourc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M5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6" min="3" style="0" width="14"/>
    <col collapsed="false" customWidth="true" hidden="false" outlineLevel="0" max="7" min="7" style="0" width="3"/>
    <col collapsed="false" customWidth="true" hidden="false" outlineLevel="0" max="8" min="8" style="0" width="30"/>
    <col collapsed="false" customWidth="true" hidden="false" outlineLevel="0" max="9" min="9" style="0" width="26"/>
    <col collapsed="false" customWidth="true" hidden="false" outlineLevel="0" max="10" min="10" style="0" width="16"/>
    <col collapsed="false" customWidth="true" hidden="false" outlineLevel="0" max="11" min="11" style="0" width="15"/>
    <col collapsed="false" customWidth="true" hidden="false" outlineLevel="0" max="12" min="12" style="0" width="18"/>
    <col collapsed="false" customWidth="true" hidden="false" outlineLevel="0" max="13" min="13" style="0" width="3"/>
    <col collapsed="false" customWidth="true" hidden="false" outlineLevel="0" max="14" min="14" style="0" width="2"/>
  </cols>
  <sheetData>
    <row r="1" customFormat="false" ht="7.5" hidden="false" customHeight="true" outlineLevel="0" collapsed="false"/>
    <row r="2" customFormat="false" ht="33.75" hidden="false" customHeight="true" outlineLevel="0" collapsed="false">
      <c r="B2" s="1" t="s">
        <v>0</v>
      </c>
      <c r="C2" s="1"/>
      <c r="D2" s="1"/>
      <c r="E2" s="1"/>
      <c r="F2" s="1"/>
      <c r="G2" s="1"/>
      <c r="H2" s="1"/>
      <c r="I2" s="1"/>
      <c r="J2" s="1"/>
      <c r="K2" s="1"/>
      <c r="L2" s="1"/>
      <c r="M2" s="1"/>
    </row>
    <row r="3" customFormat="false" ht="18" hidden="false" customHeight="true" outlineLevel="0" collapsed="false">
      <c r="B3" s="2" t="s">
        <v>1</v>
      </c>
      <c r="C3" s="2"/>
      <c r="D3" s="2"/>
      <c r="E3" s="2"/>
      <c r="F3" s="2"/>
      <c r="G3" s="2"/>
      <c r="H3" s="2"/>
      <c r="I3" s="2"/>
      <c r="J3" s="2"/>
      <c r="K3" s="2"/>
      <c r="L3" s="2"/>
      <c r="M3" s="2"/>
    </row>
    <row r="4" customFormat="false" ht="15" hidden="false" customHeight="false" outlineLevel="0" collapsed="false">
      <c r="B4" s="3" t="s">
        <v>2</v>
      </c>
      <c r="C4" s="4" t="s">
        <v>3</v>
      </c>
      <c r="D4" s="3" t="s">
        <v>4</v>
      </c>
      <c r="E4" s="5" t="str">
        <f aca="false">IF(VALUE(RIGHT(C4,2))=1,LEFT(C4,4)-1&amp;"-W52",LEFT(C4,6)&amp;TEXT(VALUE(RIGHT(C4,2))-1,"00"))</f>
        <v>2026-W36</v>
      </c>
      <c r="H4" s="3" t="s">
        <v>5</v>
      </c>
      <c r="I4" s="6"/>
      <c r="J4" s="3" t="s">
        <v>6</v>
      </c>
      <c r="K4" s="7" t="s">
        <v>7</v>
      </c>
    </row>
    <row r="5" customFormat="false" ht="15" hidden="false" customHeight="false" outlineLevel="0" collapsed="false">
      <c r="B5" s="8" t="s">
        <v>8</v>
      </c>
      <c r="C5" s="9" t="str">
        <f aca="false">E4</f>
        <v>2026-W36</v>
      </c>
    </row>
    <row r="7" customFormat="false" ht="22.35" hidden="false" customHeight="true" outlineLevel="0" collapsed="false">
      <c r="B7" s="10" t="s">
        <v>9</v>
      </c>
      <c r="C7" s="10"/>
      <c r="D7" s="10" t="s">
        <v>10</v>
      </c>
      <c r="E7" s="10"/>
      <c r="F7" s="10" t="s">
        <v>11</v>
      </c>
      <c r="G7" s="10"/>
      <c r="H7" s="10" t="s">
        <v>12</v>
      </c>
      <c r="I7" s="10"/>
      <c r="J7" s="10" t="s">
        <v>13</v>
      </c>
      <c r="K7" s="10"/>
    </row>
    <row r="8" customFormat="false" ht="21.75" hidden="false" customHeight="true" outlineLevel="0" collapsed="false">
      <c r="B8" s="11" t="n">
        <f aca="false">Summary!B9</f>
        <v>194</v>
      </c>
      <c r="C8" s="11"/>
      <c r="D8" s="11" t="n">
        <f aca="false">Summary!C9</f>
        <v>576</v>
      </c>
      <c r="E8" s="11"/>
      <c r="F8" s="11" t="n">
        <f aca="false">Summary!D9</f>
        <v>12750.5</v>
      </c>
      <c r="G8" s="11"/>
      <c r="H8" s="12" t="str">
        <f aca="false">Summary!E9&amp;" of 21"</f>
        <v>12 of 21</v>
      </c>
      <c r="I8" s="12"/>
      <c r="J8" s="13" t="n">
        <f aca="false">IF(K16=0,0,K15/K16)</f>
        <v>0.679816477785185</v>
      </c>
      <c r="K8" s="13"/>
    </row>
    <row r="9" customFormat="false" ht="13.5" hidden="false" customHeight="true" outlineLevel="0" collapsed="false">
      <c r="B9" s="11"/>
      <c r="C9" s="11"/>
      <c r="D9" s="11"/>
      <c r="E9" s="11"/>
      <c r="F9" s="11"/>
      <c r="G9" s="11"/>
      <c r="H9" s="12"/>
      <c r="I9" s="12"/>
      <c r="J9" s="13"/>
      <c r="K9" s="13"/>
    </row>
    <row r="10" customFormat="false" ht="15" hidden="false" customHeight="false" outlineLevel="0" collapsed="false">
      <c r="B10" s="14" t="str">
        <f aca="false">IF(COUNTIF('Weekly Log'!$G$5:$G$636,$E$4)=0,"No previous week in log yet",IF(Summary!B9-SUMPRODUCT(Summary!K25:K45)&gt;=0,"+","")&amp;TEXT(Summary!B9-SUMPRODUCT(Summary!K25:K45),"#,##0")&amp;" vs previous week")</f>
        <v>No previous week in log yet</v>
      </c>
      <c r="C10" s="14"/>
      <c r="D10" s="14"/>
      <c r="E10" s="14"/>
      <c r="F10" s="14"/>
      <c r="G10" s="14"/>
      <c r="H10" s="14"/>
      <c r="I10" s="14"/>
      <c r="J10" s="14"/>
      <c r="K10" s="14"/>
    </row>
    <row r="12" customFormat="false" ht="30" hidden="false" customHeight="true" outlineLevel="0" collapsed="false">
      <c r="B12" s="15" t="s">
        <v>14</v>
      </c>
      <c r="H12" s="15" t="s">
        <v>15</v>
      </c>
    </row>
    <row r="13" customFormat="false" ht="15" hidden="false" customHeight="false" outlineLevel="0" collapsed="false">
      <c r="B13" s="16" t="s">
        <v>16</v>
      </c>
      <c r="C13" s="16" t="s">
        <v>17</v>
      </c>
      <c r="D13" s="16" t="s">
        <v>18</v>
      </c>
      <c r="E13" s="16" t="s">
        <v>19</v>
      </c>
      <c r="F13" s="16" t="s">
        <v>20</v>
      </c>
      <c r="H13" s="16" t="s">
        <v>21</v>
      </c>
      <c r="I13" s="16" t="s">
        <v>22</v>
      </c>
      <c r="J13" s="16" t="s">
        <v>23</v>
      </c>
      <c r="K13" s="16" t="s">
        <v>24</v>
      </c>
      <c r="L13" s="16" t="s">
        <v>25</v>
      </c>
    </row>
    <row r="14" customFormat="false" ht="15" hidden="false" customHeight="false" outlineLevel="0" collapsed="false">
      <c r="B14" s="17" t="str">
        <f aca="false">IFERROR(INDEX(Summary!$A$25:$A$45,MATCH(LARGE(Summary!$M$25:$M$45,1),Summary!$M$25:$M$45,0)),"")</f>
        <v>Imtyazat</v>
      </c>
      <c r="C14" s="17" t="n">
        <f aca="false">IFERROR(INDEX(Summary!$C$25:$C$45,MATCH($B14,Summary!$A$25:$A$45,0)),0)</f>
        <v>40</v>
      </c>
      <c r="D14" s="17" t="n">
        <f aca="false">IFERROR(INDEX(Summary!$K$25:$K$45,MATCH($B14,Summary!$A$25:$A$45,0)),0)</f>
        <v>0</v>
      </c>
      <c r="E14" s="17" t="n">
        <f aca="false">C14-D14</f>
        <v>40</v>
      </c>
      <c r="F14" s="17" t="n">
        <f aca="false">IFERROR(INDEX(Summary!$D$25:$D$45,MATCH($B14,Summary!$A$25:$A$45,0)),0)</f>
        <v>72</v>
      </c>
      <c r="H14" s="18" t="s">
        <v>26</v>
      </c>
      <c r="I14" s="18" t="n">
        <f aca="false">SUMPRODUCT((Summary!$B$25:$B$45="Corporate discount")*Summary!$C$25:$C$45)</f>
        <v>139</v>
      </c>
      <c r="J14" s="18" t="n">
        <f aca="false">SUMIFS('Weekly Log'!$J$5:$J$636,'Weekly Log'!$G$5:$G$636,$C$4,'Weekly Log'!$M$5:$M$636,"Corporate discount")</f>
        <v>521</v>
      </c>
      <c r="K14" s="18" t="n">
        <f aca="false">SUMIFS('Weekly Log'!$K$5:$K$636,'Weekly Log'!$G$5:$G$636,$C$4,'Weekly Log'!$M$5:$M$636,"Corporate discount")</f>
        <v>4082.5</v>
      </c>
      <c r="L14" s="18" t="n">
        <f aca="false">IF(I14=0,0,K14/I14)</f>
        <v>29.3705035971223</v>
      </c>
    </row>
    <row r="15" customFormat="false" ht="15" hidden="false" customHeight="false" outlineLevel="0" collapsed="false">
      <c r="B15" s="17" t="str">
        <f aca="false">IFERROR(INDEX(Summary!$A$25:$A$45,MATCH(LARGE(Summary!$M$25:$M$45,2),Summary!$M$25:$M$45,0)),"")</f>
        <v>Qatar Airways</v>
      </c>
      <c r="C15" s="17" t="n">
        <f aca="false">IFERROR(INDEX(Summary!$C$25:$C$45,MATCH($B15,Summary!$A$25:$A$45,0)),0)</f>
        <v>37</v>
      </c>
      <c r="D15" s="17" t="n">
        <f aca="false">IFERROR(INDEX(Summary!$K$25:$K$45,MATCH($B15,Summary!$A$25:$A$45,0)),0)</f>
        <v>0</v>
      </c>
      <c r="E15" s="17" t="n">
        <f aca="false">C15-D15</f>
        <v>37</v>
      </c>
      <c r="F15" s="17" t="n">
        <f aca="false">IFERROR(INDEX(Summary!$D$25:$D$45,MATCH($B15,Summary!$A$25:$A$45,0)),0)</f>
        <v>66</v>
      </c>
      <c r="H15" s="18" t="s">
        <v>27</v>
      </c>
      <c r="I15" s="18" t="n">
        <f aca="false">SUMPRODUCT((Summary!$B$25:$B$45="Aggregator BOGO")*Summary!$C$25:$C$45)</f>
        <v>55</v>
      </c>
      <c r="J15" s="18" t="n">
        <f aca="false">SUMIFS('Weekly Log'!$J$5:$J$636,'Weekly Log'!$G$5:$G$636,$C$4,'Weekly Log'!$M$5:$M$636,"Aggregator BOGO")</f>
        <v>55</v>
      </c>
      <c r="K15" s="18" t="n">
        <f aca="false">SUMIFS('Weekly Log'!$K$5:$K$636,'Weekly Log'!$G$5:$G$636,$C$4,'Weekly Log'!$M$5:$M$636,"Aggregator BOGO")</f>
        <v>8668</v>
      </c>
      <c r="L15" s="18" t="n">
        <f aca="false">IF(I15=0,0,K15/I15)</f>
        <v>157.6</v>
      </c>
    </row>
    <row r="16" customFormat="false" ht="15" hidden="false" customHeight="false" outlineLevel="0" collapsed="false">
      <c r="B16" s="17" t="str">
        <f aca="false">IFERROR(INDEX(Summary!$A$25:$A$45,MATCH(LARGE(Summary!$M$25:$M$45,3),Summary!$M$25:$M$45,0)),"")</f>
        <v>Urban Point</v>
      </c>
      <c r="C16" s="17" t="n">
        <f aca="false">IFERROR(INDEX(Summary!$C$25:$C$45,MATCH($B16,Summary!$A$25:$A$45,0)),0)</f>
        <v>27</v>
      </c>
      <c r="D16" s="17" t="n">
        <f aca="false">IFERROR(INDEX(Summary!$K$25:$K$45,MATCH($B16,Summary!$A$25:$A$45,0)),0)</f>
        <v>0</v>
      </c>
      <c r="E16" s="17" t="n">
        <f aca="false">C16-D16</f>
        <v>27</v>
      </c>
      <c r="F16" s="17" t="n">
        <f aca="false">IFERROR(INDEX(Summary!$D$25:$D$45,MATCH($B16,Summary!$A$25:$A$45,0)),0)</f>
        <v>40</v>
      </c>
      <c r="H16" s="19" t="s">
        <v>28</v>
      </c>
      <c r="I16" s="20" t="n">
        <f aca="false">SUM(I14:I15)</f>
        <v>194</v>
      </c>
      <c r="J16" s="20" t="n">
        <f aca="false">SUM(J14:J15)</f>
        <v>576</v>
      </c>
      <c r="K16" s="20" t="n">
        <f aca="false">SUM(K14:K15)</f>
        <v>12750.5</v>
      </c>
    </row>
    <row r="17" customFormat="false" ht="15" hidden="false" customHeight="false" outlineLevel="0" collapsed="false">
      <c r="B17" s="17" t="str">
        <f aca="false">IFERROR(INDEX(Summary!$A$25:$A$45,MATCH(LARGE(Summary!$M$25:$M$45,4),Summary!$M$25:$M$45,0)),"")</f>
        <v>Public Health Sector (Sogha)</v>
      </c>
      <c r="C17" s="17" t="n">
        <f aca="false">IFERROR(INDEX(Summary!$C$25:$C$45,MATCH($B17,Summary!$A$25:$A$45,0)),0)</f>
        <v>25</v>
      </c>
      <c r="D17" s="17" t="n">
        <f aca="false">IFERROR(INDEX(Summary!$K$25:$K$45,MATCH($B17,Summary!$A$25:$A$45,0)),0)</f>
        <v>0</v>
      </c>
      <c r="E17" s="17" t="n">
        <f aca="false">C17-D17</f>
        <v>25</v>
      </c>
      <c r="F17" s="17" t="n">
        <f aca="false">IFERROR(INDEX(Summary!$D$25:$D$45,MATCH($B17,Summary!$A$25:$A$45,0)),0)</f>
        <v>51</v>
      </c>
    </row>
    <row r="18" customFormat="false" ht="21.75" hidden="false" customHeight="true" outlineLevel="0" collapsed="false">
      <c r="B18" s="17" t="str">
        <f aca="false">IFERROR(INDEX(Summary!$A$25:$A$45,MATCH(LARGE(Summary!$M$25:$M$45,5),Summary!$M$25:$M$45,0)),"")</f>
        <v>My Book</v>
      </c>
      <c r="C18" s="17" t="n">
        <f aca="false">IFERROR(INDEX(Summary!$C$25:$C$45,MATCH($B18,Summary!$A$25:$A$45,0)),0)</f>
        <v>14</v>
      </c>
      <c r="D18" s="17" t="n">
        <f aca="false">IFERROR(INDEX(Summary!$K$25:$K$45,MATCH($B18,Summary!$A$25:$A$45,0)),0)</f>
        <v>0</v>
      </c>
      <c r="E18" s="17" t="n">
        <f aca="false">C18-D18</f>
        <v>14</v>
      </c>
      <c r="F18" s="17" t="n">
        <f aca="false">IFERROR(INDEX(Summary!$D$25:$D$45,MATCH($B18,Summary!$A$25:$A$45,0)),0)</f>
        <v>25</v>
      </c>
      <c r="H18" s="15" t="s">
        <v>29</v>
      </c>
    </row>
    <row r="19" customFormat="false" ht="15" hidden="false" customHeight="false" outlineLevel="0" collapsed="false">
      <c r="B19" s="17" t="str">
        <f aca="false">IFERROR(INDEX(Summary!$A$25:$A$45,MATCH(LARGE(Summary!$M$25:$M$45,6),Summary!$M$25:$M$45,0)),"")</f>
        <v>Entertainer</v>
      </c>
      <c r="C19" s="17" t="n">
        <f aca="false">IFERROR(INDEX(Summary!$C$25:$C$45,MATCH($B19,Summary!$A$25:$A$45,0)),0)</f>
        <v>14</v>
      </c>
      <c r="D19" s="17" t="n">
        <f aca="false">IFERROR(INDEX(Summary!$K$25:$K$45,MATCH($B19,Summary!$A$25:$A$45,0)),0)</f>
        <v>0</v>
      </c>
      <c r="E19" s="17" t="n">
        <f aca="false">C19-D19</f>
        <v>14</v>
      </c>
      <c r="F19" s="17" t="n">
        <f aca="false">IFERROR(INDEX(Summary!$D$25:$D$45,MATCH($B19,Summary!$A$25:$A$45,0)),0)</f>
        <v>19</v>
      </c>
      <c r="H19" s="16" t="s">
        <v>16</v>
      </c>
      <c r="I19" s="16" t="s">
        <v>30</v>
      </c>
      <c r="J19" s="16" t="s">
        <v>31</v>
      </c>
    </row>
    <row r="20" customFormat="false" ht="15" hidden="false" customHeight="false" outlineLevel="0" collapsed="false">
      <c r="B20" s="17" t="str">
        <f aca="false">IFERROR(INDEX(Summary!$A$25:$A$45,MATCH(LARGE(Summary!$M$25:$M$45,7),Summary!$M$25:$M$45,0)),"")</f>
        <v>Qatar Foundation</v>
      </c>
      <c r="C20" s="17" t="n">
        <f aca="false">IFERROR(INDEX(Summary!$C$25:$C$45,MATCH($B20,Summary!$A$25:$A$45,0)),0)</f>
        <v>13</v>
      </c>
      <c r="D20" s="17" t="n">
        <f aca="false">IFERROR(INDEX(Summary!$K$25:$K$45,MATCH($B20,Summary!$A$25:$A$45,0)),0)</f>
        <v>0</v>
      </c>
      <c r="E20" s="17" t="n">
        <f aca="false">C20-D20</f>
        <v>13</v>
      </c>
      <c r="F20" s="17" t="n">
        <f aca="false">IFERROR(INDEX(Summary!$D$25:$D$45,MATCH($B20,Summary!$A$25:$A$45,0)),0)</f>
        <v>34</v>
      </c>
      <c r="H20" s="21" t="str">
        <f aca="false">IFERROR(INDEX(Summary!$A$25:$A$45,SMALL(Summary!$N$25:$N$45,1)),"")</f>
        <v>Dar App</v>
      </c>
      <c r="I20" s="21" t="str">
        <f aca="false">IF(H20="","",INDEX('Partner Master'!$C$5:$C$25,MATCH(H20,'Partner Master'!$A$5:$A$25,0)))</f>
        <v>Dar community app</v>
      </c>
      <c r="J20" s="21" t="str">
        <f aca="false">IF(H20="","",IFERROR(INDEX('Trend Data'!$G$5:$G$2085,MATCH(H20,'Trend Data'!$L$5:$L$2085,0)),"Never"))</f>
        <v>2026-07</v>
      </c>
    </row>
    <row r="21" customFormat="false" ht="15" hidden="false" customHeight="false" outlineLevel="0" collapsed="false">
      <c r="B21" s="17" t="str">
        <f aca="false">IFERROR(INDEX(Summary!$A$25:$A$45,MATCH(LARGE(Summary!$M$25:$M$45,8),Summary!$M$25:$M$45,0)),"")</f>
        <v>Qatar Investment Authority</v>
      </c>
      <c r="C21" s="17" t="n">
        <f aca="false">IFERROR(INDEX(Summary!$C$25:$C$45,MATCH($B21,Summary!$A$25:$A$45,0)),0)</f>
        <v>12</v>
      </c>
      <c r="D21" s="17" t="n">
        <f aca="false">IFERROR(INDEX(Summary!$K$25:$K$45,MATCH($B21,Summary!$A$25:$A$45,0)),0)</f>
        <v>0</v>
      </c>
      <c r="E21" s="17" t="n">
        <f aca="false">C21-D21</f>
        <v>12</v>
      </c>
      <c r="F21" s="17" t="n">
        <f aca="false">IFERROR(INDEX(Summary!$D$25:$D$45,MATCH($B21,Summary!$A$25:$A$45,0)),0)</f>
        <v>20</v>
      </c>
      <c r="H21" s="21" t="str">
        <f aca="false">IFERROR(INDEX(Summary!$A$25:$A$45,SMALL(Summary!$N$25:$N$45,2)),"")</f>
        <v>Classmate</v>
      </c>
      <c r="I21" s="21" t="str">
        <f aca="false">IF(H21="","",INDEX('Partner Master'!$C$5:$C$25,MATCH(H21,'Partner Master'!$A$5:$A$25,0)))</f>
        <v>App 9171</v>
      </c>
      <c r="J21" s="21" t="str">
        <f aca="false">IF(H21="","",IFERROR(INDEX('Trend Data'!$G$5:$G$2085,MATCH(H21,'Trend Data'!$L$5:$L$2085,0)),"Never"))</f>
        <v>2026-07</v>
      </c>
    </row>
    <row r="22" customFormat="false" ht="15" hidden="false" customHeight="false" outlineLevel="0" collapsed="false">
      <c r="B22" s="17" t="str">
        <f aca="false">IFERROR(INDEX(Summary!$A$25:$A$45,MATCH(LARGE(Summary!$M$25:$M$45,9),Summary!$M$25:$M$45,0)),"")</f>
        <v>Aspire</v>
      </c>
      <c r="C22" s="17" t="n">
        <f aca="false">IFERROR(INDEX(Summary!$C$25:$C$45,MATCH($B22,Summary!$A$25:$A$45,0)),0)</f>
        <v>4</v>
      </c>
      <c r="D22" s="17" t="n">
        <f aca="false">IFERROR(INDEX(Summary!$K$25:$K$45,MATCH($B22,Summary!$A$25:$A$45,0)),0)</f>
        <v>0</v>
      </c>
      <c r="E22" s="17" t="n">
        <f aca="false">C22-D22</f>
        <v>4</v>
      </c>
      <c r="F22" s="17" t="n">
        <f aca="false">IFERROR(INDEX(Summary!$D$25:$D$45,MATCH($B22,Summary!$A$25:$A$45,0)),0)</f>
        <v>5</v>
      </c>
      <c r="H22" s="21" t="str">
        <f aca="false">IFERROR(INDEX(Summary!$A$25:$A$45,SMALL(Summary!$N$25:$N$45,3)),"")</f>
        <v>MyBenefit</v>
      </c>
      <c r="I22" s="21" t="str">
        <f aca="false">IF(H22="","",INDEX('Partner Master'!$C$5:$C$25,MATCH(H22,'Partner Master'!$A$5:$A$25,0)))</f>
        <v>Codes mbfua15 / mbfip15 / mbfcb15 / mbfkd15</v>
      </c>
      <c r="J22" s="21" t="str">
        <f aca="false">IF(H22="","",IFERROR(INDEX('Trend Data'!$G$5:$G$2085,MATCH(H22,'Trend Data'!$L$5:$L$2085,0)),"Never"))</f>
        <v>Never</v>
      </c>
    </row>
    <row r="23" customFormat="false" ht="15" hidden="false" customHeight="false" outlineLevel="0" collapsed="false">
      <c r="B23" s="17" t="str">
        <f aca="false">IFERROR(INDEX(Summary!$A$25:$A$45,MATCH(LARGE(Summary!$M$25:$M$45,10),Summary!$M$25:$M$45,0)),"")</f>
        <v>Al Jazeera Imtiyazat</v>
      </c>
      <c r="C23" s="17" t="n">
        <f aca="false">IFERROR(INDEX(Summary!$C$25:$C$45,MATCH($B23,Summary!$A$25:$A$45,0)),0)</f>
        <v>3</v>
      </c>
      <c r="D23" s="17" t="n">
        <f aca="false">IFERROR(INDEX(Summary!$K$25:$K$45,MATCH($B23,Summary!$A$25:$A$45,0)),0)</f>
        <v>0</v>
      </c>
      <c r="E23" s="17" t="n">
        <f aca="false">C23-D23</f>
        <v>3</v>
      </c>
      <c r="F23" s="17" t="n">
        <f aca="false">IFERROR(INDEX(Summary!$D$25:$D$45,MATCH($B23,Summary!$A$25:$A$45,0)),0)</f>
        <v>6</v>
      </c>
      <c r="H23" s="21" t="str">
        <f aca="false">IFERROR(INDEX(Summary!$A$25:$A$45,SMALL(Summary!$N$25:$N$45,4)),"")</f>
        <v>DHL</v>
      </c>
      <c r="I23" s="21" t="str">
        <f aca="false">IF(H23="","",INDEX('Partner Master'!$C$5:$C$25,MATCH(H23,'Partner Master'!$A$5:$A$25,0)))</f>
        <v>Staff ID</v>
      </c>
      <c r="J23" s="21" t="str">
        <f aca="false">IF(H23="","",IFERROR(INDEX('Trend Data'!$G$5:$G$2085,MATCH(H23,'Trend Data'!$L$5:$L$2085,0)),"Never"))</f>
        <v>Never</v>
      </c>
    </row>
    <row r="24" customFormat="false" ht="15" hidden="false" customHeight="false" outlineLevel="0" collapsed="false">
      <c r="H24" s="21" t="str">
        <f aca="false">IFERROR(INDEX(Summary!$A$25:$A$45,SMALL(Summary!$N$25:$N$45,5)),"")</f>
        <v>Huawei</v>
      </c>
      <c r="I24" s="21" t="str">
        <f aca="false">IF(H24="","",INDEX('Partner Master'!$C$5:$C$25,MATCH(H24,'Partner Master'!$A$5:$A$25,0)))</f>
        <v>Staff ID</v>
      </c>
      <c r="J24" s="21" t="str">
        <f aca="false">IF(H24="","",IFERROR(INDEX('Trend Data'!$G$5:$G$2085,MATCH(H24,'Trend Data'!$L$5:$L$2085,0)),"Never"))</f>
        <v>Never</v>
      </c>
    </row>
    <row r="25" customFormat="false" ht="21.75" hidden="false" customHeight="true" outlineLevel="0" collapsed="false">
      <c r="B25" s="15" t="s">
        <v>32</v>
      </c>
      <c r="H25" s="21" t="str">
        <f aca="false">IFERROR(INDEX(Summary!$A$25:$A$45,SMALL(Summary!$N$25:$N$45,6)),"")</f>
        <v>Qatar Media Corporation</v>
      </c>
      <c r="I25" s="21" t="str">
        <f aca="false">IF(H25="","",INDEX('Partner Master'!$C$5:$C$25,MATCH(H25,'Partner Master'!$A$5:$A$25,0)))</f>
        <v>Staff ID</v>
      </c>
      <c r="J25" s="21" t="str">
        <f aca="false">IF(H25="","",IFERROR(INDEX('Trend Data'!$G$5:$G$2085,MATCH(H25,'Trend Data'!$L$5:$L$2085,0)),"Never"))</f>
        <v>2026-08</v>
      </c>
    </row>
    <row r="26" customFormat="false" ht="15" hidden="false" customHeight="false" outlineLevel="0" collapsed="false">
      <c r="B26" s="16" t="s">
        <v>33</v>
      </c>
      <c r="C26" s="16" t="s">
        <v>22</v>
      </c>
      <c r="D26" s="16" t="s">
        <v>23</v>
      </c>
      <c r="E26" s="16" t="s">
        <v>24</v>
      </c>
      <c r="F26" s="16" t="s">
        <v>34</v>
      </c>
      <c r="H26" s="21" t="str">
        <f aca="false">IFERROR(INDEX(Summary!$A$25:$A$45,SMALL(Summary!$N$25:$N$45,7)),"")</f>
        <v>Snoonu Employees</v>
      </c>
      <c r="I26" s="21" t="str">
        <f aca="false">IF(H26="","",INDEX('Partner Master'!$C$5:$C$25,MATCH(H26,'Partner Master'!$A$5:$A$25,0)))</f>
        <v>Scity app</v>
      </c>
      <c r="J26" s="21" t="str">
        <f aca="false">IF(H26="","",IFERROR(INDEX('Trend Data'!$G$5:$G$2085,MATCH(H26,'Trend Data'!$L$5:$L$2085,0)),"Never"))</f>
        <v>2026-04</v>
      </c>
    </row>
    <row r="27" customFormat="false" ht="15" hidden="false" customHeight="false" outlineLevel="0" collapsed="false">
      <c r="B27" s="18" t="s">
        <v>35</v>
      </c>
      <c r="C27" s="18" t="n">
        <f aca="false">Summary!I15</f>
        <v>67</v>
      </c>
      <c r="D27" s="18" t="n">
        <f aca="false">Summary!J15</f>
        <v>241</v>
      </c>
      <c r="E27" s="22" t="n">
        <f aca="false">Summary!K15</f>
        <v>3914.75</v>
      </c>
      <c r="F27" s="23" t="n">
        <f aca="false">IF($C$31=0,0,C27/$C$31)</f>
        <v>0.345360824742268</v>
      </c>
      <c r="H27" s="21" t="str">
        <f aca="false">IFERROR(INDEX(Summary!$A$25:$A$45,SMALL(Summary!$N$25:$N$45,8)),"")</f>
        <v/>
      </c>
      <c r="I27" s="21" t="str">
        <f aca="false">IF(H27="","",INDEX('Partner Master'!$C$5:$C$25,MATCH(H27,'Partner Master'!$A$5:$A$25,0)))</f>
        <v/>
      </c>
      <c r="J27" s="21" t="str">
        <f aca="false">IF(H27="","",IFERROR(INDEX('Trend Data'!$G$5:$G$2085,MATCH(H27,'Trend Data'!$L$5:$L$2085,0)),"Never"))</f>
        <v/>
      </c>
    </row>
    <row r="28" customFormat="false" ht="15" hidden="false" customHeight="false" outlineLevel="0" collapsed="false">
      <c r="B28" s="18" t="s">
        <v>36</v>
      </c>
      <c r="C28" s="18" t="n">
        <f aca="false">Summary!I16</f>
        <v>58</v>
      </c>
      <c r="D28" s="18" t="n">
        <f aca="false">Summary!J16</f>
        <v>148</v>
      </c>
      <c r="E28" s="22" t="n">
        <f aca="false">Summary!K16</f>
        <v>3273.5</v>
      </c>
      <c r="F28" s="23" t="n">
        <f aca="false">IF($C$31=0,0,C28/$C$31)</f>
        <v>0.298969072164948</v>
      </c>
    </row>
    <row r="29" customFormat="false" ht="15" hidden="false" customHeight="false" outlineLevel="0" collapsed="false">
      <c r="B29" s="18" t="s">
        <v>37</v>
      </c>
      <c r="C29" s="18" t="n">
        <f aca="false">Summary!I17</f>
        <v>45</v>
      </c>
      <c r="D29" s="18" t="n">
        <f aca="false">Summary!J17</f>
        <v>158</v>
      </c>
      <c r="E29" s="22" t="n">
        <f aca="false">Summary!K17</f>
        <v>3230.75</v>
      </c>
      <c r="F29" s="23" t="n">
        <f aca="false">IF($C$31=0,0,C29/$C$31)</f>
        <v>0.231958762886598</v>
      </c>
    </row>
    <row r="30" customFormat="false" ht="15" hidden="false" customHeight="false" outlineLevel="0" collapsed="false">
      <c r="B30" s="18" t="s">
        <v>38</v>
      </c>
      <c r="C30" s="18" t="n">
        <f aca="false">Summary!I18</f>
        <v>24</v>
      </c>
      <c r="D30" s="18" t="n">
        <f aca="false">Summary!J18</f>
        <v>29</v>
      </c>
      <c r="E30" s="22" t="n">
        <f aca="false">Summary!K18</f>
        <v>2331.5</v>
      </c>
      <c r="F30" s="23" t="n">
        <f aca="false">IF($C$31=0,0,C30/$C$31)</f>
        <v>0.123711340206186</v>
      </c>
    </row>
    <row r="31" customFormat="false" ht="15" hidden="false" customHeight="false" outlineLevel="0" collapsed="false">
      <c r="B31" s="19" t="s">
        <v>28</v>
      </c>
      <c r="C31" s="20" t="n">
        <f aca="false">SUM(C27:C30)</f>
        <v>194</v>
      </c>
      <c r="D31" s="20" t="n">
        <f aca="false">SUM(D27:D30)</f>
        <v>576</v>
      </c>
      <c r="E31" s="20" t="n">
        <f aca="false">SUM(E27:E30)</f>
        <v>12750.5</v>
      </c>
      <c r="F31" s="24" t="n">
        <v>1</v>
      </c>
    </row>
    <row r="33" customFormat="false" ht="26.85" hidden="false" customHeight="false" outlineLevel="0" collapsed="false">
      <c r="B33" s="15" t="s">
        <v>39</v>
      </c>
    </row>
    <row r="34" customFormat="false" ht="15" hidden="false" customHeight="false" outlineLevel="0" collapsed="false">
      <c r="B34" s="16" t="s">
        <v>40</v>
      </c>
      <c r="C34" s="16" t="s">
        <v>22</v>
      </c>
      <c r="D34" s="16" t="s">
        <v>23</v>
      </c>
      <c r="E34" s="16" t="s">
        <v>24</v>
      </c>
      <c r="F34" s="16" t="s">
        <v>27</v>
      </c>
    </row>
    <row r="35" customFormat="false" ht="15" hidden="false" customHeight="false" outlineLevel="0" collapsed="false">
      <c r="B35" s="18" t="str">
        <f aca="false">IF(36&lt;=VALUE(RIGHT($C$4,2)),LEFT($C$4,6)&amp;TEXT(36,"00"),"")</f>
        <v>2026-W36</v>
      </c>
      <c r="C35" s="18" t="n">
        <f aca="false">IF(B35="","",SUMIFS('Weekly Log'!$H$5:$H$636,'Weekly Log'!$G$5:$G$636,B35,'Weekly Log'!$M$5:$M$636,"Corporate discount")+SUMIFS('Weekly Log'!$H$5:$H$636,'Weekly Log'!$G$5:$G$636,B35,'Weekly Log'!$M$5:$M$636,"Aggregator BOGO"))</f>
        <v>0</v>
      </c>
      <c r="D35" s="18" t="n">
        <f aca="false">IF(B35="","",SUMIFS('Weekly Log'!$J$5:$J$636,'Weekly Log'!$G$5:$G$636,B35,'Weekly Log'!$M$5:$M$636,"Corporate discount")+SUMIFS('Weekly Log'!$J$5:$J$636,'Weekly Log'!$G$5:$G$636,B35,'Weekly Log'!$M$5:$M$636,"Aggregator BOGO"))</f>
        <v>0</v>
      </c>
      <c r="E35" s="18" t="n">
        <f aca="false">IF(B35="","",SUMIFS('Weekly Log'!$K$5:$K$636,'Weekly Log'!$G$5:$G$636,B35,'Weekly Log'!$M$5:$M$636,"Corporate discount")+SUMIFS('Weekly Log'!$K$5:$K$636,'Weekly Log'!$G$5:$G$636,B35,'Weekly Log'!$M$5:$M$636,"Aggregator BOGO"))</f>
        <v>0</v>
      </c>
      <c r="F35" s="18" t="n">
        <f aca="false">IF(B35="","",SUMIFS('Weekly Log'!$H$5:$H$636,'Weekly Log'!$G$5:$G$636,B35,'Weekly Log'!$M$5:$M$636,"Aggregator BOGO"))</f>
        <v>0</v>
      </c>
    </row>
    <row r="36" customFormat="false" ht="15" hidden="false" customHeight="false" outlineLevel="0" collapsed="false">
      <c r="B36" s="18" t="str">
        <f aca="false">IF(37&lt;=VALUE(RIGHT($C$4,2)),LEFT($C$4,6)&amp;TEXT(37,"00"),"")</f>
        <v>2026-W37</v>
      </c>
      <c r="C36" s="18" t="n">
        <f aca="false">IF(B36="","",SUMIFS('Weekly Log'!$H$5:$H$636,'Weekly Log'!$G$5:$G$636,B36,'Weekly Log'!$M$5:$M$636,"Corporate discount")+SUMIFS('Weekly Log'!$H$5:$H$636,'Weekly Log'!$G$5:$G$636,B36,'Weekly Log'!$M$5:$M$636,"Aggregator BOGO"))</f>
        <v>194</v>
      </c>
      <c r="D36" s="18" t="n">
        <f aca="false">IF(B36="","",SUMIFS('Weekly Log'!$J$5:$J$636,'Weekly Log'!$G$5:$G$636,B36,'Weekly Log'!$M$5:$M$636,"Corporate discount")+SUMIFS('Weekly Log'!$J$5:$J$636,'Weekly Log'!$G$5:$G$636,B36,'Weekly Log'!$M$5:$M$636,"Aggregator BOGO"))</f>
        <v>576</v>
      </c>
      <c r="E36" s="18" t="n">
        <f aca="false">IF(B36="","",SUMIFS('Weekly Log'!$K$5:$K$636,'Weekly Log'!$G$5:$G$636,B36,'Weekly Log'!$M$5:$M$636,"Corporate discount")+SUMIFS('Weekly Log'!$K$5:$K$636,'Weekly Log'!$G$5:$G$636,B36,'Weekly Log'!$M$5:$M$636,"Aggregator BOGO"))</f>
        <v>12750.5</v>
      </c>
      <c r="F36" s="18" t="n">
        <f aca="false">IF(B36="","",SUMIFS('Weekly Log'!$H$5:$H$636,'Weekly Log'!$G$5:$G$636,B36,'Weekly Log'!$M$5:$M$636,"Aggregator BOGO"))</f>
        <v>55</v>
      </c>
    </row>
    <row r="37" customFormat="false" ht="15" hidden="false" customHeight="false" outlineLevel="0" collapsed="false">
      <c r="B37" s="18" t="str">
        <f aca="false">IF(38&lt;=VALUE(RIGHT($C$4,2)),LEFT($C$4,6)&amp;TEXT(38,"00"),"")</f>
        <v/>
      </c>
      <c r="C37" s="18" t="str">
        <f aca="false">IF(B37="","",SUMIFS('Weekly Log'!$H$5:$H$636,'Weekly Log'!$G$5:$G$636,B37,'Weekly Log'!$M$5:$M$636,"Corporate discount")+SUMIFS('Weekly Log'!$H$5:$H$636,'Weekly Log'!$G$5:$G$636,B37,'Weekly Log'!$M$5:$M$636,"Aggregator BOGO"))</f>
        <v/>
      </c>
      <c r="D37" s="18" t="str">
        <f aca="false">IF(B37="","",SUMIFS('Weekly Log'!$J$5:$J$636,'Weekly Log'!$G$5:$G$636,B37,'Weekly Log'!$M$5:$M$636,"Corporate discount")+SUMIFS('Weekly Log'!$J$5:$J$636,'Weekly Log'!$G$5:$G$636,B37,'Weekly Log'!$M$5:$M$636,"Aggregator BOGO"))</f>
        <v/>
      </c>
      <c r="E37" s="18" t="str">
        <f aca="false">IF(B37="","",SUMIFS('Weekly Log'!$K$5:$K$636,'Weekly Log'!$G$5:$G$636,B37,'Weekly Log'!$M$5:$M$636,"Corporate discount")+SUMIFS('Weekly Log'!$K$5:$K$636,'Weekly Log'!$G$5:$G$636,B37,'Weekly Log'!$M$5:$M$636,"Aggregator BOGO"))</f>
        <v/>
      </c>
      <c r="F37" s="18" t="str">
        <f aca="false">IF(B37="","",SUMIFS('Weekly Log'!$H$5:$H$636,'Weekly Log'!$G$5:$G$636,B37,'Weekly Log'!$M$5:$M$636,"Aggregator BOGO"))</f>
        <v/>
      </c>
    </row>
    <row r="38" customFormat="false" ht="15" hidden="false" customHeight="false" outlineLevel="0" collapsed="false">
      <c r="B38" s="18" t="str">
        <f aca="false">IF(39&lt;=VALUE(RIGHT($C$4,2)),LEFT($C$4,6)&amp;TEXT(39,"00"),"")</f>
        <v/>
      </c>
      <c r="C38" s="18" t="str">
        <f aca="false">IF(B38="","",SUMIFS('Weekly Log'!$H$5:$H$636,'Weekly Log'!$G$5:$G$636,B38,'Weekly Log'!$M$5:$M$636,"Corporate discount")+SUMIFS('Weekly Log'!$H$5:$H$636,'Weekly Log'!$G$5:$G$636,B38,'Weekly Log'!$M$5:$M$636,"Aggregator BOGO"))</f>
        <v/>
      </c>
      <c r="D38" s="18" t="str">
        <f aca="false">IF(B38="","",SUMIFS('Weekly Log'!$J$5:$J$636,'Weekly Log'!$G$5:$G$636,B38,'Weekly Log'!$M$5:$M$636,"Corporate discount")+SUMIFS('Weekly Log'!$J$5:$J$636,'Weekly Log'!$G$5:$G$636,B38,'Weekly Log'!$M$5:$M$636,"Aggregator BOGO"))</f>
        <v/>
      </c>
      <c r="E38" s="18" t="str">
        <f aca="false">IF(B38="","",SUMIFS('Weekly Log'!$K$5:$K$636,'Weekly Log'!$G$5:$G$636,B38,'Weekly Log'!$M$5:$M$636,"Corporate discount")+SUMIFS('Weekly Log'!$K$5:$K$636,'Weekly Log'!$G$5:$G$636,B38,'Weekly Log'!$M$5:$M$636,"Aggregator BOGO"))</f>
        <v/>
      </c>
      <c r="F38" s="18" t="str">
        <f aca="false">IF(B38="","",SUMIFS('Weekly Log'!$H$5:$H$636,'Weekly Log'!$G$5:$G$636,B38,'Weekly Log'!$M$5:$M$636,"Aggregator BOGO"))</f>
        <v/>
      </c>
    </row>
    <row r="39" customFormat="false" ht="15" hidden="false" customHeight="false" outlineLevel="0" collapsed="false">
      <c r="B39" s="18" t="str">
        <f aca="false">IF(40&lt;=VALUE(RIGHT($C$4,2)),LEFT($C$4,6)&amp;TEXT(40,"00"),"")</f>
        <v/>
      </c>
      <c r="C39" s="18" t="str">
        <f aca="false">IF(B39="","",SUMIFS('Weekly Log'!$H$5:$H$636,'Weekly Log'!$G$5:$G$636,B39,'Weekly Log'!$M$5:$M$636,"Corporate discount")+SUMIFS('Weekly Log'!$H$5:$H$636,'Weekly Log'!$G$5:$G$636,B39,'Weekly Log'!$M$5:$M$636,"Aggregator BOGO"))</f>
        <v/>
      </c>
      <c r="D39" s="18" t="str">
        <f aca="false">IF(B39="","",SUMIFS('Weekly Log'!$J$5:$J$636,'Weekly Log'!$G$5:$G$636,B39,'Weekly Log'!$M$5:$M$636,"Corporate discount")+SUMIFS('Weekly Log'!$J$5:$J$636,'Weekly Log'!$G$5:$G$636,B39,'Weekly Log'!$M$5:$M$636,"Aggregator BOGO"))</f>
        <v/>
      </c>
      <c r="E39" s="18" t="str">
        <f aca="false">IF(B39="","",SUMIFS('Weekly Log'!$K$5:$K$636,'Weekly Log'!$G$5:$G$636,B39,'Weekly Log'!$M$5:$M$636,"Corporate discount")+SUMIFS('Weekly Log'!$K$5:$K$636,'Weekly Log'!$G$5:$G$636,B39,'Weekly Log'!$M$5:$M$636,"Aggregator BOGO"))</f>
        <v/>
      </c>
      <c r="F39" s="18" t="str">
        <f aca="false">IF(B39="","",SUMIFS('Weekly Log'!$H$5:$H$636,'Weekly Log'!$G$5:$G$636,B39,'Weekly Log'!$M$5:$M$636,"Aggregator BOGO"))</f>
        <v/>
      </c>
    </row>
    <row r="40" customFormat="false" ht="15" hidden="false" customHeight="false" outlineLevel="0" collapsed="false">
      <c r="B40" s="18" t="str">
        <f aca="false">IF(41&lt;=VALUE(RIGHT($C$4,2)),LEFT($C$4,6)&amp;TEXT(41,"00"),"")</f>
        <v/>
      </c>
      <c r="C40" s="18" t="str">
        <f aca="false">IF(B40="","",SUMIFS('Weekly Log'!$H$5:$H$636,'Weekly Log'!$G$5:$G$636,B40,'Weekly Log'!$M$5:$M$636,"Corporate discount")+SUMIFS('Weekly Log'!$H$5:$H$636,'Weekly Log'!$G$5:$G$636,B40,'Weekly Log'!$M$5:$M$636,"Aggregator BOGO"))</f>
        <v/>
      </c>
      <c r="D40" s="18" t="str">
        <f aca="false">IF(B40="","",SUMIFS('Weekly Log'!$J$5:$J$636,'Weekly Log'!$G$5:$G$636,B40,'Weekly Log'!$M$5:$M$636,"Corporate discount")+SUMIFS('Weekly Log'!$J$5:$J$636,'Weekly Log'!$G$5:$G$636,B40,'Weekly Log'!$M$5:$M$636,"Aggregator BOGO"))</f>
        <v/>
      </c>
      <c r="E40" s="18" t="str">
        <f aca="false">IF(B40="","",SUMIFS('Weekly Log'!$K$5:$K$636,'Weekly Log'!$G$5:$G$636,B40,'Weekly Log'!$M$5:$M$636,"Corporate discount")+SUMIFS('Weekly Log'!$K$5:$K$636,'Weekly Log'!$G$5:$G$636,B40,'Weekly Log'!$M$5:$M$636,"Aggregator BOGO"))</f>
        <v/>
      </c>
      <c r="F40" s="18" t="str">
        <f aca="false">IF(B40="","",SUMIFS('Weekly Log'!$H$5:$H$636,'Weekly Log'!$G$5:$G$636,B40,'Weekly Log'!$M$5:$M$636,"Aggregator BOGO"))</f>
        <v/>
      </c>
    </row>
    <row r="41" customFormat="false" ht="15" hidden="false" customHeight="false" outlineLevel="0" collapsed="false">
      <c r="B41" s="18" t="str">
        <f aca="false">IF(42&lt;=VALUE(RIGHT($C$4,2)),LEFT($C$4,6)&amp;TEXT(42,"00"),"")</f>
        <v/>
      </c>
      <c r="C41" s="18" t="str">
        <f aca="false">IF(B41="","",SUMIFS('Weekly Log'!$H$5:$H$636,'Weekly Log'!$G$5:$G$636,B41,'Weekly Log'!$M$5:$M$636,"Corporate discount")+SUMIFS('Weekly Log'!$H$5:$H$636,'Weekly Log'!$G$5:$G$636,B41,'Weekly Log'!$M$5:$M$636,"Aggregator BOGO"))</f>
        <v/>
      </c>
      <c r="D41" s="18" t="str">
        <f aca="false">IF(B41="","",SUMIFS('Weekly Log'!$J$5:$J$636,'Weekly Log'!$G$5:$G$636,B41,'Weekly Log'!$M$5:$M$636,"Corporate discount")+SUMIFS('Weekly Log'!$J$5:$J$636,'Weekly Log'!$G$5:$G$636,B41,'Weekly Log'!$M$5:$M$636,"Aggregator BOGO"))</f>
        <v/>
      </c>
      <c r="E41" s="18" t="str">
        <f aca="false">IF(B41="","",SUMIFS('Weekly Log'!$K$5:$K$636,'Weekly Log'!$G$5:$G$636,B41,'Weekly Log'!$M$5:$M$636,"Corporate discount")+SUMIFS('Weekly Log'!$K$5:$K$636,'Weekly Log'!$G$5:$G$636,B41,'Weekly Log'!$M$5:$M$636,"Aggregator BOGO"))</f>
        <v/>
      </c>
      <c r="F41" s="18" t="str">
        <f aca="false">IF(B41="","",SUMIFS('Weekly Log'!$H$5:$H$636,'Weekly Log'!$G$5:$G$636,B41,'Weekly Log'!$M$5:$M$636,"Aggregator BOGO"))</f>
        <v/>
      </c>
    </row>
    <row r="42" customFormat="false" ht="15" hidden="false" customHeight="false" outlineLevel="0" collapsed="false">
      <c r="B42" s="18" t="str">
        <f aca="false">IF(43&lt;=VALUE(RIGHT($C$4,2)),LEFT($C$4,6)&amp;TEXT(43,"00"),"")</f>
        <v/>
      </c>
      <c r="C42" s="18" t="str">
        <f aca="false">IF(B42="","",SUMIFS('Weekly Log'!$H$5:$H$636,'Weekly Log'!$G$5:$G$636,B42,'Weekly Log'!$M$5:$M$636,"Corporate discount")+SUMIFS('Weekly Log'!$H$5:$H$636,'Weekly Log'!$G$5:$G$636,B42,'Weekly Log'!$M$5:$M$636,"Aggregator BOGO"))</f>
        <v/>
      </c>
      <c r="D42" s="18" t="str">
        <f aca="false">IF(B42="","",SUMIFS('Weekly Log'!$J$5:$J$636,'Weekly Log'!$G$5:$G$636,B42,'Weekly Log'!$M$5:$M$636,"Corporate discount")+SUMIFS('Weekly Log'!$J$5:$J$636,'Weekly Log'!$G$5:$G$636,B42,'Weekly Log'!$M$5:$M$636,"Aggregator BOGO"))</f>
        <v/>
      </c>
      <c r="E42" s="18" t="str">
        <f aca="false">IF(B42="","",SUMIFS('Weekly Log'!$K$5:$K$636,'Weekly Log'!$G$5:$G$636,B42,'Weekly Log'!$M$5:$M$636,"Corporate discount")+SUMIFS('Weekly Log'!$K$5:$K$636,'Weekly Log'!$G$5:$G$636,B42,'Weekly Log'!$M$5:$M$636,"Aggregator BOGO"))</f>
        <v/>
      </c>
      <c r="F42" s="18" t="str">
        <f aca="false">IF(B42="","",SUMIFS('Weekly Log'!$H$5:$H$636,'Weekly Log'!$G$5:$G$636,B42,'Weekly Log'!$M$5:$M$636,"Aggregator BOGO"))</f>
        <v/>
      </c>
    </row>
    <row r="43" customFormat="false" ht="15" hidden="false" customHeight="false" outlineLevel="0" collapsed="false">
      <c r="B43" s="25" t="str">
        <f aca="false">IF(44&lt;=VALUE(RIGHT($C$4,2)),LEFT($C$4,6)&amp;TEXT(44,"00"),"")</f>
        <v/>
      </c>
      <c r="C43" s="18" t="str">
        <f aca="false">IF(B43="","",SUMIFS('Weekly Log'!$H$5:$H$636,'Weekly Log'!$G$5:$G$636,B43,'Weekly Log'!$M$5:$M$636,"Corporate discount")+SUMIFS('Weekly Log'!$H$5:$H$636,'Weekly Log'!$G$5:$G$636,B43,'Weekly Log'!$M$5:$M$636,"Aggregator BOGO"))</f>
        <v/>
      </c>
      <c r="D43" s="18" t="str">
        <f aca="false">IF(B43="","",SUMIFS('Weekly Log'!$J$5:$J$636,'Weekly Log'!$G$5:$G$636,B43,'Weekly Log'!$M$5:$M$636,"Corporate discount")+SUMIFS('Weekly Log'!$J$5:$J$636,'Weekly Log'!$G$5:$G$636,B43,'Weekly Log'!$M$5:$M$636,"Aggregator BOGO"))</f>
        <v/>
      </c>
      <c r="E43" s="18" t="str">
        <f aca="false">IF(B43="","",SUMIFS('Weekly Log'!$K$5:$K$636,'Weekly Log'!$G$5:$G$636,B43,'Weekly Log'!$M$5:$M$636,"Corporate discount")+SUMIFS('Weekly Log'!$K$5:$K$636,'Weekly Log'!$G$5:$G$636,B43,'Weekly Log'!$M$5:$M$636,"Aggregator BOGO"))</f>
        <v/>
      </c>
      <c r="F43" s="18" t="str">
        <f aca="false">IF(B43="","",SUMIFS('Weekly Log'!$H$5:$H$636,'Weekly Log'!$G$5:$G$636,B43,'Weekly Log'!$M$5:$M$636,"Aggregator BOGO"))</f>
        <v/>
      </c>
    </row>
    <row r="44" customFormat="false" ht="15" hidden="false" customHeight="false" outlineLevel="0" collapsed="false">
      <c r="B44" s="18" t="str">
        <f aca="false">IF(45&lt;=VALUE(RIGHT($C$4,2)),LEFT($C$4,6)&amp;TEXT(45,"00"),"")</f>
        <v/>
      </c>
      <c r="C44" s="18" t="str">
        <f aca="false">IF(B44="","",SUMIFS('Weekly Log'!$H$5:$H$636,'Weekly Log'!$G$5:$G$636,B44,'Weekly Log'!$M$5:$M$636,"Corporate discount")+SUMIFS('Weekly Log'!$H$5:$H$636,'Weekly Log'!$G$5:$G$636,B44,'Weekly Log'!$M$5:$M$636,"Aggregator BOGO"))</f>
        <v/>
      </c>
      <c r="D44" s="18" t="str">
        <f aca="false">IF(B44="","",SUMIFS('Weekly Log'!$J$5:$J$636,'Weekly Log'!$G$5:$G$636,B44,'Weekly Log'!$M$5:$M$636,"Corporate discount")+SUMIFS('Weekly Log'!$J$5:$J$636,'Weekly Log'!$G$5:$G$636,B44,'Weekly Log'!$M$5:$M$636,"Aggregator BOGO"))</f>
        <v/>
      </c>
      <c r="E44" s="18" t="str">
        <f aca="false">IF(B44="","",SUMIFS('Weekly Log'!$K$5:$K$636,'Weekly Log'!$G$5:$G$636,B44,'Weekly Log'!$M$5:$M$636,"Corporate discount")+SUMIFS('Weekly Log'!$K$5:$K$636,'Weekly Log'!$G$5:$G$636,B44,'Weekly Log'!$M$5:$M$636,"Aggregator BOGO"))</f>
        <v/>
      </c>
      <c r="F44" s="18" t="str">
        <f aca="false">IF(B44="","",SUMIFS('Weekly Log'!$H$5:$H$636,'Weekly Log'!$G$5:$G$636,B44,'Weekly Log'!$M$5:$M$636,"Aggregator BOGO"))</f>
        <v/>
      </c>
    </row>
    <row r="45" customFormat="false" ht="15" hidden="false" customHeight="false" outlineLevel="0" collapsed="false">
      <c r="B45" s="0" t="s">
        <v>41</v>
      </c>
    </row>
    <row r="46" customFormat="false" ht="26.85" hidden="false" customHeight="false" outlineLevel="0" collapsed="false">
      <c r="B46" s="15" t="s">
        <v>42</v>
      </c>
    </row>
    <row r="47" customFormat="false" ht="15" hidden="false" customHeight="false" outlineLevel="0" collapsed="false">
      <c r="B47" s="16" t="s">
        <v>43</v>
      </c>
      <c r="C47" s="16" t="s">
        <v>33</v>
      </c>
      <c r="D47" s="16" t="s">
        <v>44</v>
      </c>
      <c r="E47" s="16" t="s">
        <v>45</v>
      </c>
      <c r="F47" s="16" t="s">
        <v>46</v>
      </c>
    </row>
    <row r="48" customFormat="false" ht="15" hidden="false" customHeight="false" outlineLevel="0" collapsed="false">
      <c r="B48" s="21" t="str">
        <f aca="false">Summary!A68</f>
        <v>loyaltyinf</v>
      </c>
      <c r="C48" s="21" t="str">
        <f aca="false">Summary!B68</f>
        <v>InflataPark</v>
      </c>
      <c r="D48" s="17" t="n">
        <f aca="false">Summary!D68</f>
        <v>1</v>
      </c>
      <c r="E48" s="17" t="n">
        <f aca="false">Summary!E68</f>
        <v>1</v>
      </c>
      <c r="F48" s="17" t="n">
        <f aca="false">Summary!F68</f>
        <v>1</v>
      </c>
    </row>
    <row r="49" customFormat="false" ht="15" hidden="false" customHeight="false" outlineLevel="0" collapsed="false">
      <c r="B49" s="21" t="str">
        <f aca="false">Summary!A69</f>
        <v>loyaltykds</v>
      </c>
      <c r="C49" s="21" t="str">
        <f aca="false">Summary!B69</f>
        <v>Kids City Driving School</v>
      </c>
      <c r="D49" s="17" t="n">
        <f aca="false">Summary!D69</f>
        <v>7</v>
      </c>
      <c r="E49" s="17" t="n">
        <f aca="false">Summary!E69</f>
        <v>7</v>
      </c>
      <c r="F49" s="17" t="n">
        <f aca="false">Summary!F69</f>
        <v>13</v>
      </c>
    </row>
    <row r="50" customFormat="false" ht="15" hidden="false" customHeight="false" outlineLevel="0" collapsed="false">
      <c r="B50" s="21" t="str">
        <f aca="false">Summary!A70</f>
        <v>cafe50</v>
      </c>
      <c r="C50" s="21" t="str">
        <f aca="false">Summary!B70</f>
        <v>Urban Arena</v>
      </c>
      <c r="D50" s="17" t="n">
        <f aca="false">Summary!D70</f>
        <v>31</v>
      </c>
      <c r="E50" s="17" t="n">
        <f aca="false">Summary!E70</f>
        <v>36</v>
      </c>
      <c r="F50" s="17" t="n">
        <f aca="false">Summary!F70</f>
        <v>63</v>
      </c>
    </row>
    <row r="51" customFormat="false" ht="15" hidden="false" customHeight="false" outlineLevel="0" collapsed="false">
      <c r="B51" s="21" t="str">
        <f aca="false">Summary!A71</f>
        <v>karak100</v>
      </c>
      <c r="C51" s="21" t="str">
        <f aca="false">Summary!B71</f>
        <v>Urban Arena</v>
      </c>
      <c r="D51" s="17" t="n">
        <f aca="false">Summary!D71</f>
        <v>1</v>
      </c>
      <c r="E51" s="17" t="n">
        <f aca="false">Summary!E71</f>
        <v>3</v>
      </c>
      <c r="F51" s="17" t="n">
        <f aca="false">Summary!F71</f>
        <v>1</v>
      </c>
    </row>
    <row r="52" customFormat="false" ht="15" hidden="false" customHeight="false" outlineLevel="0" collapsed="false">
      <c r="B52" s="21" t="str">
        <f aca="false">Summary!A72</f>
        <v>loyalty</v>
      </c>
      <c r="C52" s="21" t="str">
        <f aca="false">Summary!B72</f>
        <v>Urban Arena</v>
      </c>
      <c r="D52" s="17" t="n">
        <f aca="false">Summary!D72</f>
        <v>0</v>
      </c>
      <c r="E52" s="17" t="n">
        <f aca="false">Summary!E72</f>
        <v>0</v>
      </c>
      <c r="F52" s="17" t="n">
        <f aca="false">Summary!F72</f>
        <v>1</v>
      </c>
    </row>
    <row r="53" customFormat="false" ht="15" hidden="false" customHeight="false" outlineLevel="0" collapsed="false">
      <c r="B53" s="19" t="s">
        <v>28</v>
      </c>
      <c r="D53" s="20" t="n">
        <f aca="false">SUM(D48:D52)</f>
        <v>40</v>
      </c>
      <c r="E53" s="20" t="n">
        <f aca="false">SUM(E48:E52)</f>
        <v>47</v>
      </c>
      <c r="F53" s="20" t="n">
        <f aca="false">SUM(F48:F52)</f>
        <v>79</v>
      </c>
    </row>
    <row r="55" customFormat="false" ht="15" hidden="false" customHeight="false" outlineLevel="0" collapsed="false">
      <c r="B55" s="8" t="s">
        <v>47</v>
      </c>
    </row>
  </sheetData>
  <mergeCells count="17">
    <mergeCell ref="B2:M2"/>
    <mergeCell ref="B3:M3"/>
    <mergeCell ref="B7:C7"/>
    <mergeCell ref="D7:E7"/>
    <mergeCell ref="F7:G7"/>
    <mergeCell ref="H7:I7"/>
    <mergeCell ref="J7:K7"/>
    <mergeCell ref="B8:C9"/>
    <mergeCell ref="D8:E9"/>
    <mergeCell ref="F8:G9"/>
    <mergeCell ref="H8:I9"/>
    <mergeCell ref="J8:K9"/>
    <mergeCell ref="B10:C10"/>
    <mergeCell ref="D10:E10"/>
    <mergeCell ref="F10:G10"/>
    <mergeCell ref="H10:I10"/>
    <mergeCell ref="J10:K10"/>
  </mergeCells>
  <dataValidations count="1">
    <dataValidation allowBlank="false" error="Use the format 2026-W37" errorStyle="stop" errorTitle="Week format" operator="equal" showDropDown="false" showErrorMessage="false" showInputMessage="false" sqref="C4" type="textLength">
      <formula1>8</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0"/>
  </cols>
  <sheetData>
    <row r="2" customFormat="false" ht="19.7" hidden="false" customHeight="false" outlineLevel="0" collapsed="false">
      <c r="B2" s="26" t="s">
        <v>48</v>
      </c>
    </row>
    <row r="4" customFormat="false" ht="23.85" hidden="false" customHeight="false" outlineLevel="0" collapsed="false">
      <c r="B4" s="27" t="s">
        <v>49</v>
      </c>
    </row>
    <row r="5" customFormat="false" ht="23.85" hidden="false" customHeight="false" outlineLevel="0" collapsed="false">
      <c r="B5" s="27" t="s">
        <v>50</v>
      </c>
    </row>
    <row r="6" customFormat="false" ht="23.85" hidden="false" customHeight="false" outlineLevel="0" collapsed="false">
      <c r="B6" s="27" t="s">
        <v>51</v>
      </c>
    </row>
    <row r="7" customFormat="false" ht="15" hidden="false" customHeight="false" outlineLevel="0" collapsed="false">
      <c r="B7" s="27" t="s">
        <v>52</v>
      </c>
    </row>
    <row r="8" customFormat="false" ht="35.05" hidden="false" customHeight="false" outlineLevel="0" collapsed="false">
      <c r="B8" s="27" t="s">
        <v>53</v>
      </c>
    </row>
    <row r="9" customFormat="false" ht="15" hidden="false" customHeight="false" outlineLevel="0" collapsed="false">
      <c r="B9" s="27" t="s">
        <v>54</v>
      </c>
    </row>
    <row r="10" customFormat="false" ht="23.85" hidden="false" customHeight="false" outlineLevel="0" collapsed="false">
      <c r="B10" s="27" t="s">
        <v>55</v>
      </c>
    </row>
    <row r="11" customFormat="false" ht="15" hidden="false" customHeight="false" outlineLevel="0" collapsed="false">
      <c r="B11" s="27"/>
    </row>
    <row r="12" customFormat="false" ht="15" hidden="false" customHeight="false" outlineLevel="0" collapsed="false">
      <c r="B12" s="28" t="s">
        <v>56</v>
      </c>
    </row>
    <row r="13" customFormat="false" ht="23.85" hidden="false" customHeight="false" outlineLevel="0" collapsed="false">
      <c r="B13" s="27" t="s">
        <v>57</v>
      </c>
    </row>
    <row r="14" customFormat="false" ht="23.85" hidden="false" customHeight="false" outlineLevel="0" collapsed="false">
      <c r="B14" s="27" t="s">
        <v>58</v>
      </c>
    </row>
    <row r="15" customFormat="false" ht="15" hidden="false" customHeight="false" outlineLevel="0" collapsed="false">
      <c r="B15" s="27" t="s">
        <v>59</v>
      </c>
    </row>
    <row r="16" customFormat="false" ht="23.85" hidden="false" customHeight="false" outlineLevel="0" collapsed="false">
      <c r="B16" s="27" t="s">
        <v>60</v>
      </c>
    </row>
    <row r="17" customFormat="false" ht="23.85" hidden="false" customHeight="false" outlineLevel="0" collapsed="false">
      <c r="B17" s="27" t="s">
        <v>61</v>
      </c>
    </row>
    <row r="18" customFormat="false" ht="15" hidden="false" customHeight="false" outlineLevel="0" collapsed="false">
      <c r="B18" s="27"/>
    </row>
    <row r="19" customFormat="false" ht="15" hidden="false" customHeight="false" outlineLevel="0" collapsed="false">
      <c r="B19" s="27"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6" min="3" style="0" width="16"/>
    <col collapsed="false" customWidth="true" hidden="false" outlineLevel="0" max="7" min="7" style="0" width="18"/>
    <col collapsed="false" customWidth="true" hidden="false" outlineLevel="0" max="8" min="8" style="0" width="26"/>
    <col collapsed="false" customWidth="true" hidden="false" outlineLevel="0" max="9" min="9" style="0" width="16"/>
    <col collapsed="false" customWidth="true" hidden="false" outlineLevel="0" max="10" min="10" style="0" width="14"/>
    <col collapsed="false" customWidth="true" hidden="false" outlineLevel="0" max="12" min="11" style="0" width="16"/>
    <col collapsed="false" customWidth="true" hidden="false" outlineLevel="0" max="14" min="13" style="0" width="10"/>
  </cols>
  <sheetData>
    <row r="1" customFormat="false" ht="19.7" hidden="false" customHeight="false" outlineLevel="0" collapsed="false">
      <c r="A1" s="26" t="s">
        <v>63</v>
      </c>
    </row>
    <row r="2" customFormat="false" ht="15" hidden="false" customHeight="false" outlineLevel="0" collapsed="false">
      <c r="A2" s="8" t="s">
        <v>64</v>
      </c>
    </row>
    <row r="4" customFormat="false" ht="15" hidden="false" customHeight="false" outlineLevel="0" collapsed="false">
      <c r="A4" s="19" t="s">
        <v>65</v>
      </c>
      <c r="B4" s="29" t="str">
        <f aca="false">Dashboard!C4</f>
        <v>2026-W37</v>
      </c>
    </row>
    <row r="5" customFormat="false" ht="15" hidden="false" customHeight="false" outlineLevel="0" collapsed="false">
      <c r="A5" s="19" t="s">
        <v>66</v>
      </c>
      <c r="B5" s="29" t="s">
        <v>67</v>
      </c>
    </row>
    <row r="6" customFormat="false" ht="15" hidden="false" customHeight="false" outlineLevel="0" collapsed="false">
      <c r="A6" s="19" t="s">
        <v>68</v>
      </c>
      <c r="B6" s="29" t="s">
        <v>69</v>
      </c>
    </row>
    <row r="8" customFormat="false" ht="15" hidden="false" customHeight="false" outlineLevel="0" collapsed="false">
      <c r="A8" s="30" t="s">
        <v>70</v>
      </c>
      <c r="B8" s="30" t="s">
        <v>22</v>
      </c>
      <c r="C8" s="30" t="s">
        <v>23</v>
      </c>
      <c r="D8" s="30" t="s">
        <v>24</v>
      </c>
      <c r="E8" s="30" t="s">
        <v>12</v>
      </c>
    </row>
    <row r="9" customFormat="false" ht="15" hidden="false" customHeight="false" outlineLevel="0" collapsed="false">
      <c r="A9" s="19" t="s">
        <v>71</v>
      </c>
      <c r="B9" s="31" t="n">
        <f aca="false">(SUMIFS('Weekly Log'!$H$5:$H$636,'Weekly Log'!$G$5:$G$636,Dashboard!$C$4,'Weekly Log'!$M$5:$M$636,"Corporate discount")+SUMIFS('Weekly Log'!$H$5:$H$636,'Weekly Log'!$G$5:$G$636,Dashboard!$C$4,'Weekly Log'!$M$5:$M$636,"Aggregator BOGO")+SUMIFS('Weekly Log'!$H$5:$H$636,'Weekly Log'!$G$5:$G$636,Dashboard!$C$4,'Weekly Log'!$M$5:$M$636,"Not on master"))</f>
        <v>194</v>
      </c>
      <c r="C9" s="31" t="n">
        <f aca="false">(SUMIFS('Weekly Log'!$J$5:$J$636,'Weekly Log'!$G$5:$G$636,Dashboard!$C$4,'Weekly Log'!$M$5:$M$636,"Corporate discount")+SUMIFS('Weekly Log'!$J$5:$J$636,'Weekly Log'!$G$5:$G$636,Dashboard!$C$4,'Weekly Log'!$M$5:$M$636,"Aggregator BOGO")+SUMIFS('Weekly Log'!$J$5:$J$636,'Weekly Log'!$G$5:$G$636,Dashboard!$C$4,'Weekly Log'!$M$5:$M$636,"Not on master"))</f>
        <v>576</v>
      </c>
      <c r="D9" s="32" t="n">
        <f aca="false">(SUMIFS('Weekly Log'!$K$5:$K$636,'Weekly Log'!$G$5:$G$636,Dashboard!$C$4,'Weekly Log'!$M$5:$M$636,"Corporate discount")+SUMIFS('Weekly Log'!$K$5:$K$636,'Weekly Log'!$G$5:$G$636,Dashboard!$C$4,'Weekly Log'!$M$5:$M$636,"Aggregator BOGO")+SUMIFS('Weekly Log'!$K$5:$K$636,'Weekly Log'!$G$5:$G$636,Dashboard!$C$4,'Weekly Log'!$M$5:$M$636,"Not on master"))</f>
        <v>12750.5</v>
      </c>
      <c r="E9" s="31" t="n">
        <f aca="false">SUMPRODUCT((C25:C45&gt;0)*1)</f>
        <v>12</v>
      </c>
    </row>
    <row r="10" customFormat="false" ht="15" hidden="false" customHeight="false" outlineLevel="0" collapsed="false">
      <c r="A10" s="19" t="s">
        <v>72</v>
      </c>
      <c r="B10" s="31" t="n">
        <f aca="false">(SUMIFS('Month Data'!$H$5:$H$42,'Month Data'!$M$5:$M$42,"Corporate discount")+SUMIFS('Month Data'!$H$5:$H$42,'Month Data'!$M$5:$M$42,"Aggregator BOGO")+SUMIFS('Month Data'!$H$5:$H$42,'Month Data'!$M$5:$M$42,"Not on master"))</f>
        <v>351</v>
      </c>
      <c r="C10" s="31" t="n">
        <f aca="false">(SUMIFS('Month Data'!$J$5:$J$42,'Month Data'!$M$5:$M$42,"Corporate discount")+SUMIFS('Month Data'!$J$5:$J$42,'Month Data'!$M$5:$M$42,"Aggregator BOGO")+SUMIFS('Month Data'!$J$5:$J$42,'Month Data'!$M$5:$M$42,"Not on master"))</f>
        <v>1042</v>
      </c>
      <c r="D10" s="32" t="n">
        <f aca="false">(SUMIFS('Month Data'!$K$5:$K$42,'Month Data'!$M$5:$M$42,"Corporate discount")+SUMIFS('Month Data'!$K$5:$K$42,'Month Data'!$M$5:$M$42,"Aggregator BOGO")+SUMIFS('Month Data'!$K$5:$K$42,'Month Data'!$M$5:$M$42,"Not on master"))</f>
        <v>21132.95</v>
      </c>
      <c r="E10" s="31" t="n">
        <f aca="false">SUMPRODUCT((D25:D45&gt;0)*1)</f>
        <v>14</v>
      </c>
    </row>
    <row r="11" customFormat="false" ht="15" hidden="false" customHeight="false" outlineLevel="0" collapsed="false">
      <c r="A11" s="19" t="s">
        <v>73</v>
      </c>
      <c r="B11" s="31" t="n">
        <f aca="false">(SUMIFS('Trend Data'!$H$5:$H$2085,'Trend Data'!$G$5:$G$2085,$B$21,'Trend Data'!$M$5:$M$2085,"Corporate discount")+SUMIFS('Trend Data'!$H$5:$H$2085,'Trend Data'!$G$5:$G$2085,$B$21,'Trend Data'!$M$5:$M$2085,"Aggregator BOGO")+SUMIFS('Trend Data'!$H$5:$H$2085,'Trend Data'!$G$5:$G$2085,$B$21,'Trend Data'!$M$5:$M$2085,"Not on master"))</f>
        <v>873</v>
      </c>
      <c r="C11" s="31" t="n">
        <f aca="false">(SUMIFS('Trend Data'!$J$5:$J$2085,'Trend Data'!$G$5:$G$2085,$B$21,'Trend Data'!$M$5:$M$2085,"Corporate discount")+SUMIFS('Trend Data'!$J$5:$J$2085,'Trend Data'!$G$5:$G$2085,$B$21,'Trend Data'!$M$5:$M$2085,"Aggregator BOGO")+SUMIFS('Trend Data'!$J$5:$J$2085,'Trend Data'!$G$5:$G$2085,$B$21,'Trend Data'!$M$5:$M$2085,"Not on master"))</f>
        <v>2645</v>
      </c>
      <c r="D11" s="32" t="n">
        <f aca="false">(SUMIFS('Trend Data'!$K$5:$K$2085,'Trend Data'!$G$5:$G$2085,$B$21,'Trend Data'!$M$5:$M$2085,"Corporate discount")+SUMIFS('Trend Data'!$K$5:$K$2085,'Trend Data'!$G$5:$G$2085,$B$21,'Trend Data'!$M$5:$M$2085,"Aggregator BOGO")+SUMIFS('Trend Data'!$K$5:$K$2085,'Trend Data'!$G$5:$G$2085,$B$21,'Trend Data'!$M$5:$M$2085,"Not on master"))</f>
        <v>55769.7</v>
      </c>
      <c r="E11" s="31" t="n">
        <f aca="false">SUMPRODUCT((H25:H45&gt;0)*1)</f>
        <v>14</v>
      </c>
    </row>
    <row r="13" customFormat="false" ht="15" hidden="false" customHeight="false" outlineLevel="0" collapsed="false">
      <c r="A13" s="19" t="s">
        <v>74</v>
      </c>
      <c r="H13" s="19" t="s">
        <v>75</v>
      </c>
    </row>
    <row r="14" customFormat="false" ht="35.05" hidden="false" customHeight="false" outlineLevel="0" collapsed="false">
      <c r="A14" s="30" t="s">
        <v>21</v>
      </c>
      <c r="B14" s="30" t="s">
        <v>22</v>
      </c>
      <c r="C14" s="30" t="s">
        <v>23</v>
      </c>
      <c r="D14" s="30" t="s">
        <v>24</v>
      </c>
      <c r="E14" s="30" t="s">
        <v>76</v>
      </c>
      <c r="F14" s="30" t="s">
        <v>77</v>
      </c>
      <c r="G14" s="30" t="s">
        <v>78</v>
      </c>
      <c r="H14" s="30" t="s">
        <v>33</v>
      </c>
      <c r="I14" s="30" t="s">
        <v>79</v>
      </c>
      <c r="J14" s="30" t="s">
        <v>45</v>
      </c>
      <c r="K14" s="30" t="s">
        <v>80</v>
      </c>
      <c r="L14" s="30" t="s">
        <v>81</v>
      </c>
      <c r="M14" s="30" t="s">
        <v>82</v>
      </c>
    </row>
    <row r="15" customFormat="false" ht="15" hidden="false" customHeight="false" outlineLevel="0" collapsed="false">
      <c r="A15" s="33" t="s">
        <v>26</v>
      </c>
      <c r="B15" s="31" t="n">
        <f aca="false">SUMIFS('Month Data'!$H$5:$H$42,'Month Data'!$M$5:$M$42,$A15)</f>
        <v>266</v>
      </c>
      <c r="C15" s="31" t="n">
        <f aca="false">SUMIFS('Month Data'!$J$5:$J$42,'Month Data'!$M$5:$M$42,$A15)</f>
        <v>957</v>
      </c>
      <c r="D15" s="32" t="n">
        <f aca="false">SUMIFS('Month Data'!$K$5:$K$42,'Month Data'!$M$5:$M$42,$A15)</f>
        <v>7583.95</v>
      </c>
      <c r="E15" s="34" t="n">
        <f aca="false">IF($B$10=0,0,B15/$B$10)</f>
        <v>0.757834757834758</v>
      </c>
      <c r="F15" s="34" t="n">
        <f aca="false">IF($D$10=0,0,D15/$D$10)</f>
        <v>0.358868496826047</v>
      </c>
      <c r="G15" s="32" t="n">
        <f aca="false">IF(B15=0,0,D15/B15)</f>
        <v>28.5110902255639</v>
      </c>
      <c r="H15" s="21" t="s">
        <v>35</v>
      </c>
      <c r="I15" s="17" t="n">
        <f aca="false">(SUMIFS('Weekly Log'!$H$5:$H$636,'Weekly Log'!$G$5:$G$636,Dashboard!$C$4,'Weekly Log'!$N$5:$N$636,$H15,'Weekly Log'!$M$5:$M$636,"Corporate discount")+SUMIFS('Weekly Log'!$H$5:$H$636,'Weekly Log'!$G$5:$G$636,Dashboard!$C$4,'Weekly Log'!$N$5:$N$636,$H15,'Weekly Log'!$M$5:$M$636,"Aggregator BOGO"))</f>
        <v>67</v>
      </c>
      <c r="J15" s="17" t="n">
        <f aca="false">(SUMIFS('Weekly Log'!$J$5:$J$636,'Weekly Log'!$G$5:$G$636,Dashboard!$C$4,'Weekly Log'!$N$5:$N$636,$H15,'Weekly Log'!$M$5:$M$636,"Corporate discount")+SUMIFS('Weekly Log'!$J$5:$J$636,'Weekly Log'!$G$5:$G$636,Dashboard!$C$4,'Weekly Log'!$N$5:$N$636,$H15,'Weekly Log'!$M$5:$M$636,"Aggregator BOGO"))</f>
        <v>241</v>
      </c>
      <c r="K15" s="22" t="n">
        <f aca="false">(SUMIFS('Weekly Log'!$K$5:$K$636,'Weekly Log'!$G$5:$G$636,Dashboard!$C$4,'Weekly Log'!$N$5:$N$636,$H15,'Weekly Log'!$M$5:$M$636,"Corporate discount")+SUMIFS('Weekly Log'!$K$5:$K$636,'Weekly Log'!$G$5:$G$636,Dashboard!$C$4,'Weekly Log'!$N$5:$N$636,$H15,'Weekly Log'!$M$5:$M$636,"Aggregator BOGO"))</f>
        <v>3914.75</v>
      </c>
      <c r="L15" s="17" t="n">
        <f aca="false">(SUMIFS('Month Data'!$H$5:$H$42,'Month Data'!$N$5:$N$42,$H15,'Month Data'!$M$5:$M$42,"Corporate discount")+SUMIFS('Month Data'!$H$5:$H$42,'Month Data'!$N$5:$N$42,$H15,'Month Data'!$M$5:$M$42,"Aggregator BOGO"))</f>
        <v>134</v>
      </c>
      <c r="M15" s="22" t="n">
        <f aca="false">(SUMIFS('Month Data'!$K$5:$K$42,'Month Data'!$N$5:$N$42,$H15,'Month Data'!$M$5:$M$42,"Corporate discount")+SUMIFS('Month Data'!$K$5:$K$42,'Month Data'!$N$5:$N$42,$H15,'Month Data'!$M$5:$M$42,"Aggregator BOGO"))</f>
        <v>7547.95</v>
      </c>
    </row>
    <row r="16" customFormat="false" ht="15" hidden="false" customHeight="false" outlineLevel="0" collapsed="false">
      <c r="A16" s="33" t="s">
        <v>27</v>
      </c>
      <c r="B16" s="31" t="n">
        <f aca="false">SUMIFS('Month Data'!$H$5:$H$42,'Month Data'!$M$5:$M$42,$A16)</f>
        <v>85</v>
      </c>
      <c r="C16" s="31" t="n">
        <f aca="false">SUMIFS('Month Data'!$J$5:$J$42,'Month Data'!$M$5:$M$42,$A16)</f>
        <v>85</v>
      </c>
      <c r="D16" s="32" t="n">
        <f aca="false">SUMIFS('Month Data'!$K$5:$K$42,'Month Data'!$M$5:$M$42,$A16)</f>
        <v>13549</v>
      </c>
      <c r="E16" s="34" t="n">
        <f aca="false">IF($B$10=0,0,B16/$B$10)</f>
        <v>0.242165242165242</v>
      </c>
      <c r="F16" s="34" t="n">
        <f aca="false">IF($D$10=0,0,D16/$D$10)</f>
        <v>0.641131503173953</v>
      </c>
      <c r="G16" s="32" t="n">
        <f aca="false">IF(B16=0,0,D16/B16)</f>
        <v>159.4</v>
      </c>
      <c r="H16" s="21" t="s">
        <v>36</v>
      </c>
      <c r="I16" s="17" t="n">
        <f aca="false">(SUMIFS('Weekly Log'!$H$5:$H$636,'Weekly Log'!$G$5:$G$636,Dashboard!$C$4,'Weekly Log'!$N$5:$N$636,$H16,'Weekly Log'!$M$5:$M$636,"Corporate discount")+SUMIFS('Weekly Log'!$H$5:$H$636,'Weekly Log'!$G$5:$G$636,Dashboard!$C$4,'Weekly Log'!$N$5:$N$636,$H16,'Weekly Log'!$M$5:$M$636,"Aggregator BOGO"))</f>
        <v>58</v>
      </c>
      <c r="J16" s="17" t="n">
        <f aca="false">(SUMIFS('Weekly Log'!$J$5:$J$636,'Weekly Log'!$G$5:$G$636,Dashboard!$C$4,'Weekly Log'!$N$5:$N$636,$H16,'Weekly Log'!$M$5:$M$636,"Corporate discount")+SUMIFS('Weekly Log'!$J$5:$J$636,'Weekly Log'!$G$5:$G$636,Dashboard!$C$4,'Weekly Log'!$N$5:$N$636,$H16,'Weekly Log'!$M$5:$M$636,"Aggregator BOGO"))</f>
        <v>148</v>
      </c>
      <c r="K16" s="22" t="n">
        <f aca="false">(SUMIFS('Weekly Log'!$K$5:$K$636,'Weekly Log'!$G$5:$G$636,Dashboard!$C$4,'Weekly Log'!$N$5:$N$636,$H16,'Weekly Log'!$M$5:$M$636,"Corporate discount")+SUMIFS('Weekly Log'!$K$5:$K$636,'Weekly Log'!$G$5:$G$636,Dashboard!$C$4,'Weekly Log'!$N$5:$N$636,$H16,'Weekly Log'!$M$5:$M$636,"Aggregator BOGO"))</f>
        <v>3273.5</v>
      </c>
      <c r="L16" s="17" t="n">
        <f aca="false">(SUMIFS('Month Data'!$H$5:$H$42,'Month Data'!$N$5:$N$42,$H16,'Month Data'!$M$5:$M$42,"Corporate discount")+SUMIFS('Month Data'!$H$5:$H$42,'Month Data'!$N$5:$N$42,$H16,'Month Data'!$M$5:$M$42,"Aggregator BOGO"))</f>
        <v>112</v>
      </c>
      <c r="M16" s="22" t="n">
        <f aca="false">(SUMIFS('Month Data'!$K$5:$K$42,'Month Data'!$N$5:$N$42,$H16,'Month Data'!$M$5:$M$42,"Corporate discount")+SUMIFS('Month Data'!$K$5:$K$42,'Month Data'!$N$5:$N$42,$H16,'Month Data'!$M$5:$M$42,"Aggregator BOGO"))</f>
        <v>5879.75</v>
      </c>
    </row>
    <row r="17" customFormat="false" ht="15" hidden="false" customHeight="false" outlineLevel="0" collapsed="false">
      <c r="A17" s="33" t="s">
        <v>83</v>
      </c>
      <c r="B17" s="31" t="n">
        <f aca="false">SUMIFS('Month Data'!$H$5:$H$42,'Month Data'!$M$5:$M$42,$A17)</f>
        <v>0</v>
      </c>
      <c r="C17" s="31" t="n">
        <f aca="false">SUMIFS('Month Data'!$J$5:$J$42,'Month Data'!$M$5:$M$42,$A17)</f>
        <v>0</v>
      </c>
      <c r="D17" s="32" t="n">
        <f aca="false">SUMIFS('Month Data'!$K$5:$K$42,'Month Data'!$M$5:$M$42,$A17)</f>
        <v>0</v>
      </c>
      <c r="E17" s="34" t="n">
        <f aca="false">IF($B$10=0,0,B17/$B$10)</f>
        <v>0</v>
      </c>
      <c r="F17" s="34" t="n">
        <f aca="false">IF($D$10=0,0,D17/$D$10)</f>
        <v>0</v>
      </c>
      <c r="G17" s="32" t="n">
        <f aca="false">IF(B17=0,0,D17/B17)</f>
        <v>0</v>
      </c>
      <c r="H17" s="21" t="s">
        <v>37</v>
      </c>
      <c r="I17" s="17" t="n">
        <f aca="false">(SUMIFS('Weekly Log'!$H$5:$H$636,'Weekly Log'!$G$5:$G$636,Dashboard!$C$4,'Weekly Log'!$N$5:$N$636,$H17,'Weekly Log'!$M$5:$M$636,"Corporate discount")+SUMIFS('Weekly Log'!$H$5:$H$636,'Weekly Log'!$G$5:$G$636,Dashboard!$C$4,'Weekly Log'!$N$5:$N$636,$H17,'Weekly Log'!$M$5:$M$636,"Aggregator BOGO"))</f>
        <v>45</v>
      </c>
      <c r="J17" s="17" t="n">
        <f aca="false">(SUMIFS('Weekly Log'!$J$5:$J$636,'Weekly Log'!$G$5:$G$636,Dashboard!$C$4,'Weekly Log'!$N$5:$N$636,$H17,'Weekly Log'!$M$5:$M$636,"Corporate discount")+SUMIFS('Weekly Log'!$J$5:$J$636,'Weekly Log'!$G$5:$G$636,Dashboard!$C$4,'Weekly Log'!$N$5:$N$636,$H17,'Weekly Log'!$M$5:$M$636,"Aggregator BOGO"))</f>
        <v>158</v>
      </c>
      <c r="K17" s="22" t="n">
        <f aca="false">(SUMIFS('Weekly Log'!$K$5:$K$636,'Weekly Log'!$G$5:$G$636,Dashboard!$C$4,'Weekly Log'!$N$5:$N$636,$H17,'Weekly Log'!$M$5:$M$636,"Corporate discount")+SUMIFS('Weekly Log'!$K$5:$K$636,'Weekly Log'!$G$5:$G$636,Dashboard!$C$4,'Weekly Log'!$N$5:$N$636,$H17,'Weekly Log'!$M$5:$M$636,"Aggregator BOGO"))</f>
        <v>3230.75</v>
      </c>
      <c r="L17" s="17" t="n">
        <f aca="false">(SUMIFS('Month Data'!$H$5:$H$42,'Month Data'!$N$5:$N$42,$H17,'Month Data'!$M$5:$M$42,"Corporate discount")+SUMIFS('Month Data'!$H$5:$H$42,'Month Data'!$N$5:$N$42,$H17,'Month Data'!$M$5:$M$42,"Aggregator BOGO"))</f>
        <v>68</v>
      </c>
      <c r="M17" s="22" t="n">
        <f aca="false">(SUMIFS('Month Data'!$K$5:$K$42,'Month Data'!$N$5:$N$42,$H17,'Month Data'!$M$5:$M$42,"Corporate discount")+SUMIFS('Month Data'!$K$5:$K$42,'Month Data'!$N$5:$N$42,$H17,'Month Data'!$M$5:$M$42,"Aggregator BOGO"))</f>
        <v>4247.5</v>
      </c>
    </row>
    <row r="18" customFormat="false" ht="15" hidden="false" customHeight="false" outlineLevel="0" collapsed="false">
      <c r="A18" s="33" t="s">
        <v>84</v>
      </c>
      <c r="B18" s="31" t="n">
        <f aca="false">SUMIFS('Month Data'!$H$5:$H$42,'Month Data'!$M$5:$M$42,$A18)</f>
        <v>0</v>
      </c>
      <c r="C18" s="31" t="n">
        <f aca="false">SUMIFS('Month Data'!$J$5:$J$42,'Month Data'!$M$5:$M$42,$A18)</f>
        <v>0</v>
      </c>
      <c r="D18" s="32" t="n">
        <f aca="false">SUMIFS('Month Data'!$K$5:$K$42,'Month Data'!$M$5:$M$42,$A18)</f>
        <v>0</v>
      </c>
      <c r="E18" s="34" t="n">
        <f aca="false">IF($B$10=0,0,B18/$B$10)</f>
        <v>0</v>
      </c>
      <c r="F18" s="34" t="n">
        <f aca="false">IF($D$10=0,0,D18/$D$10)</f>
        <v>0</v>
      </c>
      <c r="G18" s="32" t="n">
        <f aca="false">IF(B18=0,0,D18/B18)</f>
        <v>0</v>
      </c>
      <c r="H18" s="21" t="s">
        <v>38</v>
      </c>
      <c r="I18" s="17" t="n">
        <f aca="false">(SUMIFS('Weekly Log'!$H$5:$H$636,'Weekly Log'!$G$5:$G$636,Dashboard!$C$4,'Weekly Log'!$N$5:$N$636,$H18,'Weekly Log'!$M$5:$M$636,"Corporate discount")+SUMIFS('Weekly Log'!$H$5:$H$636,'Weekly Log'!$G$5:$G$636,Dashboard!$C$4,'Weekly Log'!$N$5:$N$636,$H18,'Weekly Log'!$M$5:$M$636,"Aggregator BOGO"))</f>
        <v>24</v>
      </c>
      <c r="J18" s="17" t="n">
        <f aca="false">(SUMIFS('Weekly Log'!$J$5:$J$636,'Weekly Log'!$G$5:$G$636,Dashboard!$C$4,'Weekly Log'!$N$5:$N$636,$H18,'Weekly Log'!$M$5:$M$636,"Corporate discount")+SUMIFS('Weekly Log'!$J$5:$J$636,'Weekly Log'!$G$5:$G$636,Dashboard!$C$4,'Weekly Log'!$N$5:$N$636,$H18,'Weekly Log'!$M$5:$M$636,"Aggregator BOGO"))</f>
        <v>29</v>
      </c>
      <c r="K18" s="22" t="n">
        <f aca="false">(SUMIFS('Weekly Log'!$K$5:$K$636,'Weekly Log'!$G$5:$G$636,Dashboard!$C$4,'Weekly Log'!$N$5:$N$636,$H18,'Weekly Log'!$M$5:$M$636,"Corporate discount")+SUMIFS('Weekly Log'!$K$5:$K$636,'Weekly Log'!$G$5:$G$636,Dashboard!$C$4,'Weekly Log'!$N$5:$N$636,$H18,'Weekly Log'!$M$5:$M$636,"Aggregator BOGO"))</f>
        <v>2331.5</v>
      </c>
      <c r="L18" s="17" t="n">
        <f aca="false">(SUMIFS('Month Data'!$H$5:$H$42,'Month Data'!$N$5:$N$42,$H18,'Month Data'!$M$5:$M$42,"Corporate discount")+SUMIFS('Month Data'!$H$5:$H$42,'Month Data'!$N$5:$N$42,$H18,'Month Data'!$M$5:$M$42,"Aggregator BOGO"))</f>
        <v>37</v>
      </c>
      <c r="M18" s="22" t="n">
        <f aca="false">(SUMIFS('Month Data'!$K$5:$K$42,'Month Data'!$N$5:$N$42,$H18,'Month Data'!$M$5:$M$42,"Corporate discount")+SUMIFS('Month Data'!$K$5:$K$42,'Month Data'!$N$5:$N$42,$H18,'Month Data'!$M$5:$M$42,"Aggregator BOGO"))</f>
        <v>3457.75</v>
      </c>
    </row>
    <row r="19" customFormat="false" ht="15" hidden="false" customHeight="false" outlineLevel="0" collapsed="false">
      <c r="H19" s="19" t="s">
        <v>28</v>
      </c>
      <c r="I19" s="20" t="n">
        <f aca="false">SUM(I15:I18)</f>
        <v>194</v>
      </c>
      <c r="J19" s="20" t="n">
        <f aca="false">SUM(J15:J18)</f>
        <v>576</v>
      </c>
      <c r="K19" s="35" t="n">
        <f aca="false">SUM(K15:K18)</f>
        <v>12750.5</v>
      </c>
      <c r="L19" s="20" t="n">
        <f aca="false">SUM(L15:L18)</f>
        <v>351</v>
      </c>
      <c r="M19" s="35" t="n">
        <f aca="false">SUM(M15:M18)</f>
        <v>21132.95</v>
      </c>
    </row>
    <row r="20" customFormat="false" ht="15" hidden="false" customHeight="false" outlineLevel="0" collapsed="false">
      <c r="A20" s="8" t="s">
        <v>85</v>
      </c>
    </row>
    <row r="21" customFormat="false" ht="15" hidden="false" customHeight="false" outlineLevel="0" collapsed="false">
      <c r="A21" s="19" t="s">
        <v>86</v>
      </c>
      <c r="B21" s="29" t="s">
        <v>87</v>
      </c>
    </row>
    <row r="23" customFormat="false" ht="15" hidden="false" customHeight="false" outlineLevel="0" collapsed="false">
      <c r="A23" s="19" t="s">
        <v>88</v>
      </c>
    </row>
    <row r="24" customFormat="false" ht="23.85" hidden="false" customHeight="false" outlineLevel="0" collapsed="false">
      <c r="A24" s="30" t="s">
        <v>16</v>
      </c>
      <c r="B24" s="30" t="s">
        <v>21</v>
      </c>
      <c r="C24" s="30" t="s">
        <v>89</v>
      </c>
      <c r="D24" s="30" t="s">
        <v>81</v>
      </c>
      <c r="E24" s="30" t="s">
        <v>90</v>
      </c>
      <c r="F24" s="30" t="s">
        <v>82</v>
      </c>
      <c r="G24" s="30" t="s">
        <v>91</v>
      </c>
      <c r="H24" s="30" t="s">
        <v>92</v>
      </c>
      <c r="I24" s="30" t="s">
        <v>93</v>
      </c>
      <c r="J24" s="30" t="s">
        <v>94</v>
      </c>
      <c r="K24" s="30" t="s">
        <v>95</v>
      </c>
      <c r="L24" s="30" t="s">
        <v>96</v>
      </c>
      <c r="M24" s="8" t="s">
        <v>97</v>
      </c>
      <c r="N24" s="8" t="s">
        <v>98</v>
      </c>
    </row>
    <row r="25" customFormat="false" ht="15" hidden="false" customHeight="false" outlineLevel="0" collapsed="false">
      <c r="A25" s="21" t="str">
        <f aca="false">'Partner Master'!A5</f>
        <v>Al Jazeera Imtiyazat</v>
      </c>
      <c r="B25" s="21" t="str">
        <f aca="false">'Partner Master'!B5</f>
        <v>Corporate discount</v>
      </c>
      <c r="C25" s="17" t="n">
        <f aca="false">SUMIFS('Weekly Log'!$H$5:$H$636,'Weekly Log'!$G$5:$G$636,Dashboard!$C$4,'Weekly Log'!$L$5:$L$636,$A25)</f>
        <v>3</v>
      </c>
      <c r="D25" s="17" t="n">
        <f aca="false">SUMIFS('Month Data'!$H$5:$H$42,'Month Data'!$L$5:$L$42,$A25)</f>
        <v>6</v>
      </c>
      <c r="E25" s="17" t="n">
        <f aca="false">SUMIFS('Month Data'!$J$5:$J$42,'Month Data'!$L$5:$L$42,$A25)</f>
        <v>11</v>
      </c>
      <c r="F25" s="22" t="n">
        <f aca="false">SUMIFS('Month Data'!$K$5:$K$42,'Month Data'!$L$5:$L$42,$A25)</f>
        <v>219.75</v>
      </c>
      <c r="G25" s="22" t="n">
        <f aca="false">IF(D25=0,0,F25/D25)</f>
        <v>36.625</v>
      </c>
      <c r="H25" s="17" t="n">
        <f aca="false">SUMIFS('Trend Data'!$H$5:$H$2085,'Trend Data'!$L$5:$L$2085,$A25,'Trend Data'!$G$5:$G$2085,$B$21)</f>
        <v>16</v>
      </c>
      <c r="I25" s="17" t="n">
        <f aca="false">D25-H25</f>
        <v>-10</v>
      </c>
      <c r="J25" s="21" t="str">
        <f aca="false">IF(D25=0,"No usage","Active")</f>
        <v>Active</v>
      </c>
      <c r="K25" s="17" t="n">
        <f aca="false">SUMIFS('Weekly Log'!$H$5:$H$636,'Weekly Log'!$G$5:$G$636,Dashboard!$C$5,'Weekly Log'!$L$5:$L$636,$A25)</f>
        <v>0</v>
      </c>
      <c r="L25" s="17" t="n">
        <f aca="false">C25-K25</f>
        <v>3</v>
      </c>
      <c r="M25" s="8" t="n">
        <f aca="false">C25+(45-ROW())/1000</f>
        <v>3.02</v>
      </c>
      <c r="N25" s="8" t="str">
        <f aca="false">IF(D25=0,ROW()-24,"")</f>
        <v/>
      </c>
    </row>
    <row r="26" customFormat="false" ht="15" hidden="false" customHeight="false" outlineLevel="0" collapsed="false">
      <c r="A26" s="21" t="str">
        <f aca="false">'Partner Master'!A6</f>
        <v>My Book</v>
      </c>
      <c r="B26" s="21" t="str">
        <f aca="false">'Partner Master'!B6</f>
        <v>Aggregator BOGO</v>
      </c>
      <c r="C26" s="17" t="n">
        <f aca="false">SUMIFS('Weekly Log'!$H$5:$H$636,'Weekly Log'!$G$5:$G$636,Dashboard!$C$4,'Weekly Log'!$L$5:$L$636,$A26)</f>
        <v>14</v>
      </c>
      <c r="D26" s="17" t="n">
        <f aca="false">SUMIFS('Month Data'!$H$5:$H$42,'Month Data'!$L$5:$L$42,$A26)</f>
        <v>25</v>
      </c>
      <c r="E26" s="17" t="n">
        <f aca="false">SUMIFS('Month Data'!$J$5:$J$42,'Month Data'!$L$5:$L$42,$A26)</f>
        <v>25</v>
      </c>
      <c r="F26" s="22" t="n">
        <f aca="false">SUMIFS('Month Data'!$K$5:$K$42,'Month Data'!$L$5:$L$42,$A26)</f>
        <v>4579</v>
      </c>
      <c r="G26" s="22" t="n">
        <f aca="false">IF(D26=0,0,F26/D26)</f>
        <v>183.16</v>
      </c>
      <c r="H26" s="17" t="n">
        <f aca="false">SUMIFS('Trend Data'!$H$5:$H$2085,'Trend Data'!$L$5:$L$2085,$A26,'Trend Data'!$G$5:$G$2085,$B$21)</f>
        <v>116</v>
      </c>
      <c r="I26" s="17" t="n">
        <f aca="false">D26-H26</f>
        <v>-91</v>
      </c>
      <c r="J26" s="21" t="str">
        <f aca="false">IF(D26=0,"No usage","Active")</f>
        <v>Active</v>
      </c>
      <c r="K26" s="17" t="n">
        <f aca="false">SUMIFS('Weekly Log'!$H$5:$H$636,'Weekly Log'!$G$5:$G$636,Dashboard!$C$5,'Weekly Log'!$L$5:$L$636,$A26)</f>
        <v>0</v>
      </c>
      <c r="L26" s="17" t="n">
        <f aca="false">C26-K26</f>
        <v>14</v>
      </c>
      <c r="M26" s="8" t="n">
        <f aca="false">C26+(45-ROW())/1000</f>
        <v>14.019</v>
      </c>
      <c r="N26" s="8" t="str">
        <f aca="false">IF(D26=0,ROW()-24,"")</f>
        <v/>
      </c>
    </row>
    <row r="27" customFormat="false" ht="15" hidden="false" customHeight="false" outlineLevel="0" collapsed="false">
      <c r="A27" s="21" t="str">
        <f aca="false">'Partner Master'!A7</f>
        <v>QIB</v>
      </c>
      <c r="B27" s="21" t="str">
        <f aca="false">'Partner Master'!B7</f>
        <v>Corporate discount</v>
      </c>
      <c r="C27" s="17" t="n">
        <f aca="false">SUMIFS('Weekly Log'!$H$5:$H$636,'Weekly Log'!$G$5:$G$636,Dashboard!$C$4,'Weekly Log'!$L$5:$L$636,$A27)</f>
        <v>2</v>
      </c>
      <c r="D27" s="17" t="n">
        <f aca="false">SUMIFS('Month Data'!$H$5:$H$42,'Month Data'!$L$5:$L$42,$A27)</f>
        <v>5</v>
      </c>
      <c r="E27" s="17" t="n">
        <f aca="false">SUMIFS('Month Data'!$J$5:$J$42,'Month Data'!$L$5:$L$42,$A27)</f>
        <v>21</v>
      </c>
      <c r="F27" s="22" t="n">
        <f aca="false">SUMIFS('Month Data'!$K$5:$K$42,'Month Data'!$L$5:$L$42,$A27)</f>
        <v>174</v>
      </c>
      <c r="G27" s="22" t="n">
        <f aca="false">IF(D27=0,0,F27/D27)</f>
        <v>34.8</v>
      </c>
      <c r="H27" s="17" t="n">
        <f aca="false">SUMIFS('Trend Data'!$H$5:$H$2085,'Trend Data'!$L$5:$L$2085,$A27,'Trend Data'!$G$5:$G$2085,$B$21)</f>
        <v>5</v>
      </c>
      <c r="I27" s="17" t="n">
        <f aca="false">D27-H27</f>
        <v>0</v>
      </c>
      <c r="J27" s="21" t="str">
        <f aca="false">IF(D27=0,"No usage","Active")</f>
        <v>Active</v>
      </c>
      <c r="K27" s="17" t="n">
        <f aca="false">SUMIFS('Weekly Log'!$H$5:$H$636,'Weekly Log'!$G$5:$G$636,Dashboard!$C$5,'Weekly Log'!$L$5:$L$636,$A27)</f>
        <v>0</v>
      </c>
      <c r="L27" s="17" t="n">
        <f aca="false">C27-K27</f>
        <v>2</v>
      </c>
      <c r="M27" s="8" t="n">
        <f aca="false">C27+(45-ROW())/1000</f>
        <v>2.018</v>
      </c>
      <c r="N27" s="8" t="str">
        <f aca="false">IF(D27=0,ROW()-24,"")</f>
        <v/>
      </c>
    </row>
    <row r="28" customFormat="false" ht="15" hidden="false" customHeight="false" outlineLevel="0" collapsed="false">
      <c r="A28" s="21" t="str">
        <f aca="false">'Partner Master'!A8</f>
        <v>Dar App</v>
      </c>
      <c r="B28" s="21" t="str">
        <f aca="false">'Partner Master'!B8</f>
        <v>Corporate discount</v>
      </c>
      <c r="C28" s="17" t="n">
        <f aca="false">SUMIFS('Weekly Log'!$H$5:$H$636,'Weekly Log'!$G$5:$G$636,Dashboard!$C$4,'Weekly Log'!$L$5:$L$636,$A28)</f>
        <v>0</v>
      </c>
      <c r="D28" s="17" t="n">
        <f aca="false">SUMIFS('Month Data'!$H$5:$H$42,'Month Data'!$L$5:$L$42,$A28)</f>
        <v>0</v>
      </c>
      <c r="E28" s="17" t="n">
        <f aca="false">SUMIFS('Month Data'!$J$5:$J$42,'Month Data'!$L$5:$L$42,$A28)</f>
        <v>0</v>
      </c>
      <c r="F28" s="22" t="n">
        <f aca="false">SUMIFS('Month Data'!$K$5:$K$42,'Month Data'!$L$5:$L$42,$A28)</f>
        <v>0</v>
      </c>
      <c r="G28" s="22" t="n">
        <f aca="false">IF(D28=0,0,F28/D28)</f>
        <v>0</v>
      </c>
      <c r="H28" s="17" t="n">
        <f aca="false">SUMIFS('Trend Data'!$H$5:$H$2085,'Trend Data'!$L$5:$L$2085,$A28,'Trend Data'!$G$5:$G$2085,$B$21)</f>
        <v>0</v>
      </c>
      <c r="I28" s="17" t="n">
        <f aca="false">D28-H28</f>
        <v>0</v>
      </c>
      <c r="J28" s="21" t="str">
        <f aca="false">IF(D28=0,"No usage","Active")</f>
        <v>No usage</v>
      </c>
      <c r="K28" s="17" t="n">
        <f aca="false">SUMIFS('Weekly Log'!$H$5:$H$636,'Weekly Log'!$G$5:$G$636,Dashboard!$C$5,'Weekly Log'!$L$5:$L$636,$A28)</f>
        <v>0</v>
      </c>
      <c r="L28" s="17" t="n">
        <f aca="false">C28-K28</f>
        <v>0</v>
      </c>
      <c r="M28" s="8" t="n">
        <f aca="false">C28+(45-ROW())/1000</f>
        <v>0.017</v>
      </c>
      <c r="N28" s="8" t="n">
        <f aca="false">IF(D28=0,ROW()-24,"")</f>
        <v>4</v>
      </c>
    </row>
    <row r="29" customFormat="false" ht="15" hidden="false" customHeight="false" outlineLevel="0" collapsed="false">
      <c r="A29" s="21" t="str">
        <f aca="false">'Partner Master'!A9</f>
        <v>Qatar Airways</v>
      </c>
      <c r="B29" s="21" t="str">
        <f aca="false">'Partner Master'!B9</f>
        <v>Corporate discount</v>
      </c>
      <c r="C29" s="17" t="n">
        <f aca="false">SUMIFS('Weekly Log'!$H$5:$H$636,'Weekly Log'!$G$5:$G$636,Dashboard!$C$4,'Weekly Log'!$L$5:$L$636,$A29)</f>
        <v>37</v>
      </c>
      <c r="D29" s="17" t="n">
        <f aca="false">SUMIFS('Month Data'!$H$5:$H$42,'Month Data'!$L$5:$L$42,$A29)</f>
        <v>66</v>
      </c>
      <c r="E29" s="17" t="n">
        <f aca="false">SUMIFS('Month Data'!$J$5:$J$42,'Month Data'!$L$5:$L$42,$A29)</f>
        <v>205</v>
      </c>
      <c r="F29" s="22" t="n">
        <f aca="false">SUMIFS('Month Data'!$K$5:$K$42,'Month Data'!$L$5:$L$42,$A29)</f>
        <v>1455</v>
      </c>
      <c r="G29" s="22" t="n">
        <f aca="false">IF(D29=0,0,F29/D29)</f>
        <v>22.0454545454545</v>
      </c>
      <c r="H29" s="17" t="n">
        <f aca="false">SUMIFS('Trend Data'!$H$5:$H$2085,'Trend Data'!$L$5:$L$2085,$A29,'Trend Data'!$G$5:$G$2085,$B$21)</f>
        <v>140</v>
      </c>
      <c r="I29" s="17" t="n">
        <f aca="false">D29-H29</f>
        <v>-74</v>
      </c>
      <c r="J29" s="21" t="str">
        <f aca="false">IF(D29=0,"No usage","Active")</f>
        <v>Active</v>
      </c>
      <c r="K29" s="17" t="n">
        <f aca="false">SUMIFS('Weekly Log'!$H$5:$H$636,'Weekly Log'!$G$5:$G$636,Dashboard!$C$5,'Weekly Log'!$L$5:$L$636,$A29)</f>
        <v>0</v>
      </c>
      <c r="L29" s="17" t="n">
        <f aca="false">C29-K29</f>
        <v>37</v>
      </c>
      <c r="M29" s="8" t="n">
        <f aca="false">C29+(45-ROW())/1000</f>
        <v>37.016</v>
      </c>
      <c r="N29" s="8" t="str">
        <f aca="false">IF(D29=0,ROW()-24,"")</f>
        <v/>
      </c>
    </row>
    <row r="30" customFormat="false" ht="15" hidden="false" customHeight="false" outlineLevel="0" collapsed="false">
      <c r="A30" s="21" t="str">
        <f aca="false">'Partner Master'!A10</f>
        <v>Entertainer</v>
      </c>
      <c r="B30" s="21" t="str">
        <f aca="false">'Partner Master'!B10</f>
        <v>Aggregator BOGO</v>
      </c>
      <c r="C30" s="17" t="n">
        <f aca="false">SUMIFS('Weekly Log'!$H$5:$H$636,'Weekly Log'!$G$5:$G$636,Dashboard!$C$4,'Weekly Log'!$L$5:$L$636,$A30)</f>
        <v>14</v>
      </c>
      <c r="D30" s="17" t="n">
        <f aca="false">SUMIFS('Month Data'!$H$5:$H$42,'Month Data'!$L$5:$L$42,$A30)</f>
        <v>19</v>
      </c>
      <c r="E30" s="17" t="n">
        <f aca="false">SUMIFS('Month Data'!$J$5:$J$42,'Month Data'!$L$5:$L$42,$A30)</f>
        <v>19</v>
      </c>
      <c r="F30" s="22" t="n">
        <f aca="false">SUMIFS('Month Data'!$K$5:$K$42,'Month Data'!$L$5:$L$42,$A30)</f>
        <v>2593</v>
      </c>
      <c r="G30" s="22" t="n">
        <f aca="false">IF(D30=0,0,F30/D30)</f>
        <v>136.473684210526</v>
      </c>
      <c r="H30" s="17" t="n">
        <f aca="false">SUMIFS('Trend Data'!$H$5:$H$2085,'Trend Data'!$L$5:$L$2085,$A30,'Trend Data'!$G$5:$G$2085,$B$21)</f>
        <v>19</v>
      </c>
      <c r="I30" s="17" t="n">
        <f aca="false">D30-H30</f>
        <v>0</v>
      </c>
      <c r="J30" s="21" t="str">
        <f aca="false">IF(D30=0,"No usage","Active")</f>
        <v>Active</v>
      </c>
      <c r="K30" s="17" t="n">
        <f aca="false">SUMIFS('Weekly Log'!$H$5:$H$636,'Weekly Log'!$G$5:$G$636,Dashboard!$C$5,'Weekly Log'!$L$5:$L$636,$A30)</f>
        <v>0</v>
      </c>
      <c r="L30" s="17" t="n">
        <f aca="false">C30-K30</f>
        <v>14</v>
      </c>
      <c r="M30" s="8" t="n">
        <f aca="false">C30+(45-ROW())/1000</f>
        <v>14.015</v>
      </c>
      <c r="N30" s="8" t="str">
        <f aca="false">IF(D30=0,ROW()-24,"")</f>
        <v/>
      </c>
    </row>
    <row r="31" customFormat="false" ht="15" hidden="false" customHeight="false" outlineLevel="0" collapsed="false">
      <c r="A31" s="21" t="str">
        <f aca="false">'Partner Master'!A11</f>
        <v>Public Health Sector (Sogha)</v>
      </c>
      <c r="B31" s="21" t="str">
        <f aca="false">'Partner Master'!B11</f>
        <v>Corporate discount</v>
      </c>
      <c r="C31" s="17" t="n">
        <f aca="false">SUMIFS('Weekly Log'!$H$5:$H$636,'Weekly Log'!$G$5:$G$636,Dashboard!$C$4,'Weekly Log'!$L$5:$L$636,$A31)</f>
        <v>25</v>
      </c>
      <c r="D31" s="17" t="n">
        <f aca="false">SUMIFS('Month Data'!$H$5:$H$42,'Month Data'!$L$5:$L$42,$A31)</f>
        <v>51</v>
      </c>
      <c r="E31" s="17" t="n">
        <f aca="false">SUMIFS('Month Data'!$J$5:$J$42,'Month Data'!$L$5:$L$42,$A31)</f>
        <v>157</v>
      </c>
      <c r="F31" s="22" t="n">
        <f aca="false">SUMIFS('Month Data'!$K$5:$K$42,'Month Data'!$L$5:$L$42,$A31)</f>
        <v>1534</v>
      </c>
      <c r="G31" s="22" t="n">
        <f aca="false">IF(D31=0,0,F31/D31)</f>
        <v>30.078431372549</v>
      </c>
      <c r="H31" s="17" t="n">
        <f aca="false">SUMIFS('Trend Data'!$H$5:$H$2085,'Trend Data'!$L$5:$L$2085,$A31,'Trend Data'!$G$5:$G$2085,$B$21)</f>
        <v>119</v>
      </c>
      <c r="I31" s="17" t="n">
        <f aca="false">D31-H31</f>
        <v>-68</v>
      </c>
      <c r="J31" s="21" t="str">
        <f aca="false">IF(D31=0,"No usage","Active")</f>
        <v>Active</v>
      </c>
      <c r="K31" s="17" t="n">
        <f aca="false">SUMIFS('Weekly Log'!$H$5:$H$636,'Weekly Log'!$G$5:$G$636,Dashboard!$C$5,'Weekly Log'!$L$5:$L$636,$A31)</f>
        <v>0</v>
      </c>
      <c r="L31" s="17" t="n">
        <f aca="false">C31-K31</f>
        <v>25</v>
      </c>
      <c r="M31" s="8" t="n">
        <f aca="false">C31+(45-ROW())/1000</f>
        <v>25.014</v>
      </c>
      <c r="N31" s="8" t="str">
        <f aca="false">IF(D31=0,ROW()-24,"")</f>
        <v/>
      </c>
    </row>
    <row r="32" customFormat="false" ht="15" hidden="false" customHeight="false" outlineLevel="0" collapsed="false">
      <c r="A32" s="21" t="str">
        <f aca="false">'Partner Master'!A12</f>
        <v>Urban Point</v>
      </c>
      <c r="B32" s="21" t="str">
        <f aca="false">'Partner Master'!B12</f>
        <v>Aggregator BOGO</v>
      </c>
      <c r="C32" s="17" t="n">
        <f aca="false">SUMIFS('Weekly Log'!$H$5:$H$636,'Weekly Log'!$G$5:$G$636,Dashboard!$C$4,'Weekly Log'!$L$5:$L$636,$A32)</f>
        <v>27</v>
      </c>
      <c r="D32" s="17" t="n">
        <f aca="false">SUMIFS('Month Data'!$H$5:$H$42,'Month Data'!$L$5:$L$42,$A32)</f>
        <v>40</v>
      </c>
      <c r="E32" s="17" t="n">
        <f aca="false">SUMIFS('Month Data'!$J$5:$J$42,'Month Data'!$L$5:$L$42,$A32)</f>
        <v>40</v>
      </c>
      <c r="F32" s="22" t="n">
        <f aca="false">SUMIFS('Month Data'!$K$5:$K$42,'Month Data'!$L$5:$L$42,$A32)</f>
        <v>6277</v>
      </c>
      <c r="G32" s="22" t="n">
        <f aca="false">IF(D32=0,0,F32/D32)</f>
        <v>156.925</v>
      </c>
      <c r="H32" s="17" t="n">
        <f aca="false">SUMIFS('Trend Data'!$H$5:$H$2085,'Trend Data'!$L$5:$L$2085,$A32,'Trend Data'!$G$5:$G$2085,$B$21)</f>
        <v>69</v>
      </c>
      <c r="I32" s="17" t="n">
        <f aca="false">D32-H32</f>
        <v>-29</v>
      </c>
      <c r="J32" s="21" t="str">
        <f aca="false">IF(D32=0,"No usage","Active")</f>
        <v>Active</v>
      </c>
      <c r="K32" s="17" t="n">
        <f aca="false">SUMIFS('Weekly Log'!$H$5:$H$636,'Weekly Log'!$G$5:$G$636,Dashboard!$C$5,'Weekly Log'!$L$5:$L$636,$A32)</f>
        <v>0</v>
      </c>
      <c r="L32" s="17" t="n">
        <f aca="false">C32-K32</f>
        <v>27</v>
      </c>
      <c r="M32" s="8" t="n">
        <f aca="false">C32+(45-ROW())/1000</f>
        <v>27.013</v>
      </c>
      <c r="N32" s="8" t="str">
        <f aca="false">IF(D32=0,ROW()-24,"")</f>
        <v/>
      </c>
    </row>
    <row r="33" customFormat="false" ht="15" hidden="false" customHeight="false" outlineLevel="0" collapsed="false">
      <c r="A33" s="21" t="str">
        <f aca="false">'Partner Master'!A13</f>
        <v>Qatar Living Deals</v>
      </c>
      <c r="B33" s="21" t="str">
        <f aca="false">'Partner Master'!B13</f>
        <v>Aggregator BOGO</v>
      </c>
      <c r="C33" s="17" t="n">
        <f aca="false">SUMIFS('Weekly Log'!$H$5:$H$636,'Weekly Log'!$G$5:$G$636,Dashboard!$C$4,'Weekly Log'!$L$5:$L$636,$A33)</f>
        <v>0</v>
      </c>
      <c r="D33" s="17" t="n">
        <f aca="false">SUMIFS('Month Data'!$H$5:$H$42,'Month Data'!$L$5:$L$42,$A33)</f>
        <v>1</v>
      </c>
      <c r="E33" s="17" t="n">
        <f aca="false">SUMIFS('Month Data'!$J$5:$J$42,'Month Data'!$L$5:$L$42,$A33)</f>
        <v>1</v>
      </c>
      <c r="F33" s="22" t="n">
        <f aca="false">SUMIFS('Month Data'!$K$5:$K$42,'Month Data'!$L$5:$L$42,$A33)</f>
        <v>100</v>
      </c>
      <c r="G33" s="22" t="n">
        <f aca="false">IF(D33=0,0,F33/D33)</f>
        <v>100</v>
      </c>
      <c r="H33" s="17" t="n">
        <f aca="false">SUMIFS('Trend Data'!$H$5:$H$2085,'Trend Data'!$L$5:$L$2085,$A33,'Trend Data'!$G$5:$G$2085,$B$21)</f>
        <v>0</v>
      </c>
      <c r="I33" s="17" t="n">
        <f aca="false">D33-H33</f>
        <v>1</v>
      </c>
      <c r="J33" s="21" t="str">
        <f aca="false">IF(D33=0,"No usage","Active")</f>
        <v>Active</v>
      </c>
      <c r="K33" s="17" t="n">
        <f aca="false">SUMIFS('Weekly Log'!$H$5:$H$636,'Weekly Log'!$G$5:$G$636,Dashboard!$C$5,'Weekly Log'!$L$5:$L$636,$A33)</f>
        <v>0</v>
      </c>
      <c r="L33" s="17" t="n">
        <f aca="false">C33-K33</f>
        <v>0</v>
      </c>
      <c r="M33" s="8" t="n">
        <f aca="false">C33+(45-ROW())/1000</f>
        <v>0.012</v>
      </c>
      <c r="N33" s="8" t="str">
        <f aca="false">IF(D33=0,ROW()-24,"")</f>
        <v/>
      </c>
    </row>
    <row r="34" customFormat="false" ht="15" hidden="false" customHeight="false" outlineLevel="0" collapsed="false">
      <c r="A34" s="21" t="str">
        <f aca="false">'Partner Master'!A14</f>
        <v>Imtyazat</v>
      </c>
      <c r="B34" s="21" t="str">
        <f aca="false">'Partner Master'!B14</f>
        <v>Corporate discount</v>
      </c>
      <c r="C34" s="17" t="n">
        <f aca="false">SUMIFS('Weekly Log'!$H$5:$H$636,'Weekly Log'!$G$5:$G$636,Dashboard!$C$4,'Weekly Log'!$L$5:$L$636,$A34)</f>
        <v>40</v>
      </c>
      <c r="D34" s="17" t="n">
        <f aca="false">SUMIFS('Month Data'!$H$5:$H$42,'Month Data'!$L$5:$L$42,$A34)</f>
        <v>72</v>
      </c>
      <c r="E34" s="17" t="n">
        <f aca="false">SUMIFS('Month Data'!$J$5:$J$42,'Month Data'!$L$5:$L$42,$A34)</f>
        <v>305</v>
      </c>
      <c r="F34" s="22" t="n">
        <f aca="false">SUMIFS('Month Data'!$K$5:$K$42,'Month Data'!$L$5:$L$42,$A34)</f>
        <v>2221.5</v>
      </c>
      <c r="G34" s="22" t="n">
        <f aca="false">IF(D34=0,0,F34/D34)</f>
        <v>30.8541666666667</v>
      </c>
      <c r="H34" s="17" t="n">
        <f aca="false">SUMIFS('Trend Data'!$H$5:$H$2085,'Trend Data'!$L$5:$L$2085,$A34,'Trend Data'!$G$5:$G$2085,$B$21)</f>
        <v>261</v>
      </c>
      <c r="I34" s="17" t="n">
        <f aca="false">D34-H34</f>
        <v>-189</v>
      </c>
      <c r="J34" s="21" t="str">
        <f aca="false">IF(D34=0,"No usage","Active")</f>
        <v>Active</v>
      </c>
      <c r="K34" s="17" t="n">
        <f aca="false">SUMIFS('Weekly Log'!$H$5:$H$636,'Weekly Log'!$G$5:$G$636,Dashboard!$C$5,'Weekly Log'!$L$5:$L$636,$A34)</f>
        <v>0</v>
      </c>
      <c r="L34" s="17" t="n">
        <f aca="false">C34-K34</f>
        <v>40</v>
      </c>
      <c r="M34" s="8" t="n">
        <f aca="false">C34+(45-ROW())/1000</f>
        <v>40.011</v>
      </c>
      <c r="N34" s="8" t="str">
        <f aca="false">IF(D34=0,ROW()-24,"")</f>
        <v/>
      </c>
    </row>
    <row r="35" customFormat="false" ht="15" hidden="false" customHeight="false" outlineLevel="0" collapsed="false">
      <c r="A35" s="21" t="str">
        <f aca="false">'Partner Master'!A15</f>
        <v>Classmate</v>
      </c>
      <c r="B35" s="21" t="str">
        <f aca="false">'Partner Master'!B15</f>
        <v>Aggregator BOGO</v>
      </c>
      <c r="C35" s="17" t="n">
        <f aca="false">SUMIFS('Weekly Log'!$H$5:$H$636,'Weekly Log'!$G$5:$G$636,Dashboard!$C$4,'Weekly Log'!$L$5:$L$636,$A35)</f>
        <v>0</v>
      </c>
      <c r="D35" s="17" t="n">
        <f aca="false">SUMIFS('Month Data'!$H$5:$H$42,'Month Data'!$L$5:$L$42,$A35)</f>
        <v>0</v>
      </c>
      <c r="E35" s="17" t="n">
        <f aca="false">SUMIFS('Month Data'!$J$5:$J$42,'Month Data'!$L$5:$L$42,$A35)</f>
        <v>0</v>
      </c>
      <c r="F35" s="22" t="n">
        <f aca="false">SUMIFS('Month Data'!$K$5:$K$42,'Month Data'!$L$5:$L$42,$A35)</f>
        <v>0</v>
      </c>
      <c r="G35" s="22" t="n">
        <f aca="false">IF(D35=0,0,F35/D35)</f>
        <v>0</v>
      </c>
      <c r="H35" s="17" t="n">
        <f aca="false">SUMIFS('Trend Data'!$H$5:$H$2085,'Trend Data'!$L$5:$L$2085,$A35,'Trend Data'!$G$5:$G$2085,$B$21)</f>
        <v>0</v>
      </c>
      <c r="I35" s="17" t="n">
        <f aca="false">D35-H35</f>
        <v>0</v>
      </c>
      <c r="J35" s="21" t="str">
        <f aca="false">IF(D35=0,"No usage","Active")</f>
        <v>No usage</v>
      </c>
      <c r="K35" s="17" t="n">
        <f aca="false">SUMIFS('Weekly Log'!$H$5:$H$636,'Weekly Log'!$G$5:$G$636,Dashboard!$C$5,'Weekly Log'!$L$5:$L$636,$A35)</f>
        <v>0</v>
      </c>
      <c r="L35" s="17" t="n">
        <f aca="false">C35-K35</f>
        <v>0</v>
      </c>
      <c r="M35" s="8" t="n">
        <f aca="false">C35+(45-ROW())/1000</f>
        <v>0.01</v>
      </c>
      <c r="N35" s="8" t="n">
        <f aca="false">IF(D35=0,ROW()-24,"")</f>
        <v>11</v>
      </c>
    </row>
    <row r="36" customFormat="false" ht="15" hidden="false" customHeight="false" outlineLevel="0" collapsed="false">
      <c r="A36" s="21" t="str">
        <f aca="false">'Partner Master'!A16</f>
        <v>MyBenefit</v>
      </c>
      <c r="B36" s="21" t="str">
        <f aca="false">'Partner Master'!B16</f>
        <v>Corporate discount</v>
      </c>
      <c r="C36" s="17" t="n">
        <f aca="false">SUMIFS('Weekly Log'!$H$5:$H$636,'Weekly Log'!$G$5:$G$636,Dashboard!$C$4,'Weekly Log'!$L$5:$L$636,$A36)</f>
        <v>0</v>
      </c>
      <c r="D36" s="17" t="n">
        <f aca="false">SUMIFS('Month Data'!$H$5:$H$42,'Month Data'!$L$5:$L$42,$A36)</f>
        <v>0</v>
      </c>
      <c r="E36" s="17" t="n">
        <f aca="false">SUMIFS('Month Data'!$J$5:$J$42,'Month Data'!$L$5:$L$42,$A36)</f>
        <v>0</v>
      </c>
      <c r="F36" s="22" t="n">
        <f aca="false">SUMIFS('Month Data'!$K$5:$K$42,'Month Data'!$L$5:$L$42,$A36)</f>
        <v>0</v>
      </c>
      <c r="G36" s="22" t="n">
        <f aca="false">IF(D36=0,0,F36/D36)</f>
        <v>0</v>
      </c>
      <c r="H36" s="17" t="n">
        <f aca="false">SUMIFS('Trend Data'!$H$5:$H$2085,'Trend Data'!$L$5:$L$2085,$A36,'Trend Data'!$G$5:$G$2085,$B$21)</f>
        <v>0</v>
      </c>
      <c r="I36" s="17" t="n">
        <f aca="false">D36-H36</f>
        <v>0</v>
      </c>
      <c r="J36" s="21" t="str">
        <f aca="false">IF(D36=0,"No usage","Active")</f>
        <v>No usage</v>
      </c>
      <c r="K36" s="17" t="n">
        <f aca="false">SUMIFS('Weekly Log'!$H$5:$H$636,'Weekly Log'!$G$5:$G$636,Dashboard!$C$5,'Weekly Log'!$L$5:$L$636,$A36)</f>
        <v>0</v>
      </c>
      <c r="L36" s="17" t="n">
        <f aca="false">C36-K36</f>
        <v>0</v>
      </c>
      <c r="M36" s="8" t="n">
        <f aca="false">C36+(45-ROW())/1000</f>
        <v>0.009</v>
      </c>
      <c r="N36" s="8" t="n">
        <f aca="false">IF(D36=0,ROW()-24,"")</f>
        <v>12</v>
      </c>
    </row>
    <row r="37" customFormat="false" ht="15" hidden="false" customHeight="false" outlineLevel="0" collapsed="false">
      <c r="A37" s="21" t="str">
        <f aca="false">'Partner Master'!A17</f>
        <v>DHL</v>
      </c>
      <c r="B37" s="21" t="str">
        <f aca="false">'Partner Master'!B17</f>
        <v>Corporate discount</v>
      </c>
      <c r="C37" s="17" t="n">
        <f aca="false">SUMIFS('Weekly Log'!$H$5:$H$636,'Weekly Log'!$G$5:$G$636,Dashboard!$C$4,'Weekly Log'!$L$5:$L$636,$A37)</f>
        <v>0</v>
      </c>
      <c r="D37" s="17" t="n">
        <f aca="false">SUMIFS('Month Data'!$H$5:$H$42,'Month Data'!$L$5:$L$42,$A37)</f>
        <v>0</v>
      </c>
      <c r="E37" s="17" t="n">
        <f aca="false">SUMIFS('Month Data'!$J$5:$J$42,'Month Data'!$L$5:$L$42,$A37)</f>
        <v>0</v>
      </c>
      <c r="F37" s="22" t="n">
        <f aca="false">SUMIFS('Month Data'!$K$5:$K$42,'Month Data'!$L$5:$L$42,$A37)</f>
        <v>0</v>
      </c>
      <c r="G37" s="22" t="n">
        <f aca="false">IF(D37=0,0,F37/D37)</f>
        <v>0</v>
      </c>
      <c r="H37" s="17" t="n">
        <f aca="false">SUMIFS('Trend Data'!$H$5:$H$2085,'Trend Data'!$L$5:$L$2085,$A37,'Trend Data'!$G$5:$G$2085,$B$21)</f>
        <v>0</v>
      </c>
      <c r="I37" s="17" t="n">
        <f aca="false">D37-H37</f>
        <v>0</v>
      </c>
      <c r="J37" s="21" t="str">
        <f aca="false">IF(D37=0,"No usage","Active")</f>
        <v>No usage</v>
      </c>
      <c r="K37" s="17" t="n">
        <f aca="false">SUMIFS('Weekly Log'!$H$5:$H$636,'Weekly Log'!$G$5:$G$636,Dashboard!$C$5,'Weekly Log'!$L$5:$L$636,$A37)</f>
        <v>0</v>
      </c>
      <c r="L37" s="17" t="n">
        <f aca="false">C37-K37</f>
        <v>0</v>
      </c>
      <c r="M37" s="8" t="n">
        <f aca="false">C37+(45-ROW())/1000</f>
        <v>0.008</v>
      </c>
      <c r="N37" s="8" t="n">
        <f aca="false">IF(D37=0,ROW()-24,"")</f>
        <v>13</v>
      </c>
    </row>
    <row r="38" customFormat="false" ht="15" hidden="false" customHeight="false" outlineLevel="0" collapsed="false">
      <c r="A38" s="21" t="str">
        <f aca="false">'Partner Master'!A18</f>
        <v>Qatar Foundation</v>
      </c>
      <c r="B38" s="21" t="str">
        <f aca="false">'Partner Master'!B18</f>
        <v>Corporate discount</v>
      </c>
      <c r="C38" s="17" t="n">
        <f aca="false">SUMIFS('Weekly Log'!$H$5:$H$636,'Weekly Log'!$G$5:$G$636,Dashboard!$C$4,'Weekly Log'!$L$5:$L$636,$A38)</f>
        <v>13</v>
      </c>
      <c r="D38" s="17" t="n">
        <f aca="false">SUMIFS('Month Data'!$H$5:$H$42,'Month Data'!$L$5:$L$42,$A38)</f>
        <v>34</v>
      </c>
      <c r="E38" s="17" t="n">
        <f aca="false">SUMIFS('Month Data'!$J$5:$J$42,'Month Data'!$L$5:$L$42,$A38)</f>
        <v>134</v>
      </c>
      <c r="F38" s="22" t="n">
        <f aca="false">SUMIFS('Month Data'!$K$5:$K$42,'Month Data'!$L$5:$L$42,$A38)</f>
        <v>1071.45</v>
      </c>
      <c r="G38" s="22" t="n">
        <f aca="false">IF(D38=0,0,F38/D38)</f>
        <v>31.5132352941177</v>
      </c>
      <c r="H38" s="17" t="n">
        <f aca="false">SUMIFS('Trend Data'!$H$5:$H$2085,'Trend Data'!$L$5:$L$2085,$A38,'Trend Data'!$G$5:$G$2085,$B$21)</f>
        <v>80</v>
      </c>
      <c r="I38" s="17" t="n">
        <f aca="false">D38-H38</f>
        <v>-46</v>
      </c>
      <c r="J38" s="21" t="str">
        <f aca="false">IF(D38=0,"No usage","Active")</f>
        <v>Active</v>
      </c>
      <c r="K38" s="17" t="n">
        <f aca="false">SUMIFS('Weekly Log'!$H$5:$H$636,'Weekly Log'!$G$5:$G$636,Dashboard!$C$5,'Weekly Log'!$L$5:$L$636,$A38)</f>
        <v>0</v>
      </c>
      <c r="L38" s="17" t="n">
        <f aca="false">C38-K38</f>
        <v>13</v>
      </c>
      <c r="M38" s="8" t="n">
        <f aca="false">C38+(45-ROW())/1000</f>
        <v>13.007</v>
      </c>
      <c r="N38" s="8" t="str">
        <f aca="false">IF(D38=0,ROW()-24,"")</f>
        <v/>
      </c>
    </row>
    <row r="39" customFormat="false" ht="15" hidden="false" customHeight="false" outlineLevel="0" collapsed="false">
      <c r="A39" s="21" t="str">
        <f aca="false">'Partner Master'!A19</f>
        <v>Qatar Investment Authority</v>
      </c>
      <c r="B39" s="21" t="str">
        <f aca="false">'Partner Master'!B19</f>
        <v>Corporate discount</v>
      </c>
      <c r="C39" s="17" t="n">
        <f aca="false">SUMIFS('Weekly Log'!$H$5:$H$636,'Weekly Log'!$G$5:$G$636,Dashboard!$C$4,'Weekly Log'!$L$5:$L$636,$A39)</f>
        <v>12</v>
      </c>
      <c r="D39" s="17" t="n">
        <f aca="false">SUMIFS('Month Data'!$H$5:$H$42,'Month Data'!$L$5:$L$42,$A39)</f>
        <v>20</v>
      </c>
      <c r="E39" s="17" t="n">
        <f aca="false">SUMIFS('Month Data'!$J$5:$J$42,'Month Data'!$L$5:$L$42,$A39)</f>
        <v>77</v>
      </c>
      <c r="F39" s="22" t="n">
        <f aca="false">SUMIFS('Month Data'!$K$5:$K$42,'Month Data'!$L$5:$L$42,$A39)</f>
        <v>541.5</v>
      </c>
      <c r="G39" s="22" t="n">
        <f aca="false">IF(D39=0,0,F39/D39)</f>
        <v>27.075</v>
      </c>
      <c r="H39" s="17" t="n">
        <f aca="false">SUMIFS('Trend Data'!$H$5:$H$2085,'Trend Data'!$L$5:$L$2085,$A39,'Trend Data'!$G$5:$G$2085,$B$21)</f>
        <v>2</v>
      </c>
      <c r="I39" s="17" t="n">
        <f aca="false">D39-H39</f>
        <v>18</v>
      </c>
      <c r="J39" s="21" t="str">
        <f aca="false">IF(D39=0,"No usage","Active")</f>
        <v>Active</v>
      </c>
      <c r="K39" s="17" t="n">
        <f aca="false">SUMIFS('Weekly Log'!$H$5:$H$636,'Weekly Log'!$G$5:$G$636,Dashboard!$C$5,'Weekly Log'!$L$5:$L$636,$A39)</f>
        <v>0</v>
      </c>
      <c r="L39" s="17" t="n">
        <f aca="false">C39-K39</f>
        <v>12</v>
      </c>
      <c r="M39" s="8" t="n">
        <f aca="false">C39+(45-ROW())/1000</f>
        <v>12.006</v>
      </c>
      <c r="N39" s="8" t="str">
        <f aca="false">IF(D39=0,ROW()-24,"")</f>
        <v/>
      </c>
    </row>
    <row r="40" customFormat="false" ht="15" hidden="false" customHeight="false" outlineLevel="0" collapsed="false">
      <c r="A40" s="21" t="str">
        <f aca="false">'Partner Master'!A20</f>
        <v>Bein</v>
      </c>
      <c r="B40" s="21" t="str">
        <f aca="false">'Partner Master'!B20</f>
        <v>Corporate discount</v>
      </c>
      <c r="C40" s="17" t="n">
        <f aca="false">SUMIFS('Weekly Log'!$H$5:$H$636,'Weekly Log'!$G$5:$G$636,Dashboard!$C$4,'Weekly Log'!$L$5:$L$636,$A40)</f>
        <v>0</v>
      </c>
      <c r="D40" s="17" t="n">
        <f aca="false">SUMIFS('Month Data'!$H$5:$H$42,'Month Data'!$L$5:$L$42,$A40)</f>
        <v>1</v>
      </c>
      <c r="E40" s="17" t="n">
        <f aca="false">SUMIFS('Month Data'!$J$5:$J$42,'Month Data'!$L$5:$L$42,$A40)</f>
        <v>6</v>
      </c>
      <c r="F40" s="22" t="n">
        <f aca="false">SUMIFS('Month Data'!$K$5:$K$42,'Month Data'!$L$5:$L$42,$A40)</f>
        <v>52.5</v>
      </c>
      <c r="G40" s="22" t="n">
        <f aca="false">IF(D40=0,0,F40/D40)</f>
        <v>52.5</v>
      </c>
      <c r="H40" s="17" t="n">
        <f aca="false">SUMIFS('Trend Data'!$H$5:$H$2085,'Trend Data'!$L$5:$L$2085,$A40,'Trend Data'!$G$5:$G$2085,$B$21)</f>
        <v>5</v>
      </c>
      <c r="I40" s="17" t="n">
        <f aca="false">D40-H40</f>
        <v>-4</v>
      </c>
      <c r="J40" s="21" t="str">
        <f aca="false">IF(D40=0,"No usage","Active")</f>
        <v>Active</v>
      </c>
      <c r="K40" s="17" t="n">
        <f aca="false">SUMIFS('Weekly Log'!$H$5:$H$636,'Weekly Log'!$G$5:$G$636,Dashboard!$C$5,'Weekly Log'!$L$5:$L$636,$A40)</f>
        <v>0</v>
      </c>
      <c r="L40" s="17" t="n">
        <f aca="false">C40-K40</f>
        <v>0</v>
      </c>
      <c r="M40" s="8" t="n">
        <f aca="false">C40+(45-ROW())/1000</f>
        <v>0.005</v>
      </c>
      <c r="N40" s="8" t="str">
        <f aca="false">IF(D40=0,ROW()-24,"")</f>
        <v/>
      </c>
    </row>
    <row r="41" customFormat="false" ht="15" hidden="false" customHeight="false" outlineLevel="0" collapsed="false">
      <c r="A41" s="21" t="str">
        <f aca="false">'Partner Master'!A21</f>
        <v>Huawei</v>
      </c>
      <c r="B41" s="21" t="str">
        <f aca="false">'Partner Master'!B21</f>
        <v>Corporate discount</v>
      </c>
      <c r="C41" s="17" t="n">
        <f aca="false">SUMIFS('Weekly Log'!$H$5:$H$636,'Weekly Log'!$G$5:$G$636,Dashboard!$C$4,'Weekly Log'!$L$5:$L$636,$A41)</f>
        <v>0</v>
      </c>
      <c r="D41" s="17" t="n">
        <f aca="false">SUMIFS('Month Data'!$H$5:$H$42,'Month Data'!$L$5:$L$42,$A41)</f>
        <v>0</v>
      </c>
      <c r="E41" s="17" t="n">
        <f aca="false">SUMIFS('Month Data'!$J$5:$J$42,'Month Data'!$L$5:$L$42,$A41)</f>
        <v>0</v>
      </c>
      <c r="F41" s="22" t="n">
        <f aca="false">SUMIFS('Month Data'!$K$5:$K$42,'Month Data'!$L$5:$L$42,$A41)</f>
        <v>0</v>
      </c>
      <c r="G41" s="22" t="n">
        <f aca="false">IF(D41=0,0,F41/D41)</f>
        <v>0</v>
      </c>
      <c r="H41" s="17" t="n">
        <f aca="false">SUMIFS('Trend Data'!$H$5:$H$2085,'Trend Data'!$L$5:$L$2085,$A41,'Trend Data'!$G$5:$G$2085,$B$21)</f>
        <v>0</v>
      </c>
      <c r="I41" s="17" t="n">
        <f aca="false">D41-H41</f>
        <v>0</v>
      </c>
      <c r="J41" s="21" t="str">
        <f aca="false">IF(D41=0,"No usage","Active")</f>
        <v>No usage</v>
      </c>
      <c r="K41" s="17" t="n">
        <f aca="false">SUMIFS('Weekly Log'!$H$5:$H$636,'Weekly Log'!$G$5:$G$636,Dashboard!$C$5,'Weekly Log'!$L$5:$L$636,$A41)</f>
        <v>0</v>
      </c>
      <c r="L41" s="17" t="n">
        <f aca="false">C41-K41</f>
        <v>0</v>
      </c>
      <c r="M41" s="8" t="n">
        <f aca="false">C41+(45-ROW())/1000</f>
        <v>0.004</v>
      </c>
      <c r="N41" s="8" t="n">
        <f aca="false">IF(D41=0,ROW()-24,"")</f>
        <v>17</v>
      </c>
    </row>
    <row r="42" customFormat="false" ht="15" hidden="false" customHeight="false" outlineLevel="0" collapsed="false">
      <c r="A42" s="21" t="str">
        <f aca="false">'Partner Master'!A22</f>
        <v>Aspire</v>
      </c>
      <c r="B42" s="21" t="str">
        <f aca="false">'Partner Master'!B22</f>
        <v>Corporate discount</v>
      </c>
      <c r="C42" s="17" t="n">
        <f aca="false">SUMIFS('Weekly Log'!$H$5:$H$636,'Weekly Log'!$G$5:$G$636,Dashboard!$C$4,'Weekly Log'!$L$5:$L$636,$A42)</f>
        <v>4</v>
      </c>
      <c r="D42" s="17" t="n">
        <f aca="false">SUMIFS('Month Data'!$H$5:$H$42,'Month Data'!$L$5:$L$42,$A42)</f>
        <v>5</v>
      </c>
      <c r="E42" s="17" t="n">
        <f aca="false">SUMIFS('Month Data'!$J$5:$J$42,'Month Data'!$L$5:$L$42,$A42)</f>
        <v>23</v>
      </c>
      <c r="F42" s="22" t="n">
        <f aca="false">SUMIFS('Month Data'!$K$5:$K$42,'Month Data'!$L$5:$L$42,$A42)</f>
        <v>162.75</v>
      </c>
      <c r="G42" s="22" t="n">
        <f aca="false">IF(D42=0,0,F42/D42)</f>
        <v>32.55</v>
      </c>
      <c r="H42" s="17" t="n">
        <f aca="false">SUMIFS('Trend Data'!$H$5:$H$2085,'Trend Data'!$L$5:$L$2085,$A42,'Trend Data'!$G$5:$G$2085,$B$21)</f>
        <v>9</v>
      </c>
      <c r="I42" s="17" t="n">
        <f aca="false">D42-H42</f>
        <v>-4</v>
      </c>
      <c r="J42" s="21" t="str">
        <f aca="false">IF(D42=0,"No usage","Active")</f>
        <v>Active</v>
      </c>
      <c r="K42" s="17" t="n">
        <f aca="false">SUMIFS('Weekly Log'!$H$5:$H$636,'Weekly Log'!$G$5:$G$636,Dashboard!$C$5,'Weekly Log'!$L$5:$L$636,$A42)</f>
        <v>0</v>
      </c>
      <c r="L42" s="17" t="n">
        <f aca="false">C42-K42</f>
        <v>4</v>
      </c>
      <c r="M42" s="8" t="n">
        <f aca="false">C42+(45-ROW())/1000</f>
        <v>4.003</v>
      </c>
      <c r="N42" s="8" t="str">
        <f aca="false">IF(D42=0,ROW()-24,"")</f>
        <v/>
      </c>
    </row>
    <row r="43" customFormat="false" ht="15" hidden="false" customHeight="false" outlineLevel="0" collapsed="false">
      <c r="A43" s="21" t="str">
        <f aca="false">'Partner Master'!A23</f>
        <v>Qatar Media Corporation</v>
      </c>
      <c r="B43" s="21" t="str">
        <f aca="false">'Partner Master'!B23</f>
        <v>Corporate discount</v>
      </c>
      <c r="C43" s="17" t="n">
        <f aca="false">SUMIFS('Weekly Log'!$H$5:$H$636,'Weekly Log'!$G$5:$G$636,Dashboard!$C$4,'Weekly Log'!$L$5:$L$636,$A43)</f>
        <v>0</v>
      </c>
      <c r="D43" s="17" t="n">
        <f aca="false">SUMIFS('Month Data'!$H$5:$H$42,'Month Data'!$L$5:$L$42,$A43)</f>
        <v>0</v>
      </c>
      <c r="E43" s="17" t="n">
        <f aca="false">SUMIFS('Month Data'!$J$5:$J$42,'Month Data'!$L$5:$L$42,$A43)</f>
        <v>0</v>
      </c>
      <c r="F43" s="22" t="n">
        <f aca="false">SUMIFS('Month Data'!$K$5:$K$42,'Month Data'!$L$5:$L$42,$A43)</f>
        <v>0</v>
      </c>
      <c r="G43" s="22" t="n">
        <f aca="false">IF(D43=0,0,F43/D43)</f>
        <v>0</v>
      </c>
      <c r="H43" s="17" t="n">
        <f aca="false">SUMIFS('Trend Data'!$H$5:$H$2085,'Trend Data'!$L$5:$L$2085,$A43,'Trend Data'!$G$5:$G$2085,$B$21)</f>
        <v>6</v>
      </c>
      <c r="I43" s="17" t="n">
        <f aca="false">D43-H43</f>
        <v>-6</v>
      </c>
      <c r="J43" s="21" t="str">
        <f aca="false">IF(D43=0,"No usage","Active")</f>
        <v>No usage</v>
      </c>
      <c r="K43" s="17" t="n">
        <f aca="false">SUMIFS('Weekly Log'!$H$5:$H$636,'Weekly Log'!$G$5:$G$636,Dashboard!$C$5,'Weekly Log'!$L$5:$L$636,$A43)</f>
        <v>0</v>
      </c>
      <c r="L43" s="17" t="n">
        <f aca="false">C43-K43</f>
        <v>0</v>
      </c>
      <c r="M43" s="8" t="n">
        <f aca="false">C43+(45-ROW())/1000</f>
        <v>0.002</v>
      </c>
      <c r="N43" s="8" t="n">
        <f aca="false">IF(D43=0,ROW()-24,"")</f>
        <v>19</v>
      </c>
    </row>
    <row r="44" customFormat="false" ht="15" hidden="false" customHeight="false" outlineLevel="0" collapsed="false">
      <c r="A44" s="21" t="str">
        <f aca="false">'Partner Master'!A24</f>
        <v>QNB Rewards</v>
      </c>
      <c r="B44" s="21" t="str">
        <f aca="false">'Partner Master'!B24</f>
        <v>Corporate discount</v>
      </c>
      <c r="C44" s="17" t="n">
        <f aca="false">SUMIFS('Weekly Log'!$H$5:$H$636,'Weekly Log'!$G$5:$G$636,Dashboard!$C$4,'Weekly Log'!$L$5:$L$636,$A44)</f>
        <v>3</v>
      </c>
      <c r="D44" s="17" t="n">
        <f aca="false">SUMIFS('Month Data'!$H$5:$H$42,'Month Data'!$L$5:$L$42,$A44)</f>
        <v>6</v>
      </c>
      <c r="E44" s="17" t="n">
        <f aca="false">SUMIFS('Month Data'!$J$5:$J$42,'Month Data'!$L$5:$L$42,$A44)</f>
        <v>18</v>
      </c>
      <c r="F44" s="22" t="n">
        <f aca="false">SUMIFS('Month Data'!$K$5:$K$42,'Month Data'!$L$5:$L$42,$A44)</f>
        <v>151.5</v>
      </c>
      <c r="G44" s="22" t="n">
        <f aca="false">IF(D44=0,0,F44/D44)</f>
        <v>25.25</v>
      </c>
      <c r="H44" s="17" t="n">
        <f aca="false">SUMIFS('Trend Data'!$H$5:$H$2085,'Trend Data'!$L$5:$L$2085,$A44,'Trend Data'!$G$5:$G$2085,$B$21)</f>
        <v>26</v>
      </c>
      <c r="I44" s="17" t="n">
        <f aca="false">D44-H44</f>
        <v>-20</v>
      </c>
      <c r="J44" s="21" t="str">
        <f aca="false">IF(D44=0,"No usage","Active")</f>
        <v>Active</v>
      </c>
      <c r="K44" s="17" t="n">
        <f aca="false">SUMIFS('Weekly Log'!$H$5:$H$636,'Weekly Log'!$G$5:$G$636,Dashboard!$C$5,'Weekly Log'!$L$5:$L$636,$A44)</f>
        <v>0</v>
      </c>
      <c r="L44" s="17" t="n">
        <f aca="false">C44-K44</f>
        <v>3</v>
      </c>
      <c r="M44" s="8" t="n">
        <f aca="false">C44+(45-ROW())/1000</f>
        <v>3.001</v>
      </c>
      <c r="N44" s="8" t="str">
        <f aca="false">IF(D44=0,ROW()-24,"")</f>
        <v/>
      </c>
    </row>
    <row r="45" customFormat="false" ht="15" hidden="false" customHeight="false" outlineLevel="0" collapsed="false">
      <c r="A45" s="21" t="str">
        <f aca="false">'Partner Master'!A25</f>
        <v>Snoonu Employees</v>
      </c>
      <c r="B45" s="21" t="str">
        <f aca="false">'Partner Master'!B25</f>
        <v>Corporate discount</v>
      </c>
      <c r="C45" s="17" t="n">
        <f aca="false">SUMIFS('Weekly Log'!$H$5:$H$636,'Weekly Log'!$G$5:$G$636,Dashboard!$C$4,'Weekly Log'!$L$5:$L$636,$A45)</f>
        <v>0</v>
      </c>
      <c r="D45" s="17" t="n">
        <f aca="false">SUMIFS('Month Data'!$H$5:$H$42,'Month Data'!$L$5:$L$42,$A45)</f>
        <v>0</v>
      </c>
      <c r="E45" s="17" t="n">
        <f aca="false">SUMIFS('Month Data'!$J$5:$J$42,'Month Data'!$L$5:$L$42,$A45)</f>
        <v>0</v>
      </c>
      <c r="F45" s="22" t="n">
        <f aca="false">SUMIFS('Month Data'!$K$5:$K$42,'Month Data'!$L$5:$L$42,$A45)</f>
        <v>0</v>
      </c>
      <c r="G45" s="22" t="n">
        <f aca="false">IF(D45=0,0,F45/D45)</f>
        <v>0</v>
      </c>
      <c r="H45" s="17" t="n">
        <f aca="false">SUMIFS('Trend Data'!$H$5:$H$2085,'Trend Data'!$L$5:$L$2085,$A45,'Trend Data'!$G$5:$G$2085,$B$21)</f>
        <v>0</v>
      </c>
      <c r="I45" s="17" t="n">
        <f aca="false">D45-H45</f>
        <v>0</v>
      </c>
      <c r="J45" s="21" t="str">
        <f aca="false">IF(D45=0,"No usage","Active")</f>
        <v>No usage</v>
      </c>
      <c r="K45" s="17" t="n">
        <f aca="false">SUMIFS('Weekly Log'!$H$5:$H$636,'Weekly Log'!$G$5:$G$636,Dashboard!$C$5,'Weekly Log'!$L$5:$L$636,$A45)</f>
        <v>0</v>
      </c>
      <c r="L45" s="17" t="n">
        <f aca="false">C45-K45</f>
        <v>0</v>
      </c>
      <c r="M45" s="8" t="n">
        <f aca="false">C45+(45-ROW())/1000</f>
        <v>0</v>
      </c>
      <c r="N45" s="8" t="n">
        <f aca="false">IF(D45=0,ROW()-24,"")</f>
        <v>21</v>
      </c>
    </row>
    <row r="46" customFormat="false" ht="15" hidden="false" customHeight="false" outlineLevel="0" collapsed="false">
      <c r="A46" s="19" t="s">
        <v>99</v>
      </c>
      <c r="C46" s="20" t="n">
        <f aca="false">SUM(C25:C45)</f>
        <v>194</v>
      </c>
      <c r="D46" s="20" t="n">
        <f aca="false">SUM(D25:D45)</f>
        <v>351</v>
      </c>
      <c r="E46" s="20" t="n">
        <f aca="false">SUM(E25:E45)</f>
        <v>1042</v>
      </c>
      <c r="F46" s="35" t="n">
        <f aca="false">SUM(F25:F45)</f>
        <v>21132.95</v>
      </c>
      <c r="H46" s="20" t="n">
        <f aca="false">SUM(H25:H45)</f>
        <v>873</v>
      </c>
      <c r="I46" s="20" t="n">
        <f aca="false">SUM(I25:I45)</f>
        <v>-522</v>
      </c>
    </row>
    <row r="47" customFormat="false" ht="15" hidden="false" customHeight="false" outlineLevel="0" collapsed="false">
      <c r="A47" s="8" t="s">
        <v>100</v>
      </c>
      <c r="D47" s="8" t="n">
        <f aca="false">SUMIFS('Month Data'!$H$5:$H$42,'Month Data'!$M$5:$M$42,"Not on master")+SUMIFS('Month Data'!$H$5:$H$42,'Month Data'!$M$5:$M$42,"Unmapped")</f>
        <v>0</v>
      </c>
    </row>
    <row r="49" customFormat="false" ht="15" hidden="false" customHeight="false" outlineLevel="0" collapsed="false">
      <c r="A49" s="19" t="s">
        <v>101</v>
      </c>
    </row>
    <row r="50" customFormat="false" ht="35.05" hidden="false" customHeight="false" outlineLevel="0" collapsed="false">
      <c r="A50" s="30" t="s">
        <v>102</v>
      </c>
      <c r="B50" s="30" t="s">
        <v>22</v>
      </c>
      <c r="C50" s="30" t="s">
        <v>23</v>
      </c>
      <c r="D50" s="30" t="s">
        <v>24</v>
      </c>
      <c r="E50" s="30" t="s">
        <v>103</v>
      </c>
      <c r="F50" s="30" t="s">
        <v>104</v>
      </c>
    </row>
    <row r="51" customFormat="false" ht="15" hidden="false" customHeight="false" outlineLevel="0" collapsed="false">
      <c r="A51" s="33" t="s">
        <v>105</v>
      </c>
      <c r="B51" s="31" t="n">
        <f aca="false">SUMIFS('Trend Data'!$H$5:$H$2085,'Trend Data'!$G$5:$G$2085,$A51,'Trend Data'!$M$5:$M$2085,"&lt;&gt;Internal / promotion")</f>
        <v>309</v>
      </c>
      <c r="C51" s="31" t="n">
        <f aca="false">SUMIFS('Trend Data'!$J$5:$J$2085,'Trend Data'!$G$5:$G$2085,$A51,'Trend Data'!$M$5:$M$2085,"&lt;&gt;Internal / promotion")</f>
        <v>340</v>
      </c>
      <c r="D51" s="32" t="n">
        <f aca="false">SUMIFS('Trend Data'!$K$5:$K$2085,'Trend Data'!$G$5:$G$2085,$A51,'Trend Data'!$M$5:$M$2085,"&lt;&gt;Internal / promotion")</f>
        <v>47609.5</v>
      </c>
      <c r="E51" s="31" t="n">
        <f aca="false">SUMIFS('Trend Data'!$H$5:$H$2085,'Trend Data'!$G$5:$G$2085,$A51,'Trend Data'!$M$5:$M$2085,"Corporate discount")</f>
        <v>30</v>
      </c>
      <c r="F51" s="31" t="n">
        <f aca="false">SUMIFS('Trend Data'!$H$5:$H$2085,'Trend Data'!$G$5:$G$2085,$A51,'Trend Data'!$M$5:$M$2085,"Aggregator BOGO")</f>
        <v>259</v>
      </c>
    </row>
    <row r="52" customFormat="false" ht="15" hidden="false" customHeight="false" outlineLevel="0" collapsed="false">
      <c r="A52" s="33" t="s">
        <v>106</v>
      </c>
      <c r="B52" s="31" t="n">
        <f aca="false">SUMIFS('Trend Data'!$H$5:$H$2085,'Trend Data'!$G$5:$G$2085,$A52,'Trend Data'!$M$5:$M$2085,"&lt;&gt;Internal / promotion")</f>
        <v>428</v>
      </c>
      <c r="C52" s="31" t="n">
        <f aca="false">SUMIFS('Trend Data'!$J$5:$J$2085,'Trend Data'!$G$5:$G$2085,$A52,'Trend Data'!$M$5:$M$2085,"&lt;&gt;Internal / promotion")</f>
        <v>456</v>
      </c>
      <c r="D52" s="32" t="n">
        <f aca="false">SUMIFS('Trend Data'!$K$5:$K$2085,'Trend Data'!$G$5:$G$2085,$A52,'Trend Data'!$M$5:$M$2085,"&lt;&gt;Internal / promotion")</f>
        <v>70015</v>
      </c>
      <c r="E52" s="31" t="n">
        <f aca="false">SUMIFS('Trend Data'!$H$5:$H$2085,'Trend Data'!$G$5:$G$2085,$A52,'Trend Data'!$M$5:$M$2085,"Corporate discount")</f>
        <v>20</v>
      </c>
      <c r="F52" s="31" t="n">
        <f aca="false">SUMIFS('Trend Data'!$H$5:$H$2085,'Trend Data'!$G$5:$G$2085,$A52,'Trend Data'!$M$5:$M$2085,"Aggregator BOGO")</f>
        <v>388</v>
      </c>
    </row>
    <row r="53" customFormat="false" ht="15" hidden="false" customHeight="false" outlineLevel="0" collapsed="false">
      <c r="A53" s="33" t="s">
        <v>107</v>
      </c>
      <c r="B53" s="31" t="n">
        <f aca="false">SUMIFS('Trend Data'!$H$5:$H$2085,'Trend Data'!$G$5:$G$2085,$A53,'Trend Data'!$M$5:$M$2085,"&lt;&gt;Internal / promotion")</f>
        <v>201</v>
      </c>
      <c r="C53" s="31" t="n">
        <f aca="false">SUMIFS('Trend Data'!$J$5:$J$2085,'Trend Data'!$G$5:$G$2085,$A53,'Trend Data'!$M$5:$M$2085,"&lt;&gt;Internal / promotion")</f>
        <v>222</v>
      </c>
      <c r="D53" s="32" t="n">
        <f aca="false">SUMIFS('Trend Data'!$K$5:$K$2085,'Trend Data'!$G$5:$G$2085,$A53,'Trend Data'!$M$5:$M$2085,"&lt;&gt;Internal / promotion")</f>
        <v>29360.5</v>
      </c>
      <c r="E53" s="31" t="n">
        <f aca="false">SUMIFS('Trend Data'!$H$5:$H$2085,'Trend Data'!$G$5:$G$2085,$A53,'Trend Data'!$M$5:$M$2085,"Corporate discount")</f>
        <v>16</v>
      </c>
      <c r="F53" s="31" t="n">
        <f aca="false">SUMIFS('Trend Data'!$H$5:$H$2085,'Trend Data'!$G$5:$G$2085,$A53,'Trend Data'!$M$5:$M$2085,"Aggregator BOGO")</f>
        <v>164</v>
      </c>
    </row>
    <row r="54" customFormat="false" ht="15" hidden="false" customHeight="false" outlineLevel="0" collapsed="false">
      <c r="A54" s="33" t="s">
        <v>108</v>
      </c>
      <c r="B54" s="31" t="n">
        <f aca="false">SUMIFS('Trend Data'!$H$5:$H$2085,'Trend Data'!$G$5:$G$2085,$A54,'Trend Data'!$M$5:$M$2085,"&lt;&gt;Internal / promotion")</f>
        <v>374</v>
      </c>
      <c r="C54" s="31" t="n">
        <f aca="false">SUMIFS('Trend Data'!$J$5:$J$2085,'Trend Data'!$G$5:$G$2085,$A54,'Trend Data'!$M$5:$M$2085,"&lt;&gt;Internal / promotion")</f>
        <v>392</v>
      </c>
      <c r="D54" s="32" t="n">
        <f aca="false">SUMIFS('Trend Data'!$K$5:$K$2085,'Trend Data'!$G$5:$G$2085,$A54,'Trend Data'!$M$5:$M$2085,"&lt;&gt;Internal / promotion")</f>
        <v>61061.75</v>
      </c>
      <c r="E54" s="31" t="n">
        <f aca="false">SUMIFS('Trend Data'!$H$5:$H$2085,'Trend Data'!$G$5:$G$2085,$A54,'Trend Data'!$M$5:$M$2085,"Corporate discount")</f>
        <v>13</v>
      </c>
      <c r="F54" s="31" t="n">
        <f aca="false">SUMIFS('Trend Data'!$H$5:$H$2085,'Trend Data'!$G$5:$G$2085,$A54,'Trend Data'!$M$5:$M$2085,"Aggregator BOGO")</f>
        <v>345</v>
      </c>
    </row>
    <row r="55" customFormat="false" ht="15" hidden="false" customHeight="false" outlineLevel="0" collapsed="false">
      <c r="A55" s="33" t="s">
        <v>109</v>
      </c>
      <c r="B55" s="31" t="n">
        <f aca="false">SUMIFS('Trend Data'!$H$5:$H$2085,'Trend Data'!$G$5:$G$2085,$A55,'Trend Data'!$M$5:$M$2085,"&lt;&gt;Internal / promotion")</f>
        <v>301</v>
      </c>
      <c r="C55" s="31" t="n">
        <f aca="false">SUMIFS('Trend Data'!$J$5:$J$2085,'Trend Data'!$G$5:$G$2085,$A55,'Trend Data'!$M$5:$M$2085,"&lt;&gt;Internal / promotion")</f>
        <v>312</v>
      </c>
      <c r="D55" s="32" t="n">
        <f aca="false">SUMIFS('Trend Data'!$K$5:$K$2085,'Trend Data'!$G$5:$G$2085,$A55,'Trend Data'!$M$5:$M$2085,"&lt;&gt;Internal / promotion")</f>
        <v>50022.25</v>
      </c>
      <c r="E55" s="31" t="n">
        <f aca="false">SUMIFS('Trend Data'!$H$5:$H$2085,'Trend Data'!$G$5:$G$2085,$A55,'Trend Data'!$M$5:$M$2085,"Corporate discount")</f>
        <v>11</v>
      </c>
      <c r="F55" s="31" t="n">
        <f aca="false">SUMIFS('Trend Data'!$H$5:$H$2085,'Trend Data'!$G$5:$G$2085,$A55,'Trend Data'!$M$5:$M$2085,"Aggregator BOGO")</f>
        <v>285</v>
      </c>
    </row>
    <row r="56" customFormat="false" ht="15" hidden="false" customHeight="false" outlineLevel="0" collapsed="false">
      <c r="A56" s="33" t="s">
        <v>110</v>
      </c>
      <c r="B56" s="31" t="n">
        <f aca="false">SUMIFS('Trend Data'!$H$5:$H$2085,'Trend Data'!$G$5:$G$2085,$A56,'Trend Data'!$M$5:$M$2085,"&lt;&gt;Internal / promotion")</f>
        <v>221</v>
      </c>
      <c r="C56" s="31" t="n">
        <f aca="false">SUMIFS('Trend Data'!$J$5:$J$2085,'Trend Data'!$G$5:$G$2085,$A56,'Trend Data'!$M$5:$M$2085,"&lt;&gt;Internal / promotion")</f>
        <v>227</v>
      </c>
      <c r="D56" s="32" t="n">
        <f aca="false">SUMIFS('Trend Data'!$K$5:$K$2085,'Trend Data'!$G$5:$G$2085,$A56,'Trend Data'!$M$5:$M$2085,"&lt;&gt;Internal / promotion")</f>
        <v>36656.75</v>
      </c>
      <c r="E56" s="31" t="n">
        <f aca="false">SUMIFS('Trend Data'!$H$5:$H$2085,'Trend Data'!$G$5:$G$2085,$A56,'Trend Data'!$M$5:$M$2085,"Corporate discount")</f>
        <v>13</v>
      </c>
      <c r="F56" s="31" t="n">
        <f aca="false">SUMIFS('Trend Data'!$H$5:$H$2085,'Trend Data'!$G$5:$G$2085,$A56,'Trend Data'!$M$5:$M$2085,"Aggregator BOGO")</f>
        <v>205</v>
      </c>
    </row>
    <row r="57" customFormat="false" ht="15" hidden="false" customHeight="false" outlineLevel="0" collapsed="false">
      <c r="A57" s="33" t="s">
        <v>111</v>
      </c>
      <c r="B57" s="31" t="n">
        <f aca="false">SUMIFS('Trend Data'!$H$5:$H$2085,'Trend Data'!$G$5:$G$2085,$A57,'Trend Data'!$M$5:$M$2085,"&lt;&gt;Internal / promotion")</f>
        <v>350</v>
      </c>
      <c r="C57" s="31" t="n">
        <f aca="false">SUMIFS('Trend Data'!$J$5:$J$2085,'Trend Data'!$G$5:$G$2085,$A57,'Trend Data'!$M$5:$M$2085,"&lt;&gt;Internal / promotion")</f>
        <v>362</v>
      </c>
      <c r="D57" s="32" t="n">
        <f aca="false">SUMIFS('Trend Data'!$K$5:$K$2085,'Trend Data'!$G$5:$G$2085,$A57,'Trend Data'!$M$5:$M$2085,"&lt;&gt;Internal / promotion")</f>
        <v>57869.5</v>
      </c>
      <c r="E57" s="31" t="n">
        <f aca="false">SUMIFS('Trend Data'!$H$5:$H$2085,'Trend Data'!$G$5:$G$2085,$A57,'Trend Data'!$M$5:$M$2085,"Corporate discount")</f>
        <v>29</v>
      </c>
      <c r="F57" s="31" t="n">
        <f aca="false">SUMIFS('Trend Data'!$H$5:$H$2085,'Trend Data'!$G$5:$G$2085,$A57,'Trend Data'!$M$5:$M$2085,"Aggregator BOGO")</f>
        <v>311</v>
      </c>
    </row>
    <row r="58" customFormat="false" ht="15" hidden="false" customHeight="false" outlineLevel="0" collapsed="false">
      <c r="A58" s="33" t="s">
        <v>112</v>
      </c>
      <c r="B58" s="31" t="n">
        <f aca="false">SUMIFS('Trend Data'!$H$5:$H$2085,'Trend Data'!$G$5:$G$2085,$A58,'Trend Data'!$M$5:$M$2085,"&lt;&gt;Internal / promotion")</f>
        <v>419</v>
      </c>
      <c r="C58" s="31" t="n">
        <f aca="false">SUMIFS('Trend Data'!$J$5:$J$2085,'Trend Data'!$G$5:$G$2085,$A58,'Trend Data'!$M$5:$M$2085,"&lt;&gt;Internal / promotion")</f>
        <v>985</v>
      </c>
      <c r="D58" s="32" t="n">
        <f aca="false">SUMIFS('Trend Data'!$K$5:$K$2085,'Trend Data'!$G$5:$G$2085,$A58,'Trend Data'!$M$5:$M$2085,"&lt;&gt;Internal / promotion")</f>
        <v>43002.05</v>
      </c>
      <c r="E58" s="31" t="n">
        <f aca="false">SUMIFS('Trend Data'!$H$5:$H$2085,'Trend Data'!$G$5:$G$2085,$A58,'Trend Data'!$M$5:$M$2085,"Corporate discount")</f>
        <v>200</v>
      </c>
      <c r="F58" s="31" t="n">
        <f aca="false">SUMIFS('Trend Data'!$H$5:$H$2085,'Trend Data'!$G$5:$G$2085,$A58,'Trend Data'!$M$5:$M$2085,"Aggregator BOGO")</f>
        <v>216</v>
      </c>
    </row>
    <row r="59" customFormat="false" ht="15" hidden="false" customHeight="false" outlineLevel="0" collapsed="false">
      <c r="A59" s="33" t="s">
        <v>113</v>
      </c>
      <c r="B59" s="31" t="n">
        <f aca="false">SUMIFS('Trend Data'!$H$5:$H$2085,'Trend Data'!$G$5:$G$2085,$A59,'Trend Data'!$M$5:$M$2085,"&lt;&gt;Internal / promotion")</f>
        <v>706</v>
      </c>
      <c r="C59" s="31" t="n">
        <f aca="false">SUMIFS('Trend Data'!$J$5:$J$2085,'Trend Data'!$G$5:$G$2085,$A59,'Trend Data'!$M$5:$M$2085,"&lt;&gt;Internal / promotion")</f>
        <v>1954</v>
      </c>
      <c r="D59" s="32" t="n">
        <f aca="false">SUMIFS('Trend Data'!$K$5:$K$2085,'Trend Data'!$G$5:$G$2085,$A59,'Trend Data'!$M$5:$M$2085,"&lt;&gt;Internal / promotion")</f>
        <v>48519.2</v>
      </c>
      <c r="E59" s="31" t="n">
        <f aca="false">SUMIFS('Trend Data'!$H$5:$H$2085,'Trend Data'!$G$5:$G$2085,$A59,'Trend Data'!$M$5:$M$2085,"Corporate discount")</f>
        <v>482</v>
      </c>
      <c r="F59" s="31" t="n">
        <f aca="false">SUMIFS('Trend Data'!$H$5:$H$2085,'Trend Data'!$G$5:$G$2085,$A59,'Trend Data'!$M$5:$M$2085,"Aggregator BOGO")</f>
        <v>220</v>
      </c>
    </row>
    <row r="60" customFormat="false" ht="15" hidden="false" customHeight="false" outlineLevel="0" collapsed="false">
      <c r="A60" s="33" t="s">
        <v>114</v>
      </c>
      <c r="B60" s="31" t="n">
        <f aca="false">SUMIFS('Trend Data'!$H$5:$H$2085,'Trend Data'!$G$5:$G$2085,$A60,'Trend Data'!$M$5:$M$2085,"&lt;&gt;Internal / promotion")</f>
        <v>797</v>
      </c>
      <c r="C60" s="31" t="n">
        <f aca="false">SUMIFS('Trend Data'!$J$5:$J$2085,'Trend Data'!$G$5:$G$2085,$A60,'Trend Data'!$M$5:$M$2085,"&lt;&gt;Internal / promotion")</f>
        <v>2419</v>
      </c>
      <c r="D60" s="32" t="n">
        <f aca="false">SUMIFS('Trend Data'!$K$5:$K$2085,'Trend Data'!$G$5:$G$2085,$A60,'Trend Data'!$M$5:$M$2085,"&lt;&gt;Internal / promotion")</f>
        <v>50611.6</v>
      </c>
      <c r="E60" s="31" t="n">
        <f aca="false">SUMIFS('Trend Data'!$H$5:$H$2085,'Trend Data'!$G$5:$G$2085,$A60,'Trend Data'!$M$5:$M$2085,"Corporate discount")</f>
        <v>605</v>
      </c>
      <c r="F60" s="31" t="n">
        <f aca="false">SUMIFS('Trend Data'!$H$5:$H$2085,'Trend Data'!$G$5:$G$2085,$A60,'Trend Data'!$M$5:$M$2085,"Aggregator BOGO")</f>
        <v>191</v>
      </c>
    </row>
    <row r="61" customFormat="false" ht="15" hidden="false" customHeight="false" outlineLevel="0" collapsed="false">
      <c r="A61" s="33" t="s">
        <v>115</v>
      </c>
      <c r="B61" s="31" t="n">
        <f aca="false">SUMIFS('Trend Data'!$H$5:$H$2085,'Trend Data'!$G$5:$G$2085,$A61,'Trend Data'!$M$5:$M$2085,"&lt;&gt;Internal / promotion")</f>
        <v>892</v>
      </c>
      <c r="C61" s="31" t="n">
        <f aca="false">SUMIFS('Trend Data'!$J$5:$J$2085,'Trend Data'!$G$5:$G$2085,$A61,'Trend Data'!$M$5:$M$2085,"&lt;&gt;Internal / promotion")</f>
        <v>2915</v>
      </c>
      <c r="D61" s="32" t="n">
        <f aca="false">SUMIFS('Trend Data'!$K$5:$K$2085,'Trend Data'!$G$5:$G$2085,$A61,'Trend Data'!$M$5:$M$2085,"&lt;&gt;Internal / promotion")</f>
        <v>56794.95</v>
      </c>
      <c r="E61" s="31" t="n">
        <f aca="false">SUMIFS('Trend Data'!$H$5:$H$2085,'Trend Data'!$G$5:$G$2085,$A61,'Trend Data'!$M$5:$M$2085,"Corporate discount")</f>
        <v>701</v>
      </c>
      <c r="F61" s="31" t="n">
        <f aca="false">SUMIFS('Trend Data'!$H$5:$H$2085,'Trend Data'!$G$5:$G$2085,$A61,'Trend Data'!$M$5:$M$2085,"Aggregator BOGO")</f>
        <v>185</v>
      </c>
    </row>
    <row r="62" customFormat="false" ht="15" hidden="false" customHeight="false" outlineLevel="0" collapsed="false">
      <c r="A62" s="33" t="s">
        <v>87</v>
      </c>
      <c r="B62" s="31" t="n">
        <f aca="false">SUMIFS('Trend Data'!$H$5:$H$2085,'Trend Data'!$G$5:$G$2085,$A62,'Trend Data'!$M$5:$M$2085,"&lt;&gt;Internal / promotion")</f>
        <v>876</v>
      </c>
      <c r="C62" s="31" t="n">
        <f aca="false">SUMIFS('Trend Data'!$J$5:$J$2085,'Trend Data'!$G$5:$G$2085,$A62,'Trend Data'!$M$5:$M$2085,"&lt;&gt;Internal / promotion")</f>
        <v>2648</v>
      </c>
      <c r="D62" s="32" t="n">
        <f aca="false">SUMIFS('Trend Data'!$K$5:$K$2085,'Trend Data'!$G$5:$G$2085,$A62,'Trend Data'!$M$5:$M$2085,"&lt;&gt;Internal / promotion")</f>
        <v>56366.7</v>
      </c>
      <c r="E62" s="31" t="n">
        <f aca="false">SUMIFS('Trend Data'!$H$5:$H$2085,'Trend Data'!$G$5:$G$2085,$A62,'Trend Data'!$M$5:$M$2085,"Corporate discount")</f>
        <v>669</v>
      </c>
      <c r="F62" s="31" t="n">
        <f aca="false">SUMIFS('Trend Data'!$H$5:$H$2085,'Trend Data'!$G$5:$G$2085,$A62,'Trend Data'!$M$5:$M$2085,"Aggregator BOGO")</f>
        <v>204</v>
      </c>
    </row>
    <row r="63" customFormat="false" ht="15" hidden="false" customHeight="false" outlineLevel="0" collapsed="false">
      <c r="A63" s="33" t="s">
        <v>67</v>
      </c>
      <c r="B63" s="31" t="n">
        <f aca="false">SUMIFS('Trend Data'!$H$5:$H$2085,'Trend Data'!$G$5:$G$2085,$A63,'Trend Data'!$M$5:$M$2085,"&lt;&gt;Internal / promotion")</f>
        <v>351</v>
      </c>
      <c r="C63" s="31" t="n">
        <f aca="false">SUMIFS('Trend Data'!$J$5:$J$2085,'Trend Data'!$G$5:$G$2085,$A63,'Trend Data'!$M$5:$M$2085,"&lt;&gt;Internal / promotion")</f>
        <v>1042</v>
      </c>
      <c r="D63" s="32" t="n">
        <f aca="false">SUMIFS('Trend Data'!$K$5:$K$2085,'Trend Data'!$G$5:$G$2085,$A63,'Trend Data'!$M$5:$M$2085,"&lt;&gt;Internal / promotion")</f>
        <v>21132.95</v>
      </c>
      <c r="E63" s="31" t="n">
        <f aca="false">SUMIFS('Trend Data'!$H$5:$H$2085,'Trend Data'!$G$5:$G$2085,$A63,'Trend Data'!$M$5:$M$2085,"Corporate discount")</f>
        <v>266</v>
      </c>
      <c r="F63" s="31" t="n">
        <f aca="false">SUMIFS('Trend Data'!$H$5:$H$2085,'Trend Data'!$G$5:$G$2085,$A63,'Trend Data'!$M$5:$M$2085,"Aggregator BOGO")</f>
        <v>85</v>
      </c>
    </row>
    <row r="64" customFormat="false" ht="15" hidden="false" customHeight="false" outlineLevel="0" collapsed="false">
      <c r="A64" s="8" t="s">
        <v>116</v>
      </c>
    </row>
    <row r="66" customFormat="false" ht="15" hidden="false" customHeight="false" outlineLevel="0" collapsed="false">
      <c r="A66" s="19" t="s">
        <v>117</v>
      </c>
    </row>
    <row r="67" customFormat="false" ht="15" hidden="false" customHeight="false" outlineLevel="0" collapsed="false">
      <c r="A67" s="30" t="s">
        <v>43</v>
      </c>
      <c r="B67" s="30" t="s">
        <v>33</v>
      </c>
      <c r="C67" s="30" t="s">
        <v>118</v>
      </c>
      <c r="D67" s="30" t="s">
        <v>44</v>
      </c>
      <c r="E67" s="30" t="s">
        <v>45</v>
      </c>
      <c r="F67" s="30" t="s">
        <v>46</v>
      </c>
    </row>
    <row r="68" customFormat="false" ht="15" hidden="false" customHeight="false" outlineLevel="0" collapsed="false">
      <c r="A68" s="21" t="s">
        <v>119</v>
      </c>
      <c r="B68" s="21" t="s">
        <v>36</v>
      </c>
      <c r="C68" s="21" t="s">
        <v>120</v>
      </c>
      <c r="D68" s="21" t="n">
        <f aca="false">SUMIFS('Weekly Log'!$H$5:$H$636,'Weekly Log'!$G$5:$G$636,Dashboard!$C$4,'Weekly Log'!$B$5:$B$636,$A68,'Weekly Log'!$N$5:$N$636,$B68)</f>
        <v>1</v>
      </c>
      <c r="E68" s="17" t="n">
        <f aca="false">SUMIFS('Weekly Log'!$J$5:$J$636,'Weekly Log'!$G$5:$G$636,Dashboard!$C$4,'Weekly Log'!$B$5:$B$636,$A68,'Weekly Log'!$N$5:$N$636,$B68)</f>
        <v>1</v>
      </c>
      <c r="F68" s="21" t="n">
        <f aca="false">SUMIFS('Month Data'!$H$5:$H$42,'Month Data'!$B$5:$B$42,$A68,'Month Data'!$N$5:$N$42,$B68)</f>
        <v>1</v>
      </c>
      <c r="K68" s="36"/>
      <c r="M68" s="36"/>
    </row>
    <row r="69" customFormat="false" ht="15" hidden="false" customHeight="false" outlineLevel="0" collapsed="false">
      <c r="A69" s="21" t="s">
        <v>121</v>
      </c>
      <c r="B69" s="21" t="s">
        <v>37</v>
      </c>
      <c r="C69" s="21" t="s">
        <v>122</v>
      </c>
      <c r="D69" s="21" t="n">
        <f aca="false">SUMIFS('Weekly Log'!$H$5:$H$636,'Weekly Log'!$G$5:$G$636,Dashboard!$C$4,'Weekly Log'!$B$5:$B$636,$A69,'Weekly Log'!$N$5:$N$636,$B69)</f>
        <v>7</v>
      </c>
      <c r="E69" s="17" t="n">
        <f aca="false">SUMIFS('Weekly Log'!$J$5:$J$636,'Weekly Log'!$G$5:$G$636,Dashboard!$C$4,'Weekly Log'!$B$5:$B$636,$A69,'Weekly Log'!$N$5:$N$636,$B69)</f>
        <v>7</v>
      </c>
      <c r="F69" s="21" t="n">
        <f aca="false">SUMIFS('Month Data'!$H$5:$H$42,'Month Data'!$B$5:$B$42,$A69,'Month Data'!$N$5:$N$42,$B69)</f>
        <v>13</v>
      </c>
      <c r="K69" s="36"/>
      <c r="M69" s="36"/>
    </row>
    <row r="70" customFormat="false" ht="15" hidden="false" customHeight="false" outlineLevel="0" collapsed="false">
      <c r="A70" s="21" t="s">
        <v>123</v>
      </c>
      <c r="B70" s="21" t="s">
        <v>35</v>
      </c>
      <c r="C70" s="21" t="s">
        <v>124</v>
      </c>
      <c r="D70" s="21" t="n">
        <f aca="false">SUMIFS('Weekly Log'!$H$5:$H$636,'Weekly Log'!$G$5:$G$636,Dashboard!$C$4,'Weekly Log'!$B$5:$B$636,$A70,'Weekly Log'!$N$5:$N$636,$B70)</f>
        <v>31</v>
      </c>
      <c r="E70" s="17" t="n">
        <f aca="false">SUMIFS('Weekly Log'!$J$5:$J$636,'Weekly Log'!$G$5:$G$636,Dashboard!$C$4,'Weekly Log'!$B$5:$B$636,$A70,'Weekly Log'!$N$5:$N$636,$B70)</f>
        <v>36</v>
      </c>
      <c r="F70" s="21" t="n">
        <f aca="false">SUMIFS('Month Data'!$H$5:$H$42,'Month Data'!$B$5:$B$42,$A70,'Month Data'!$N$5:$N$42,$B70)</f>
        <v>63</v>
      </c>
      <c r="K70" s="36"/>
      <c r="M70" s="36"/>
    </row>
    <row r="71" customFormat="false" ht="15" hidden="false" customHeight="false" outlineLevel="0" collapsed="false">
      <c r="A71" s="21" t="s">
        <v>125</v>
      </c>
      <c r="B71" s="21" t="s">
        <v>35</v>
      </c>
      <c r="C71" s="21" t="s">
        <v>120</v>
      </c>
      <c r="D71" s="21" t="n">
        <f aca="false">SUMIFS('Weekly Log'!$H$5:$H$636,'Weekly Log'!$G$5:$G$636,Dashboard!$C$4,'Weekly Log'!$B$5:$B$636,$A71,'Weekly Log'!$N$5:$N$636,$B71)</f>
        <v>1</v>
      </c>
      <c r="E71" s="17" t="n">
        <f aca="false">SUMIFS('Weekly Log'!$J$5:$J$636,'Weekly Log'!$G$5:$G$636,Dashboard!$C$4,'Weekly Log'!$B$5:$B$636,$A71,'Weekly Log'!$N$5:$N$636,$B71)</f>
        <v>3</v>
      </c>
      <c r="F71" s="21" t="n">
        <f aca="false">SUMIFS('Month Data'!$H$5:$H$42,'Month Data'!$B$5:$B$42,$A71,'Month Data'!$N$5:$N$42,$B71)</f>
        <v>1</v>
      </c>
      <c r="K71" s="36"/>
      <c r="M71" s="36"/>
    </row>
    <row r="72" customFormat="false" ht="15" hidden="false" customHeight="false" outlineLevel="0" collapsed="false">
      <c r="A72" s="21" t="s">
        <v>126</v>
      </c>
      <c r="B72" s="21" t="s">
        <v>35</v>
      </c>
      <c r="C72" s="21" t="s">
        <v>127</v>
      </c>
      <c r="D72" s="21" t="n">
        <f aca="false">SUMIFS('Weekly Log'!$H$5:$H$636,'Weekly Log'!$G$5:$G$636,Dashboard!$C$4,'Weekly Log'!$B$5:$B$636,$A72,'Weekly Log'!$N$5:$N$636,$B72)</f>
        <v>0</v>
      </c>
      <c r="E72" s="17" t="n">
        <f aca="false">SUMIFS('Weekly Log'!$J$5:$J$636,'Weekly Log'!$G$5:$G$636,Dashboard!$C$4,'Weekly Log'!$B$5:$B$636,$A72,'Weekly Log'!$N$5:$N$636,$B72)</f>
        <v>0</v>
      </c>
      <c r="F72" s="21" t="n">
        <f aca="false">SUMIFS('Month Data'!$H$5:$H$42,'Month Data'!$B$5:$B$42,$A72,'Month Data'!$N$5:$N$42,$B72)</f>
        <v>1</v>
      </c>
      <c r="K72" s="36"/>
      <c r="M72" s="36"/>
    </row>
    <row r="73" customFormat="false" ht="15" hidden="false" customHeight="false" outlineLevel="0" collapsed="false">
      <c r="A73" s="19" t="s">
        <v>28</v>
      </c>
      <c r="D73" s="20" t="n">
        <f aca="false">SUM(D68:D72)</f>
        <v>40</v>
      </c>
      <c r="E73" s="20" t="n">
        <f aca="false">SUM(E68:E72)</f>
        <v>47</v>
      </c>
      <c r="F73" s="20" t="n">
        <f aca="false">SUM(F68:F72)</f>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6"/>
    <col collapsed="false" customWidth="true" hidden="false" outlineLevel="0" max="3" min="3" style="0" width="12"/>
    <col collapsed="false" customWidth="true" hidden="false" outlineLevel="0" max="4" min="4" style="0" width="28"/>
    <col collapsed="false" customWidth="true" hidden="false" outlineLevel="0" max="6" min="5" style="0" width="22"/>
    <col collapsed="false" customWidth="true" hidden="false" outlineLevel="0" max="7" min="7" style="0" width="16"/>
    <col collapsed="false" customWidth="true" hidden="false" outlineLevel="0" max="8" min="8" style="0" width="14"/>
    <col collapsed="false" customWidth="true" hidden="false" outlineLevel="0" max="9" min="9" style="0" width="30"/>
  </cols>
  <sheetData>
    <row r="1" customFormat="false" ht="19.7" hidden="false" customHeight="false" outlineLevel="0" collapsed="false">
      <c r="A1" s="26" t="s">
        <v>128</v>
      </c>
    </row>
    <row r="2" customFormat="false" ht="15" hidden="false" customHeight="false" outlineLevel="0" collapsed="false">
      <c r="A2" s="8" t="s">
        <v>129</v>
      </c>
    </row>
    <row r="4" customFormat="false" ht="23.85" hidden="false" customHeight="false" outlineLevel="0" collapsed="false">
      <c r="A4" s="30" t="s">
        <v>130</v>
      </c>
      <c r="B4" s="30" t="s">
        <v>131</v>
      </c>
      <c r="C4" s="30" t="s">
        <v>132</v>
      </c>
      <c r="D4" s="30" t="s">
        <v>16</v>
      </c>
      <c r="E4" s="30" t="s">
        <v>21</v>
      </c>
      <c r="F4" s="30" t="s">
        <v>33</v>
      </c>
      <c r="G4" s="30" t="s">
        <v>31</v>
      </c>
      <c r="H4" s="30" t="s">
        <v>133</v>
      </c>
      <c r="I4" s="30" t="s">
        <v>134</v>
      </c>
    </row>
    <row r="5" customFormat="false" ht="15" hidden="false" customHeight="false" outlineLevel="0" collapsed="false">
      <c r="A5" s="21" t="s">
        <v>123</v>
      </c>
      <c r="B5" s="21" t="s">
        <v>124</v>
      </c>
      <c r="C5" s="21"/>
      <c r="D5" s="37" t="s">
        <v>135</v>
      </c>
      <c r="E5" s="37" t="s">
        <v>135</v>
      </c>
      <c r="F5" s="37" t="s">
        <v>136</v>
      </c>
      <c r="G5" s="21" t="s">
        <v>67</v>
      </c>
      <c r="H5" s="21" t="n">
        <v>591</v>
      </c>
      <c r="I5" s="21" t="s">
        <v>137</v>
      </c>
    </row>
    <row r="6" customFormat="false" ht="15" hidden="false" customHeight="false" outlineLevel="0" collapsed="false">
      <c r="A6" s="21" t="s">
        <v>138</v>
      </c>
      <c r="B6" s="21" t="s">
        <v>139</v>
      </c>
      <c r="C6" s="21" t="s">
        <v>140</v>
      </c>
      <c r="D6" s="37" t="s">
        <v>141</v>
      </c>
      <c r="E6" s="37" t="s">
        <v>26</v>
      </c>
      <c r="F6" s="37" t="s">
        <v>142</v>
      </c>
      <c r="G6" s="21" t="s">
        <v>87</v>
      </c>
      <c r="H6" s="21" t="n">
        <v>519</v>
      </c>
      <c r="I6" s="21" t="s">
        <v>137</v>
      </c>
    </row>
    <row r="7" customFormat="false" ht="15" hidden="false" customHeight="false" outlineLevel="0" collapsed="false">
      <c r="A7" s="21" t="s">
        <v>143</v>
      </c>
      <c r="B7" s="21" t="s">
        <v>144</v>
      </c>
      <c r="C7" s="21"/>
      <c r="D7" s="37" t="s">
        <v>145</v>
      </c>
      <c r="E7" s="37" t="s">
        <v>27</v>
      </c>
      <c r="F7" s="37" t="s">
        <v>36</v>
      </c>
      <c r="G7" s="21" t="s">
        <v>112</v>
      </c>
      <c r="H7" s="21" t="n">
        <v>516</v>
      </c>
      <c r="I7" s="21" t="s">
        <v>137</v>
      </c>
    </row>
    <row r="8" customFormat="false" ht="15" hidden="false" customHeight="false" outlineLevel="0" collapsed="false">
      <c r="A8" s="21" t="s">
        <v>146</v>
      </c>
      <c r="B8" s="21" t="s">
        <v>147</v>
      </c>
      <c r="C8" s="21"/>
      <c r="D8" s="37" t="s">
        <v>148</v>
      </c>
      <c r="E8" s="37" t="s">
        <v>27</v>
      </c>
      <c r="F8" s="37" t="s">
        <v>36</v>
      </c>
      <c r="G8" s="21" t="s">
        <v>112</v>
      </c>
      <c r="H8" s="21" t="n">
        <v>454</v>
      </c>
      <c r="I8" s="21" t="s">
        <v>137</v>
      </c>
    </row>
    <row r="9" customFormat="false" ht="15" hidden="false" customHeight="false" outlineLevel="0" collapsed="false">
      <c r="A9" s="21" t="s">
        <v>149</v>
      </c>
      <c r="B9" s="21" t="s">
        <v>139</v>
      </c>
      <c r="C9" s="21" t="s">
        <v>140</v>
      </c>
      <c r="D9" s="37" t="s">
        <v>141</v>
      </c>
      <c r="E9" s="37" t="s">
        <v>26</v>
      </c>
      <c r="F9" s="37" t="s">
        <v>36</v>
      </c>
      <c r="G9" s="21" t="s">
        <v>67</v>
      </c>
      <c r="H9" s="21" t="n">
        <v>433</v>
      </c>
      <c r="I9" s="21" t="s">
        <v>137</v>
      </c>
    </row>
    <row r="10" customFormat="false" ht="15" hidden="false" customHeight="false" outlineLevel="0" collapsed="false">
      <c r="A10" s="21" t="s">
        <v>150</v>
      </c>
      <c r="B10" s="21" t="s">
        <v>151</v>
      </c>
      <c r="C10" s="21"/>
      <c r="D10" s="37" t="s">
        <v>152</v>
      </c>
      <c r="E10" s="37" t="s">
        <v>26</v>
      </c>
      <c r="F10" s="37" t="s">
        <v>153</v>
      </c>
      <c r="G10" s="21" t="s">
        <v>67</v>
      </c>
      <c r="H10" s="21" t="n">
        <v>282</v>
      </c>
      <c r="I10" s="21" t="s">
        <v>137</v>
      </c>
    </row>
    <row r="11" customFormat="false" ht="15" hidden="false" customHeight="false" outlineLevel="0" collapsed="false">
      <c r="A11" s="21" t="s">
        <v>154</v>
      </c>
      <c r="B11" s="21" t="s">
        <v>155</v>
      </c>
      <c r="C11" s="21" t="s">
        <v>140</v>
      </c>
      <c r="D11" s="37" t="s">
        <v>156</v>
      </c>
      <c r="E11" s="37" t="s">
        <v>26</v>
      </c>
      <c r="F11" s="37" t="s">
        <v>153</v>
      </c>
      <c r="G11" s="21" t="s">
        <v>67</v>
      </c>
      <c r="H11" s="21" t="n">
        <v>270</v>
      </c>
      <c r="I11" s="21" t="s">
        <v>137</v>
      </c>
    </row>
    <row r="12" customFormat="false" ht="15" hidden="false" customHeight="false" outlineLevel="0" collapsed="false">
      <c r="A12" s="21" t="s">
        <v>157</v>
      </c>
      <c r="B12" s="21" t="s">
        <v>158</v>
      </c>
      <c r="C12" s="21"/>
      <c r="D12" s="37" t="s">
        <v>159</v>
      </c>
      <c r="E12" s="37" t="s">
        <v>26</v>
      </c>
      <c r="F12" s="37" t="s">
        <v>153</v>
      </c>
      <c r="G12" s="21" t="s">
        <v>67</v>
      </c>
      <c r="H12" s="21" t="n">
        <v>257</v>
      </c>
      <c r="I12" s="21" t="s">
        <v>137</v>
      </c>
    </row>
    <row r="13" customFormat="false" ht="15" hidden="false" customHeight="false" outlineLevel="0" collapsed="false">
      <c r="A13" s="21" t="s">
        <v>160</v>
      </c>
      <c r="B13" s="21" t="s">
        <v>158</v>
      </c>
      <c r="C13" s="21"/>
      <c r="D13" s="37" t="s">
        <v>159</v>
      </c>
      <c r="E13" s="37" t="s">
        <v>26</v>
      </c>
      <c r="F13" s="37" t="s">
        <v>36</v>
      </c>
      <c r="G13" s="21" t="s">
        <v>67</v>
      </c>
      <c r="H13" s="21" t="n">
        <v>254</v>
      </c>
      <c r="I13" s="21" t="s">
        <v>137</v>
      </c>
    </row>
    <row r="14" customFormat="false" ht="15" hidden="false" customHeight="false" outlineLevel="0" collapsed="false">
      <c r="A14" s="21" t="s">
        <v>161</v>
      </c>
      <c r="B14" s="21" t="s">
        <v>151</v>
      </c>
      <c r="C14" s="21"/>
      <c r="D14" s="37" t="s">
        <v>152</v>
      </c>
      <c r="E14" s="37" t="s">
        <v>26</v>
      </c>
      <c r="F14" s="37" t="s">
        <v>36</v>
      </c>
      <c r="G14" s="21" t="s">
        <v>67</v>
      </c>
      <c r="H14" s="21" t="n">
        <v>248</v>
      </c>
      <c r="I14" s="21" t="s">
        <v>137</v>
      </c>
    </row>
    <row r="15" customFormat="false" ht="15" hidden="false" customHeight="false" outlineLevel="0" collapsed="false">
      <c r="A15" s="21" t="s">
        <v>162</v>
      </c>
      <c r="B15" s="21" t="s">
        <v>163</v>
      </c>
      <c r="C15" s="21"/>
      <c r="D15" s="37" t="s">
        <v>164</v>
      </c>
      <c r="E15" s="37" t="s">
        <v>27</v>
      </c>
      <c r="F15" s="37" t="s">
        <v>36</v>
      </c>
      <c r="G15" s="21" t="s">
        <v>112</v>
      </c>
      <c r="H15" s="21" t="n">
        <v>210</v>
      </c>
      <c r="I15" s="21" t="s">
        <v>137</v>
      </c>
    </row>
    <row r="16" customFormat="false" ht="15" hidden="false" customHeight="false" outlineLevel="0" collapsed="false">
      <c r="A16" s="21" t="s">
        <v>165</v>
      </c>
      <c r="B16" s="21" t="s">
        <v>166</v>
      </c>
      <c r="C16" s="21" t="s">
        <v>140</v>
      </c>
      <c r="D16" s="37" t="s">
        <v>141</v>
      </c>
      <c r="E16" s="37" t="s">
        <v>26</v>
      </c>
      <c r="F16" s="37" t="s">
        <v>142</v>
      </c>
      <c r="G16" s="21" t="s">
        <v>67</v>
      </c>
      <c r="H16" s="21" t="n">
        <v>198</v>
      </c>
      <c r="I16" s="21" t="s">
        <v>137</v>
      </c>
    </row>
    <row r="17" customFormat="false" ht="15" hidden="false" customHeight="false" outlineLevel="0" collapsed="false">
      <c r="A17" s="21" t="s">
        <v>167</v>
      </c>
      <c r="B17" s="21" t="s">
        <v>168</v>
      </c>
      <c r="C17" s="21"/>
      <c r="D17" s="37" t="s">
        <v>148</v>
      </c>
      <c r="E17" s="37" t="s">
        <v>27</v>
      </c>
      <c r="F17" s="37" t="s">
        <v>153</v>
      </c>
      <c r="G17" s="21" t="s">
        <v>67</v>
      </c>
      <c r="H17" s="21" t="n">
        <v>177</v>
      </c>
      <c r="I17" s="21" t="s">
        <v>137</v>
      </c>
    </row>
    <row r="18" customFormat="false" ht="15" hidden="false" customHeight="false" outlineLevel="0" collapsed="false">
      <c r="A18" s="21" t="s">
        <v>169</v>
      </c>
      <c r="B18" s="21" t="s">
        <v>170</v>
      </c>
      <c r="C18" s="21"/>
      <c r="D18" s="37" t="s">
        <v>145</v>
      </c>
      <c r="E18" s="37" t="s">
        <v>27</v>
      </c>
      <c r="F18" s="37" t="s">
        <v>153</v>
      </c>
      <c r="G18" s="21" t="s">
        <v>67</v>
      </c>
      <c r="H18" s="21" t="n">
        <v>157</v>
      </c>
      <c r="I18" s="21" t="s">
        <v>137</v>
      </c>
    </row>
    <row r="19" customFormat="false" ht="15" hidden="false" customHeight="false" outlineLevel="0" collapsed="false">
      <c r="A19" s="21" t="s">
        <v>171</v>
      </c>
      <c r="B19" s="21" t="s">
        <v>170</v>
      </c>
      <c r="C19" s="21"/>
      <c r="D19" s="37" t="s">
        <v>145</v>
      </c>
      <c r="E19" s="37" t="s">
        <v>27</v>
      </c>
      <c r="F19" s="37" t="s">
        <v>172</v>
      </c>
      <c r="G19" s="21" t="s">
        <v>67</v>
      </c>
      <c r="H19" s="21" t="n">
        <v>152</v>
      </c>
      <c r="I19" s="21" t="s">
        <v>137</v>
      </c>
    </row>
    <row r="20" customFormat="false" ht="15" hidden="false" customHeight="false" outlineLevel="0" collapsed="false">
      <c r="A20" s="21" t="s">
        <v>173</v>
      </c>
      <c r="B20" s="21" t="s">
        <v>174</v>
      </c>
      <c r="C20" s="21"/>
      <c r="D20" s="37" t="s">
        <v>145</v>
      </c>
      <c r="E20" s="37" t="s">
        <v>27</v>
      </c>
      <c r="F20" s="37" t="s">
        <v>175</v>
      </c>
      <c r="G20" s="21" t="s">
        <v>112</v>
      </c>
      <c r="H20" s="21" t="n">
        <v>140</v>
      </c>
      <c r="I20" s="21" t="s">
        <v>137</v>
      </c>
    </row>
    <row r="21" customFormat="false" ht="15" hidden="false" customHeight="false" outlineLevel="0" collapsed="false">
      <c r="A21" s="21" t="s">
        <v>176</v>
      </c>
      <c r="B21" s="21" t="s">
        <v>177</v>
      </c>
      <c r="C21" s="21"/>
      <c r="D21" s="37" t="s">
        <v>145</v>
      </c>
      <c r="E21" s="37" t="s">
        <v>27</v>
      </c>
      <c r="F21" s="37" t="s">
        <v>142</v>
      </c>
      <c r="G21" s="21" t="s">
        <v>112</v>
      </c>
      <c r="H21" s="21" t="n">
        <v>113</v>
      </c>
      <c r="I21" s="21" t="s">
        <v>137</v>
      </c>
    </row>
    <row r="22" customFormat="false" ht="15" hidden="false" customHeight="false" outlineLevel="0" collapsed="false">
      <c r="A22" s="21" t="s">
        <v>178</v>
      </c>
      <c r="B22" s="21" t="s">
        <v>179</v>
      </c>
      <c r="C22" s="21"/>
      <c r="D22" s="37" t="s">
        <v>164</v>
      </c>
      <c r="E22" s="37" t="s">
        <v>27</v>
      </c>
      <c r="F22" s="37" t="s">
        <v>172</v>
      </c>
      <c r="G22" s="21" t="s">
        <v>67</v>
      </c>
      <c r="H22" s="21" t="n">
        <v>102</v>
      </c>
      <c r="I22" s="21" t="s">
        <v>137</v>
      </c>
    </row>
    <row r="23" customFormat="false" ht="15" hidden="false" customHeight="false" outlineLevel="0" collapsed="false">
      <c r="A23" s="21" t="s">
        <v>180</v>
      </c>
      <c r="B23" s="21" t="s">
        <v>177</v>
      </c>
      <c r="C23" s="21"/>
      <c r="D23" s="37" t="s">
        <v>145</v>
      </c>
      <c r="E23" s="37" t="s">
        <v>27</v>
      </c>
      <c r="F23" s="37" t="s">
        <v>142</v>
      </c>
      <c r="G23" s="21" t="s">
        <v>111</v>
      </c>
      <c r="H23" s="21" t="n">
        <v>99</v>
      </c>
      <c r="I23" s="21" t="s">
        <v>137</v>
      </c>
    </row>
    <row r="24" customFormat="false" ht="15" hidden="false" customHeight="false" outlineLevel="0" collapsed="false">
      <c r="A24" s="21" t="s">
        <v>181</v>
      </c>
      <c r="B24" s="21"/>
      <c r="C24" s="21"/>
      <c r="D24" s="37" t="s">
        <v>164</v>
      </c>
      <c r="E24" s="37" t="s">
        <v>27</v>
      </c>
      <c r="F24" s="37" t="s">
        <v>153</v>
      </c>
      <c r="G24" s="21" t="s">
        <v>112</v>
      </c>
      <c r="H24" s="21" t="n">
        <v>97</v>
      </c>
      <c r="I24" s="21" t="s">
        <v>137</v>
      </c>
    </row>
    <row r="25" customFormat="false" ht="15" hidden="false" customHeight="false" outlineLevel="0" collapsed="false">
      <c r="A25" s="21" t="s">
        <v>182</v>
      </c>
      <c r="B25" s="21"/>
      <c r="C25" s="21"/>
      <c r="D25" s="37" t="s">
        <v>148</v>
      </c>
      <c r="E25" s="37" t="s">
        <v>27</v>
      </c>
      <c r="F25" s="37" t="s">
        <v>175</v>
      </c>
      <c r="G25" s="21" t="s">
        <v>67</v>
      </c>
      <c r="H25" s="21" t="n">
        <v>94</v>
      </c>
      <c r="I25" s="21" t="s">
        <v>183</v>
      </c>
    </row>
    <row r="26" customFormat="false" ht="15" hidden="false" customHeight="false" outlineLevel="0" collapsed="false">
      <c r="A26" s="21" t="s">
        <v>184</v>
      </c>
      <c r="B26" s="21" t="s">
        <v>185</v>
      </c>
      <c r="C26" s="21"/>
      <c r="D26" s="37" t="s">
        <v>148</v>
      </c>
      <c r="E26" s="37" t="s">
        <v>27</v>
      </c>
      <c r="F26" s="37" t="s">
        <v>142</v>
      </c>
      <c r="G26" s="21" t="s">
        <v>112</v>
      </c>
      <c r="H26" s="21" t="n">
        <v>85</v>
      </c>
      <c r="I26" s="21" t="s">
        <v>137</v>
      </c>
    </row>
    <row r="27" customFormat="false" ht="15" hidden="false" customHeight="false" outlineLevel="0" collapsed="false">
      <c r="A27" s="21" t="s">
        <v>186</v>
      </c>
      <c r="B27" s="21" t="s">
        <v>139</v>
      </c>
      <c r="C27" s="21"/>
      <c r="D27" s="37" t="s">
        <v>141</v>
      </c>
      <c r="E27" s="37" t="s">
        <v>26</v>
      </c>
      <c r="F27" s="37" t="s">
        <v>153</v>
      </c>
      <c r="G27" s="21" t="s">
        <v>67</v>
      </c>
      <c r="H27" s="21" t="n">
        <v>85</v>
      </c>
      <c r="I27" s="21" t="s">
        <v>137</v>
      </c>
    </row>
    <row r="28" customFormat="false" ht="15" hidden="false" customHeight="false" outlineLevel="0" collapsed="false">
      <c r="A28" s="21" t="s">
        <v>187</v>
      </c>
      <c r="B28" s="21"/>
      <c r="C28" s="21"/>
      <c r="D28" s="37" t="s">
        <v>135</v>
      </c>
      <c r="E28" s="37" t="s">
        <v>135</v>
      </c>
      <c r="F28" s="37" t="s">
        <v>153</v>
      </c>
      <c r="G28" s="21" t="s">
        <v>108</v>
      </c>
      <c r="H28" s="21" t="n">
        <v>63</v>
      </c>
      <c r="I28" s="21" t="s">
        <v>137</v>
      </c>
    </row>
    <row r="29" customFormat="false" ht="15" hidden="false" customHeight="false" outlineLevel="0" collapsed="false">
      <c r="A29" s="21" t="s">
        <v>188</v>
      </c>
      <c r="B29" s="21"/>
      <c r="C29" s="21" t="s">
        <v>140</v>
      </c>
      <c r="D29" s="37" t="s">
        <v>148</v>
      </c>
      <c r="E29" s="37" t="s">
        <v>27</v>
      </c>
      <c r="F29" s="37" t="s">
        <v>142</v>
      </c>
      <c r="G29" s="21" t="s">
        <v>67</v>
      </c>
      <c r="H29" s="21" t="n">
        <v>62</v>
      </c>
      <c r="I29" s="21" t="s">
        <v>183</v>
      </c>
    </row>
    <row r="30" customFormat="false" ht="15" hidden="false" customHeight="false" outlineLevel="0" collapsed="false">
      <c r="A30" s="21" t="s">
        <v>189</v>
      </c>
      <c r="B30" s="21" t="s">
        <v>155</v>
      </c>
      <c r="C30" s="21"/>
      <c r="D30" s="37" t="s">
        <v>156</v>
      </c>
      <c r="E30" s="37" t="s">
        <v>26</v>
      </c>
      <c r="F30" s="37" t="s">
        <v>36</v>
      </c>
      <c r="G30" s="21" t="s">
        <v>67</v>
      </c>
      <c r="H30" s="21" t="n">
        <v>54</v>
      </c>
      <c r="I30" s="21" t="s">
        <v>137</v>
      </c>
    </row>
    <row r="31" customFormat="false" ht="15" hidden="false" customHeight="false" outlineLevel="0" collapsed="false">
      <c r="A31" s="21" t="s">
        <v>121</v>
      </c>
      <c r="B31" s="21" t="s">
        <v>122</v>
      </c>
      <c r="C31" s="21" t="s">
        <v>140</v>
      </c>
      <c r="D31" s="37" t="s">
        <v>135</v>
      </c>
      <c r="E31" s="37" t="s">
        <v>135</v>
      </c>
      <c r="F31" s="37" t="s">
        <v>142</v>
      </c>
      <c r="G31" s="21" t="s">
        <v>67</v>
      </c>
      <c r="H31" s="21" t="n">
        <v>54</v>
      </c>
      <c r="I31" s="21" t="s">
        <v>137</v>
      </c>
    </row>
    <row r="32" customFormat="false" ht="15" hidden="false" customHeight="false" outlineLevel="0" collapsed="false">
      <c r="A32" s="21" t="s">
        <v>190</v>
      </c>
      <c r="B32" s="21" t="s">
        <v>170</v>
      </c>
      <c r="C32" s="21"/>
      <c r="D32" s="37" t="s">
        <v>145</v>
      </c>
      <c r="E32" s="37" t="s">
        <v>27</v>
      </c>
      <c r="F32" s="37" t="s">
        <v>142</v>
      </c>
      <c r="G32" s="21" t="s">
        <v>115</v>
      </c>
      <c r="H32" s="21" t="n">
        <v>53</v>
      </c>
      <c r="I32" s="21" t="s">
        <v>137</v>
      </c>
    </row>
    <row r="33" customFormat="false" ht="15" hidden="false" customHeight="false" outlineLevel="0" collapsed="false">
      <c r="A33" s="21" t="s">
        <v>191</v>
      </c>
      <c r="B33" s="21" t="s">
        <v>192</v>
      </c>
      <c r="C33" s="21"/>
      <c r="D33" s="37" t="s">
        <v>152</v>
      </c>
      <c r="E33" s="37" t="s">
        <v>26</v>
      </c>
      <c r="F33" s="37" t="s">
        <v>36</v>
      </c>
      <c r="G33" s="21" t="s">
        <v>112</v>
      </c>
      <c r="H33" s="21" t="n">
        <v>45</v>
      </c>
      <c r="I33" s="21" t="s">
        <v>137</v>
      </c>
    </row>
    <row r="34" customFormat="false" ht="15" hidden="false" customHeight="false" outlineLevel="0" collapsed="false">
      <c r="A34" s="21" t="s">
        <v>193</v>
      </c>
      <c r="B34" s="21"/>
      <c r="C34" s="21" t="s">
        <v>194</v>
      </c>
      <c r="D34" s="37" t="s">
        <v>195</v>
      </c>
      <c r="E34" s="37" t="s">
        <v>26</v>
      </c>
      <c r="F34" s="37" t="s">
        <v>153</v>
      </c>
      <c r="G34" s="21" t="s">
        <v>67</v>
      </c>
      <c r="H34" s="21" t="n">
        <v>44</v>
      </c>
      <c r="I34" s="21" t="s">
        <v>183</v>
      </c>
    </row>
    <row r="35" customFormat="false" ht="15" hidden="false" customHeight="false" outlineLevel="0" collapsed="false">
      <c r="A35" s="21" t="s">
        <v>196</v>
      </c>
      <c r="B35" s="21" t="s">
        <v>185</v>
      </c>
      <c r="C35" s="21"/>
      <c r="D35" s="37" t="s">
        <v>148</v>
      </c>
      <c r="E35" s="37" t="s">
        <v>27</v>
      </c>
      <c r="F35" s="37" t="s">
        <v>142</v>
      </c>
      <c r="G35" s="21" t="s">
        <v>108</v>
      </c>
      <c r="H35" s="21" t="n">
        <v>42</v>
      </c>
      <c r="I35" s="21" t="s">
        <v>137</v>
      </c>
    </row>
    <row r="36" customFormat="false" ht="15" hidden="false" customHeight="false" outlineLevel="0" collapsed="false">
      <c r="A36" s="21" t="s">
        <v>197</v>
      </c>
      <c r="B36" s="21" t="s">
        <v>198</v>
      </c>
      <c r="C36" s="21"/>
      <c r="D36" s="37" t="s">
        <v>164</v>
      </c>
      <c r="E36" s="37" t="s">
        <v>27</v>
      </c>
      <c r="F36" s="37" t="s">
        <v>142</v>
      </c>
      <c r="G36" s="21" t="s">
        <v>111</v>
      </c>
      <c r="H36" s="21" t="n">
        <v>42</v>
      </c>
      <c r="I36" s="21" t="s">
        <v>137</v>
      </c>
    </row>
    <row r="37" customFormat="false" ht="15" hidden="false" customHeight="false" outlineLevel="0" collapsed="false">
      <c r="A37" s="21" t="s">
        <v>199</v>
      </c>
      <c r="B37" s="21" t="s">
        <v>200</v>
      </c>
      <c r="C37" s="21"/>
      <c r="D37" s="37" t="s">
        <v>201</v>
      </c>
      <c r="E37" s="37" t="s">
        <v>26</v>
      </c>
      <c r="F37" s="37" t="s">
        <v>153</v>
      </c>
      <c r="G37" s="21" t="s">
        <v>67</v>
      </c>
      <c r="H37" s="21" t="n">
        <v>41</v>
      </c>
      <c r="I37" s="21" t="s">
        <v>137</v>
      </c>
    </row>
    <row r="38" customFormat="false" ht="15" hidden="false" customHeight="false" outlineLevel="0" collapsed="false">
      <c r="A38" s="21" t="s">
        <v>202</v>
      </c>
      <c r="B38" s="21" t="s">
        <v>203</v>
      </c>
      <c r="C38" s="21"/>
      <c r="D38" s="37" t="s">
        <v>135</v>
      </c>
      <c r="E38" s="37" t="s">
        <v>135</v>
      </c>
      <c r="F38" s="37" t="s">
        <v>204</v>
      </c>
      <c r="G38" s="21" t="s">
        <v>109</v>
      </c>
      <c r="H38" s="21" t="n">
        <v>40</v>
      </c>
      <c r="I38" s="21" t="s">
        <v>137</v>
      </c>
    </row>
    <row r="39" customFormat="false" ht="15" hidden="false" customHeight="false" outlineLevel="0" collapsed="false">
      <c r="A39" s="21" t="s">
        <v>205</v>
      </c>
      <c r="B39" s="21" t="s">
        <v>206</v>
      </c>
      <c r="C39" s="21"/>
      <c r="D39" s="37" t="s">
        <v>135</v>
      </c>
      <c r="E39" s="37" t="s">
        <v>135</v>
      </c>
      <c r="F39" s="37" t="s">
        <v>153</v>
      </c>
      <c r="G39" s="21" t="s">
        <v>112</v>
      </c>
      <c r="H39" s="21" t="n">
        <v>36</v>
      </c>
      <c r="I39" s="21" t="s">
        <v>137</v>
      </c>
    </row>
    <row r="40" customFormat="false" ht="15" hidden="false" customHeight="false" outlineLevel="0" collapsed="false">
      <c r="A40" s="21" t="s">
        <v>207</v>
      </c>
      <c r="B40" s="21"/>
      <c r="C40" s="21" t="s">
        <v>140</v>
      </c>
      <c r="D40" s="37" t="s">
        <v>145</v>
      </c>
      <c r="E40" s="37" t="s">
        <v>27</v>
      </c>
      <c r="F40" s="37" t="s">
        <v>36</v>
      </c>
      <c r="G40" s="21" t="s">
        <v>67</v>
      </c>
      <c r="H40" s="21" t="n">
        <v>35</v>
      </c>
      <c r="I40" s="21" t="s">
        <v>183</v>
      </c>
    </row>
    <row r="41" customFormat="false" ht="15" hidden="false" customHeight="false" outlineLevel="0" collapsed="false">
      <c r="A41" s="21" t="s">
        <v>208</v>
      </c>
      <c r="B41" s="21" t="s">
        <v>170</v>
      </c>
      <c r="C41" s="21"/>
      <c r="D41" s="37" t="s">
        <v>145</v>
      </c>
      <c r="E41" s="37" t="s">
        <v>27</v>
      </c>
      <c r="F41" s="37" t="s">
        <v>36</v>
      </c>
      <c r="G41" s="21" t="s">
        <v>115</v>
      </c>
      <c r="H41" s="21" t="n">
        <v>33</v>
      </c>
      <c r="I41" s="21" t="s">
        <v>137</v>
      </c>
    </row>
    <row r="42" customFormat="false" ht="15" hidden="false" customHeight="false" outlineLevel="0" collapsed="false">
      <c r="A42" s="21" t="s">
        <v>209</v>
      </c>
      <c r="B42" s="21" t="s">
        <v>210</v>
      </c>
      <c r="C42" s="21"/>
      <c r="D42" s="37" t="s">
        <v>211</v>
      </c>
      <c r="E42" s="37" t="s">
        <v>26</v>
      </c>
      <c r="F42" s="37" t="s">
        <v>153</v>
      </c>
      <c r="G42" s="21" t="s">
        <v>67</v>
      </c>
      <c r="H42" s="21" t="n">
        <v>31</v>
      </c>
      <c r="I42" s="21" t="s">
        <v>137</v>
      </c>
    </row>
    <row r="43" customFormat="false" ht="15" hidden="false" customHeight="false" outlineLevel="0" collapsed="false">
      <c r="A43" s="21" t="s">
        <v>212</v>
      </c>
      <c r="B43" s="21" t="s">
        <v>213</v>
      </c>
      <c r="C43" s="21"/>
      <c r="D43" s="37" t="s">
        <v>135</v>
      </c>
      <c r="E43" s="37" t="s">
        <v>135</v>
      </c>
      <c r="F43" s="37" t="s">
        <v>153</v>
      </c>
      <c r="G43" s="21" t="s">
        <v>109</v>
      </c>
      <c r="H43" s="21" t="n">
        <v>29</v>
      </c>
      <c r="I43" s="21" t="s">
        <v>137</v>
      </c>
    </row>
    <row r="44" customFormat="false" ht="15" hidden="false" customHeight="false" outlineLevel="0" collapsed="false">
      <c r="A44" s="21" t="s">
        <v>214</v>
      </c>
      <c r="B44" s="21" t="s">
        <v>179</v>
      </c>
      <c r="C44" s="21"/>
      <c r="D44" s="37" t="s">
        <v>164</v>
      </c>
      <c r="E44" s="37" t="s">
        <v>27</v>
      </c>
      <c r="F44" s="37" t="s">
        <v>153</v>
      </c>
      <c r="G44" s="21" t="s">
        <v>87</v>
      </c>
      <c r="H44" s="21" t="n">
        <v>26</v>
      </c>
      <c r="I44" s="21" t="s">
        <v>137</v>
      </c>
    </row>
    <row r="45" customFormat="false" ht="15" hidden="false" customHeight="false" outlineLevel="0" collapsed="false">
      <c r="A45" s="21" t="s">
        <v>215</v>
      </c>
      <c r="B45" s="21" t="s">
        <v>216</v>
      </c>
      <c r="C45" s="21"/>
      <c r="D45" s="37" t="s">
        <v>135</v>
      </c>
      <c r="E45" s="37" t="s">
        <v>135</v>
      </c>
      <c r="F45" s="37" t="s">
        <v>36</v>
      </c>
      <c r="G45" s="21" t="s">
        <v>108</v>
      </c>
      <c r="H45" s="21" t="n">
        <v>26</v>
      </c>
      <c r="I45" s="21" t="s">
        <v>137</v>
      </c>
    </row>
    <row r="46" customFormat="false" ht="15" hidden="false" customHeight="false" outlineLevel="0" collapsed="false">
      <c r="A46" s="21" t="s">
        <v>217</v>
      </c>
      <c r="B46" s="21" t="s">
        <v>218</v>
      </c>
      <c r="C46" s="21"/>
      <c r="D46" s="37" t="s">
        <v>211</v>
      </c>
      <c r="E46" s="37" t="s">
        <v>26</v>
      </c>
      <c r="F46" s="37" t="s">
        <v>142</v>
      </c>
      <c r="G46" s="21" t="s">
        <v>115</v>
      </c>
      <c r="H46" s="21" t="n">
        <v>24</v>
      </c>
      <c r="I46" s="21" t="s">
        <v>137</v>
      </c>
    </row>
    <row r="47" customFormat="false" ht="15" hidden="false" customHeight="false" outlineLevel="0" collapsed="false">
      <c r="A47" s="21" t="s">
        <v>219</v>
      </c>
      <c r="B47" s="21" t="s">
        <v>220</v>
      </c>
      <c r="C47" s="21"/>
      <c r="D47" s="37" t="s">
        <v>221</v>
      </c>
      <c r="E47" s="37" t="s">
        <v>26</v>
      </c>
      <c r="F47" s="37" t="s">
        <v>153</v>
      </c>
      <c r="G47" s="21" t="s">
        <v>67</v>
      </c>
      <c r="H47" s="21" t="n">
        <v>23</v>
      </c>
      <c r="I47" s="21" t="s">
        <v>137</v>
      </c>
    </row>
    <row r="48" customFormat="false" ht="15" hidden="false" customHeight="false" outlineLevel="0" collapsed="false">
      <c r="A48" s="21" t="s">
        <v>222</v>
      </c>
      <c r="B48" s="21" t="s">
        <v>210</v>
      </c>
      <c r="C48" s="21"/>
      <c r="D48" s="37" t="s">
        <v>211</v>
      </c>
      <c r="E48" s="37" t="s">
        <v>26</v>
      </c>
      <c r="F48" s="37" t="s">
        <v>36</v>
      </c>
      <c r="G48" s="21" t="s">
        <v>67</v>
      </c>
      <c r="H48" s="21" t="n">
        <v>22</v>
      </c>
      <c r="I48" s="21" t="s">
        <v>137</v>
      </c>
    </row>
    <row r="49" customFormat="false" ht="15" hidden="false" customHeight="false" outlineLevel="0" collapsed="false">
      <c r="A49" s="21" t="s">
        <v>223</v>
      </c>
      <c r="B49" s="21" t="s">
        <v>224</v>
      </c>
      <c r="C49" s="21"/>
      <c r="D49" s="37" t="s">
        <v>225</v>
      </c>
      <c r="E49" s="37" t="s">
        <v>26</v>
      </c>
      <c r="F49" s="37" t="s">
        <v>35</v>
      </c>
      <c r="G49" s="21" t="s">
        <v>87</v>
      </c>
      <c r="H49" s="21" t="n">
        <v>22</v>
      </c>
      <c r="I49" s="21" t="s">
        <v>137</v>
      </c>
    </row>
    <row r="50" customFormat="false" ht="15" hidden="false" customHeight="false" outlineLevel="0" collapsed="false">
      <c r="A50" s="21" t="s">
        <v>226</v>
      </c>
      <c r="B50" s="21" t="s">
        <v>227</v>
      </c>
      <c r="C50" s="21"/>
      <c r="D50" s="37" t="s">
        <v>228</v>
      </c>
      <c r="E50" s="37" t="s">
        <v>26</v>
      </c>
      <c r="F50" s="37" t="s">
        <v>142</v>
      </c>
      <c r="G50" s="21" t="s">
        <v>112</v>
      </c>
      <c r="H50" s="21" t="n">
        <v>21</v>
      </c>
      <c r="I50" s="21" t="s">
        <v>137</v>
      </c>
    </row>
    <row r="51" customFormat="false" ht="15" hidden="false" customHeight="false" outlineLevel="0" collapsed="false">
      <c r="A51" s="21" t="s">
        <v>229</v>
      </c>
      <c r="B51" s="21" t="s">
        <v>230</v>
      </c>
      <c r="C51" s="21"/>
      <c r="D51" s="37" t="s">
        <v>231</v>
      </c>
      <c r="E51" s="37" t="s">
        <v>83</v>
      </c>
      <c r="F51" s="37" t="s">
        <v>36</v>
      </c>
      <c r="G51" s="21" t="s">
        <v>112</v>
      </c>
      <c r="H51" s="21" t="n">
        <v>19</v>
      </c>
      <c r="I51" s="21" t="s">
        <v>137</v>
      </c>
    </row>
    <row r="52" customFormat="false" ht="15" hidden="false" customHeight="false" outlineLevel="0" collapsed="false">
      <c r="A52" s="21" t="s">
        <v>232</v>
      </c>
      <c r="B52" s="21"/>
      <c r="C52" s="21" t="s">
        <v>140</v>
      </c>
      <c r="D52" s="37" t="s">
        <v>164</v>
      </c>
      <c r="E52" s="37" t="s">
        <v>27</v>
      </c>
      <c r="F52" s="37" t="s">
        <v>36</v>
      </c>
      <c r="G52" s="21" t="s">
        <v>67</v>
      </c>
      <c r="H52" s="21" t="n">
        <v>19</v>
      </c>
      <c r="I52" s="21" t="s">
        <v>183</v>
      </c>
    </row>
    <row r="53" customFormat="false" ht="15" hidden="false" customHeight="false" outlineLevel="0" collapsed="false">
      <c r="A53" s="21" t="s">
        <v>233</v>
      </c>
      <c r="B53" s="21" t="s">
        <v>168</v>
      </c>
      <c r="C53" s="21"/>
      <c r="D53" s="37" t="s">
        <v>148</v>
      </c>
      <c r="E53" s="37" t="s">
        <v>27</v>
      </c>
      <c r="F53" s="37" t="s">
        <v>142</v>
      </c>
      <c r="G53" s="21" t="s">
        <v>115</v>
      </c>
      <c r="H53" s="21" t="n">
        <v>19</v>
      </c>
      <c r="I53" s="21" t="s">
        <v>137</v>
      </c>
    </row>
    <row r="54" customFormat="false" ht="15" hidden="false" customHeight="false" outlineLevel="0" collapsed="false">
      <c r="A54" s="21" t="s">
        <v>234</v>
      </c>
      <c r="B54" s="21" t="s">
        <v>235</v>
      </c>
      <c r="C54" s="21"/>
      <c r="D54" s="37" t="s">
        <v>236</v>
      </c>
      <c r="E54" s="37" t="s">
        <v>26</v>
      </c>
      <c r="F54" s="37" t="s">
        <v>35</v>
      </c>
      <c r="G54" s="21" t="s">
        <v>87</v>
      </c>
      <c r="H54" s="21" t="n">
        <v>19</v>
      </c>
      <c r="I54" s="21" t="s">
        <v>137</v>
      </c>
    </row>
    <row r="55" customFormat="false" ht="15" hidden="false" customHeight="false" outlineLevel="0" collapsed="false">
      <c r="A55" s="21" t="s">
        <v>237</v>
      </c>
      <c r="B55" s="21" t="s">
        <v>198</v>
      </c>
      <c r="C55" s="21"/>
      <c r="D55" s="37" t="s">
        <v>164</v>
      </c>
      <c r="E55" s="37" t="s">
        <v>27</v>
      </c>
      <c r="F55" s="37" t="s">
        <v>142</v>
      </c>
      <c r="G55" s="21" t="s">
        <v>112</v>
      </c>
      <c r="H55" s="21" t="n">
        <v>18</v>
      </c>
      <c r="I55" s="21" t="s">
        <v>137</v>
      </c>
    </row>
    <row r="56" customFormat="false" ht="15" hidden="false" customHeight="false" outlineLevel="0" collapsed="false">
      <c r="A56" s="21" t="s">
        <v>238</v>
      </c>
      <c r="B56" s="21" t="s">
        <v>239</v>
      </c>
      <c r="C56" s="21"/>
      <c r="D56" s="37" t="s">
        <v>152</v>
      </c>
      <c r="E56" s="37" t="s">
        <v>26</v>
      </c>
      <c r="F56" s="37" t="s">
        <v>142</v>
      </c>
      <c r="G56" s="21" t="s">
        <v>112</v>
      </c>
      <c r="H56" s="21" t="n">
        <v>18</v>
      </c>
      <c r="I56" s="21" t="s">
        <v>137</v>
      </c>
    </row>
    <row r="57" customFormat="false" ht="15" hidden="false" customHeight="false" outlineLevel="0" collapsed="false">
      <c r="A57" s="21" t="s">
        <v>240</v>
      </c>
      <c r="B57" s="21" t="s">
        <v>241</v>
      </c>
      <c r="C57" s="21"/>
      <c r="D57" s="37" t="s">
        <v>135</v>
      </c>
      <c r="E57" s="37" t="s">
        <v>135</v>
      </c>
      <c r="F57" s="37" t="s">
        <v>36</v>
      </c>
      <c r="G57" s="21" t="s">
        <v>108</v>
      </c>
      <c r="H57" s="21" t="n">
        <v>17</v>
      </c>
      <c r="I57" s="21" t="s">
        <v>137</v>
      </c>
    </row>
    <row r="58" customFormat="false" ht="15" hidden="false" customHeight="false" outlineLevel="0" collapsed="false">
      <c r="A58" s="21" t="s">
        <v>242</v>
      </c>
      <c r="B58" s="21" t="s">
        <v>243</v>
      </c>
      <c r="C58" s="21"/>
      <c r="D58" s="37" t="s">
        <v>135</v>
      </c>
      <c r="E58" s="37" t="s">
        <v>135</v>
      </c>
      <c r="F58" s="37" t="s">
        <v>36</v>
      </c>
      <c r="G58" s="21" t="s">
        <v>108</v>
      </c>
      <c r="H58" s="21" t="n">
        <v>17</v>
      </c>
      <c r="I58" s="21" t="s">
        <v>137</v>
      </c>
    </row>
    <row r="59" customFormat="false" ht="15" hidden="false" customHeight="false" outlineLevel="0" collapsed="false">
      <c r="A59" s="21" t="s">
        <v>244</v>
      </c>
      <c r="B59" s="21" t="s">
        <v>245</v>
      </c>
      <c r="C59" s="21" t="s">
        <v>140</v>
      </c>
      <c r="D59" s="37" t="s">
        <v>246</v>
      </c>
      <c r="E59" s="37" t="s">
        <v>26</v>
      </c>
      <c r="F59" s="37" t="s">
        <v>142</v>
      </c>
      <c r="G59" s="21" t="s">
        <v>67</v>
      </c>
      <c r="H59" s="21" t="n">
        <v>16</v>
      </c>
      <c r="I59" s="21" t="s">
        <v>137</v>
      </c>
    </row>
    <row r="60" customFormat="false" ht="15" hidden="false" customHeight="false" outlineLevel="0" collapsed="false">
      <c r="A60" s="21" t="s">
        <v>247</v>
      </c>
      <c r="B60" s="21" t="s">
        <v>248</v>
      </c>
      <c r="C60" s="21"/>
      <c r="D60" s="37" t="s">
        <v>135</v>
      </c>
      <c r="E60" s="37" t="s">
        <v>135</v>
      </c>
      <c r="F60" s="37" t="s">
        <v>36</v>
      </c>
      <c r="G60" s="21" t="s">
        <v>112</v>
      </c>
      <c r="H60" s="21" t="n">
        <v>15</v>
      </c>
      <c r="I60" s="21" t="s">
        <v>137</v>
      </c>
    </row>
    <row r="61" customFormat="false" ht="15" hidden="false" customHeight="false" outlineLevel="0" collapsed="false">
      <c r="A61" s="21" t="s">
        <v>249</v>
      </c>
      <c r="B61" s="21" t="s">
        <v>250</v>
      </c>
      <c r="C61" s="21"/>
      <c r="D61" s="37" t="s">
        <v>251</v>
      </c>
      <c r="E61" s="37" t="s">
        <v>83</v>
      </c>
      <c r="F61" s="37" t="s">
        <v>153</v>
      </c>
      <c r="G61" s="21" t="s">
        <v>108</v>
      </c>
      <c r="H61" s="21" t="n">
        <v>15</v>
      </c>
      <c r="I61" s="21" t="s">
        <v>137</v>
      </c>
    </row>
    <row r="62" customFormat="false" ht="15" hidden="false" customHeight="false" outlineLevel="0" collapsed="false">
      <c r="A62" s="21" t="s">
        <v>252</v>
      </c>
      <c r="B62" s="21" t="s">
        <v>253</v>
      </c>
      <c r="C62" s="21"/>
      <c r="D62" s="37" t="s">
        <v>254</v>
      </c>
      <c r="E62" s="37" t="s">
        <v>27</v>
      </c>
      <c r="F62" s="37" t="s">
        <v>172</v>
      </c>
      <c r="G62" s="21" t="s">
        <v>115</v>
      </c>
      <c r="H62" s="21" t="n">
        <v>15</v>
      </c>
      <c r="I62" s="21" t="s">
        <v>137</v>
      </c>
    </row>
    <row r="63" customFormat="false" ht="15" hidden="false" customHeight="false" outlineLevel="0" collapsed="false">
      <c r="A63" s="21" t="s">
        <v>255</v>
      </c>
      <c r="B63" s="21" t="s">
        <v>168</v>
      </c>
      <c r="C63" s="21"/>
      <c r="D63" s="37" t="s">
        <v>148</v>
      </c>
      <c r="E63" s="37" t="s">
        <v>27</v>
      </c>
      <c r="F63" s="37" t="s">
        <v>36</v>
      </c>
      <c r="G63" s="21" t="s">
        <v>115</v>
      </c>
      <c r="H63" s="21" t="n">
        <v>13</v>
      </c>
      <c r="I63" s="21" t="s">
        <v>183</v>
      </c>
    </row>
    <row r="64" customFormat="false" ht="15" hidden="false" customHeight="false" outlineLevel="0" collapsed="false">
      <c r="A64" s="21" t="s">
        <v>256</v>
      </c>
      <c r="B64" s="21" t="s">
        <v>257</v>
      </c>
      <c r="C64" s="21"/>
      <c r="D64" s="37" t="s">
        <v>211</v>
      </c>
      <c r="E64" s="37" t="s">
        <v>26</v>
      </c>
      <c r="F64" s="37" t="s">
        <v>36</v>
      </c>
      <c r="G64" s="21" t="s">
        <v>111</v>
      </c>
      <c r="H64" s="21" t="n">
        <v>12</v>
      </c>
      <c r="I64" s="21" t="s">
        <v>137</v>
      </c>
    </row>
    <row r="65" customFormat="false" ht="15" hidden="false" customHeight="false" outlineLevel="0" collapsed="false">
      <c r="A65" s="21" t="s">
        <v>258</v>
      </c>
      <c r="B65" s="21" t="s">
        <v>259</v>
      </c>
      <c r="C65" s="21"/>
      <c r="D65" s="37" t="s">
        <v>221</v>
      </c>
      <c r="E65" s="37" t="s">
        <v>26</v>
      </c>
      <c r="F65" s="37" t="s">
        <v>36</v>
      </c>
      <c r="G65" s="21" t="s">
        <v>108</v>
      </c>
      <c r="H65" s="21" t="n">
        <v>12</v>
      </c>
      <c r="I65" s="21" t="s">
        <v>137</v>
      </c>
    </row>
    <row r="66" customFormat="false" ht="15" hidden="false" customHeight="false" outlineLevel="0" collapsed="false">
      <c r="A66" s="21" t="s">
        <v>260</v>
      </c>
      <c r="B66" s="21"/>
      <c r="C66" s="21"/>
      <c r="D66" s="37" t="s">
        <v>135</v>
      </c>
      <c r="E66" s="37" t="s">
        <v>135</v>
      </c>
      <c r="F66" s="37" t="s">
        <v>35</v>
      </c>
      <c r="G66" s="21" t="s">
        <v>113</v>
      </c>
      <c r="H66" s="21" t="n">
        <v>11</v>
      </c>
      <c r="I66" s="21" t="s">
        <v>137</v>
      </c>
    </row>
    <row r="67" customFormat="false" ht="15" hidden="false" customHeight="false" outlineLevel="0" collapsed="false">
      <c r="A67" s="21" t="s">
        <v>261</v>
      </c>
      <c r="B67" s="21" t="s">
        <v>151</v>
      </c>
      <c r="C67" s="21"/>
      <c r="D67" s="37" t="s">
        <v>152</v>
      </c>
      <c r="E67" s="37" t="s">
        <v>26</v>
      </c>
      <c r="F67" s="37" t="s">
        <v>153</v>
      </c>
      <c r="G67" s="21" t="s">
        <v>67</v>
      </c>
      <c r="H67" s="21" t="n">
        <v>9</v>
      </c>
      <c r="I67" s="21" t="s">
        <v>137</v>
      </c>
    </row>
    <row r="68" customFormat="false" ht="15" hidden="false" customHeight="false" outlineLevel="0" collapsed="false">
      <c r="A68" s="21" t="s">
        <v>262</v>
      </c>
      <c r="B68" s="21"/>
      <c r="C68" s="21" t="s">
        <v>140</v>
      </c>
      <c r="D68" s="37" t="s">
        <v>135</v>
      </c>
      <c r="E68" s="37" t="s">
        <v>135</v>
      </c>
      <c r="F68" s="37" t="s">
        <v>153</v>
      </c>
      <c r="G68" s="21" t="s">
        <v>115</v>
      </c>
      <c r="H68" s="21" t="n">
        <v>9</v>
      </c>
      <c r="I68" s="21" t="s">
        <v>137</v>
      </c>
    </row>
    <row r="69" customFormat="false" ht="15" hidden="false" customHeight="false" outlineLevel="0" collapsed="false">
      <c r="A69" s="21" t="s">
        <v>263</v>
      </c>
      <c r="B69" s="21"/>
      <c r="C69" s="21"/>
      <c r="D69" s="37" t="s">
        <v>135</v>
      </c>
      <c r="E69" s="37" t="s">
        <v>135</v>
      </c>
      <c r="F69" s="37" t="s">
        <v>153</v>
      </c>
      <c r="G69" s="21" t="s">
        <v>113</v>
      </c>
      <c r="H69" s="21" t="n">
        <v>8</v>
      </c>
      <c r="I69" s="21" t="s">
        <v>137</v>
      </c>
    </row>
    <row r="70" customFormat="false" ht="15" hidden="false" customHeight="false" outlineLevel="0" collapsed="false">
      <c r="A70" s="21" t="s">
        <v>264</v>
      </c>
      <c r="B70" s="21" t="s">
        <v>179</v>
      </c>
      <c r="C70" s="21"/>
      <c r="D70" s="37" t="s">
        <v>164</v>
      </c>
      <c r="E70" s="37" t="s">
        <v>27</v>
      </c>
      <c r="F70" s="37" t="s">
        <v>142</v>
      </c>
      <c r="G70" s="21" t="s">
        <v>115</v>
      </c>
      <c r="H70" s="21" t="n">
        <v>8</v>
      </c>
      <c r="I70" s="21" t="s">
        <v>137</v>
      </c>
    </row>
    <row r="71" customFormat="false" ht="15" hidden="false" customHeight="false" outlineLevel="0" collapsed="false">
      <c r="A71" s="21" t="s">
        <v>265</v>
      </c>
      <c r="B71" s="21" t="s">
        <v>151</v>
      </c>
      <c r="C71" s="21" t="s">
        <v>140</v>
      </c>
      <c r="D71" s="37" t="s">
        <v>152</v>
      </c>
      <c r="E71" s="37" t="s">
        <v>26</v>
      </c>
      <c r="F71" s="37" t="s">
        <v>142</v>
      </c>
      <c r="G71" s="21" t="s">
        <v>67</v>
      </c>
      <c r="H71" s="21" t="n">
        <v>8</v>
      </c>
      <c r="I71" s="21" t="s">
        <v>137</v>
      </c>
    </row>
    <row r="72" customFormat="false" ht="15" hidden="false" customHeight="false" outlineLevel="0" collapsed="false">
      <c r="A72" s="21" t="s">
        <v>266</v>
      </c>
      <c r="B72" s="21" t="s">
        <v>139</v>
      </c>
      <c r="C72" s="21"/>
      <c r="D72" s="37" t="s">
        <v>141</v>
      </c>
      <c r="E72" s="37" t="s">
        <v>26</v>
      </c>
      <c r="F72" s="37" t="s">
        <v>153</v>
      </c>
      <c r="G72" s="21" t="s">
        <v>87</v>
      </c>
      <c r="H72" s="21" t="n">
        <v>8</v>
      </c>
      <c r="I72" s="21" t="s">
        <v>137</v>
      </c>
    </row>
    <row r="73" customFormat="false" ht="15" hidden="false" customHeight="false" outlineLevel="0" collapsed="false">
      <c r="A73" s="21" t="s">
        <v>267</v>
      </c>
      <c r="B73" s="21" t="s">
        <v>245</v>
      </c>
      <c r="C73" s="21"/>
      <c r="D73" s="37" t="s">
        <v>246</v>
      </c>
      <c r="E73" s="37" t="s">
        <v>26</v>
      </c>
      <c r="F73" s="37" t="s">
        <v>35</v>
      </c>
      <c r="G73" s="21" t="s">
        <v>87</v>
      </c>
      <c r="H73" s="21" t="n">
        <v>8</v>
      </c>
      <c r="I73" s="21" t="s">
        <v>137</v>
      </c>
    </row>
    <row r="74" customFormat="false" ht="15" hidden="false" customHeight="false" outlineLevel="0" collapsed="false">
      <c r="A74" s="21" t="s">
        <v>268</v>
      </c>
      <c r="B74" s="21" t="s">
        <v>200</v>
      </c>
      <c r="C74" s="21"/>
      <c r="D74" s="37" t="s">
        <v>201</v>
      </c>
      <c r="E74" s="37" t="s">
        <v>26</v>
      </c>
      <c r="F74" s="37" t="s">
        <v>36</v>
      </c>
      <c r="G74" s="21" t="s">
        <v>67</v>
      </c>
      <c r="H74" s="21" t="n">
        <v>7</v>
      </c>
      <c r="I74" s="21" t="s">
        <v>137</v>
      </c>
    </row>
    <row r="75" customFormat="false" ht="15" hidden="false" customHeight="false" outlineLevel="0" collapsed="false">
      <c r="A75" s="21" t="s">
        <v>269</v>
      </c>
      <c r="B75" s="21" t="s">
        <v>179</v>
      </c>
      <c r="C75" s="21"/>
      <c r="D75" s="37" t="s">
        <v>164</v>
      </c>
      <c r="E75" s="37" t="s">
        <v>27</v>
      </c>
      <c r="F75" s="37" t="s">
        <v>36</v>
      </c>
      <c r="G75" s="21" t="s">
        <v>115</v>
      </c>
      <c r="H75" s="21" t="n">
        <v>7</v>
      </c>
      <c r="I75" s="21" t="s">
        <v>137</v>
      </c>
    </row>
    <row r="76" customFormat="false" ht="15" hidden="false" customHeight="false" outlineLevel="0" collapsed="false">
      <c r="A76" s="21" t="s">
        <v>270</v>
      </c>
      <c r="B76" s="21" t="s">
        <v>271</v>
      </c>
      <c r="C76" s="21"/>
      <c r="D76" s="37" t="s">
        <v>231</v>
      </c>
      <c r="E76" s="37" t="s">
        <v>83</v>
      </c>
      <c r="F76" s="37" t="s">
        <v>142</v>
      </c>
      <c r="G76" s="21" t="s">
        <v>111</v>
      </c>
      <c r="H76" s="21" t="n">
        <v>6</v>
      </c>
      <c r="I76" s="21" t="s">
        <v>137</v>
      </c>
    </row>
    <row r="77" customFormat="false" ht="15" hidden="false" customHeight="false" outlineLevel="0" collapsed="false">
      <c r="A77" s="21" t="s">
        <v>272</v>
      </c>
      <c r="B77" s="21"/>
      <c r="C77" s="21" t="s">
        <v>140</v>
      </c>
      <c r="D77" s="37" t="s">
        <v>148</v>
      </c>
      <c r="E77" s="37" t="s">
        <v>27</v>
      </c>
      <c r="F77" s="37" t="s">
        <v>36</v>
      </c>
      <c r="G77" s="21" t="s">
        <v>67</v>
      </c>
      <c r="H77" s="21" t="n">
        <v>6</v>
      </c>
      <c r="I77" s="21" t="s">
        <v>183</v>
      </c>
    </row>
    <row r="78" customFormat="false" ht="15" hidden="false" customHeight="false" outlineLevel="0" collapsed="false">
      <c r="A78" s="21" t="s">
        <v>126</v>
      </c>
      <c r="B78" s="21" t="s">
        <v>127</v>
      </c>
      <c r="C78" s="21" t="s">
        <v>140</v>
      </c>
      <c r="D78" s="37" t="s">
        <v>135</v>
      </c>
      <c r="E78" s="37" t="s">
        <v>135</v>
      </c>
      <c r="F78" s="37" t="s">
        <v>153</v>
      </c>
      <c r="G78" s="21" t="s">
        <v>67</v>
      </c>
      <c r="H78" s="21" t="n">
        <v>6</v>
      </c>
      <c r="I78" s="21" t="s">
        <v>137</v>
      </c>
    </row>
    <row r="79" customFormat="false" ht="15" hidden="false" customHeight="false" outlineLevel="0" collapsed="false">
      <c r="A79" s="21" t="s">
        <v>273</v>
      </c>
      <c r="B79" s="21" t="s">
        <v>245</v>
      </c>
      <c r="C79" s="21"/>
      <c r="D79" s="37" t="s">
        <v>246</v>
      </c>
      <c r="E79" s="37" t="s">
        <v>26</v>
      </c>
      <c r="F79" s="37" t="s">
        <v>36</v>
      </c>
      <c r="G79" s="21" t="s">
        <v>67</v>
      </c>
      <c r="H79" s="21" t="n">
        <v>5</v>
      </c>
      <c r="I79" s="21" t="s">
        <v>137</v>
      </c>
    </row>
    <row r="80" customFormat="false" ht="15" hidden="false" customHeight="false" outlineLevel="0" collapsed="false">
      <c r="A80" s="21" t="s">
        <v>274</v>
      </c>
      <c r="B80" s="21" t="s">
        <v>227</v>
      </c>
      <c r="C80" s="21"/>
      <c r="D80" s="37" t="s">
        <v>228</v>
      </c>
      <c r="E80" s="37" t="s">
        <v>26</v>
      </c>
      <c r="F80" s="37" t="s">
        <v>36</v>
      </c>
      <c r="G80" s="21" t="s">
        <v>111</v>
      </c>
      <c r="H80" s="21" t="n">
        <v>5</v>
      </c>
      <c r="I80" s="21" t="s">
        <v>137</v>
      </c>
    </row>
    <row r="81" customFormat="false" ht="15" hidden="false" customHeight="false" outlineLevel="0" collapsed="false">
      <c r="A81" s="21" t="s">
        <v>119</v>
      </c>
      <c r="B81" s="21"/>
      <c r="C81" s="21" t="s">
        <v>140</v>
      </c>
      <c r="D81" s="37" t="s">
        <v>135</v>
      </c>
      <c r="E81" s="37" t="s">
        <v>135</v>
      </c>
      <c r="F81" s="37" t="s">
        <v>36</v>
      </c>
      <c r="G81" s="21" t="s">
        <v>67</v>
      </c>
      <c r="H81" s="21" t="n">
        <v>5</v>
      </c>
      <c r="I81" s="21" t="s">
        <v>183</v>
      </c>
    </row>
    <row r="82" customFormat="false" ht="15" hidden="false" customHeight="false" outlineLevel="0" collapsed="false">
      <c r="A82" s="21" t="s">
        <v>275</v>
      </c>
      <c r="B82" s="21" t="s">
        <v>235</v>
      </c>
      <c r="C82" s="21"/>
      <c r="D82" s="37" t="s">
        <v>236</v>
      </c>
      <c r="E82" s="37" t="s">
        <v>26</v>
      </c>
      <c r="F82" s="37" t="s">
        <v>36</v>
      </c>
      <c r="G82" s="21" t="s">
        <v>67</v>
      </c>
      <c r="H82" s="21" t="n">
        <v>4</v>
      </c>
      <c r="I82" s="21" t="s">
        <v>137</v>
      </c>
    </row>
    <row r="83" customFormat="false" ht="15" hidden="false" customHeight="false" outlineLevel="0" collapsed="false">
      <c r="A83" s="21" t="s">
        <v>276</v>
      </c>
      <c r="B83" s="21" t="s">
        <v>220</v>
      </c>
      <c r="C83" s="21"/>
      <c r="D83" s="37" t="s">
        <v>221</v>
      </c>
      <c r="E83" s="37" t="s">
        <v>26</v>
      </c>
      <c r="F83" s="37" t="s">
        <v>36</v>
      </c>
      <c r="G83" s="21" t="s">
        <v>114</v>
      </c>
      <c r="H83" s="21" t="n">
        <v>4</v>
      </c>
      <c r="I83" s="21" t="s">
        <v>137</v>
      </c>
    </row>
    <row r="84" customFormat="false" ht="15" hidden="false" customHeight="false" outlineLevel="0" collapsed="false">
      <c r="A84" s="21" t="s">
        <v>277</v>
      </c>
      <c r="B84" s="21" t="s">
        <v>278</v>
      </c>
      <c r="C84" s="21"/>
      <c r="D84" s="37" t="s">
        <v>236</v>
      </c>
      <c r="E84" s="37" t="s">
        <v>26</v>
      </c>
      <c r="F84" s="37" t="s">
        <v>142</v>
      </c>
      <c r="G84" s="21" t="s">
        <v>115</v>
      </c>
      <c r="H84" s="21" t="n">
        <v>4</v>
      </c>
      <c r="I84" s="21" t="s">
        <v>137</v>
      </c>
    </row>
    <row r="85" customFormat="false" ht="15" hidden="false" customHeight="false" outlineLevel="0" collapsed="false">
      <c r="A85" s="21" t="s">
        <v>279</v>
      </c>
      <c r="B85" s="21" t="s">
        <v>155</v>
      </c>
      <c r="C85" s="21"/>
      <c r="D85" s="37" t="s">
        <v>156</v>
      </c>
      <c r="E85" s="37" t="s">
        <v>26</v>
      </c>
      <c r="F85" s="37" t="s">
        <v>153</v>
      </c>
      <c r="G85" s="21" t="s">
        <v>67</v>
      </c>
      <c r="H85" s="21" t="n">
        <v>4</v>
      </c>
      <c r="I85" s="21" t="s">
        <v>137</v>
      </c>
    </row>
    <row r="86" customFormat="false" ht="15" hidden="false" customHeight="false" outlineLevel="0" collapsed="false">
      <c r="A86" s="21" t="s">
        <v>125</v>
      </c>
      <c r="B86" s="21"/>
      <c r="C86" s="21" t="s">
        <v>140</v>
      </c>
      <c r="D86" s="37" t="s">
        <v>135</v>
      </c>
      <c r="E86" s="37" t="s">
        <v>135</v>
      </c>
      <c r="F86" s="37" t="s">
        <v>35</v>
      </c>
      <c r="G86" s="21" t="s">
        <v>67</v>
      </c>
      <c r="H86" s="21" t="n">
        <v>4</v>
      </c>
      <c r="I86" s="21" t="s">
        <v>183</v>
      </c>
    </row>
    <row r="87" customFormat="false" ht="15" hidden="false" customHeight="false" outlineLevel="0" collapsed="false">
      <c r="A87" s="21" t="s">
        <v>280</v>
      </c>
      <c r="B87" s="21" t="s">
        <v>281</v>
      </c>
      <c r="C87" s="21"/>
      <c r="D87" s="37" t="s">
        <v>282</v>
      </c>
      <c r="E87" s="37" t="s">
        <v>27</v>
      </c>
      <c r="F87" s="37" t="s">
        <v>172</v>
      </c>
      <c r="G87" s="21" t="s">
        <v>67</v>
      </c>
      <c r="H87" s="21" t="n">
        <v>3</v>
      </c>
      <c r="I87" s="21" t="s">
        <v>137</v>
      </c>
    </row>
    <row r="88" customFormat="false" ht="15" hidden="false" customHeight="false" outlineLevel="0" collapsed="false">
      <c r="A88" s="21" t="s">
        <v>283</v>
      </c>
      <c r="B88" s="21"/>
      <c r="C88" s="21"/>
      <c r="D88" s="37" t="s">
        <v>84</v>
      </c>
      <c r="E88" s="37" t="s">
        <v>84</v>
      </c>
      <c r="F88" s="37" t="s">
        <v>153</v>
      </c>
      <c r="G88" s="21" t="s">
        <v>106</v>
      </c>
      <c r="H88" s="21" t="n">
        <v>3</v>
      </c>
      <c r="I88" s="21" t="s">
        <v>137</v>
      </c>
    </row>
    <row r="89" customFormat="false" ht="15" hidden="false" customHeight="false" outlineLevel="0" collapsed="false">
      <c r="A89" s="21" t="s">
        <v>284</v>
      </c>
      <c r="B89" s="21" t="s">
        <v>285</v>
      </c>
      <c r="C89" s="21"/>
      <c r="D89" s="37" t="s">
        <v>84</v>
      </c>
      <c r="E89" s="37" t="s">
        <v>84</v>
      </c>
      <c r="F89" s="37" t="s">
        <v>142</v>
      </c>
      <c r="G89" s="21" t="s">
        <v>107</v>
      </c>
      <c r="H89" s="21" t="n">
        <v>3</v>
      </c>
      <c r="I89" s="21" t="s">
        <v>137</v>
      </c>
    </row>
    <row r="90" customFormat="false" ht="15" hidden="false" customHeight="false" outlineLevel="0" collapsed="false">
      <c r="A90" s="21" t="s">
        <v>286</v>
      </c>
      <c r="B90" s="21"/>
      <c r="C90" s="21"/>
      <c r="D90" s="37" t="s">
        <v>84</v>
      </c>
      <c r="E90" s="37" t="s">
        <v>84</v>
      </c>
      <c r="F90" s="37" t="s">
        <v>153</v>
      </c>
      <c r="G90" s="21" t="s">
        <v>106</v>
      </c>
      <c r="H90" s="21" t="n">
        <v>3</v>
      </c>
      <c r="I90" s="21" t="s">
        <v>137</v>
      </c>
    </row>
    <row r="91" customFormat="false" ht="15" hidden="false" customHeight="false" outlineLevel="0" collapsed="false">
      <c r="A91" s="21" t="s">
        <v>287</v>
      </c>
      <c r="B91" s="21" t="s">
        <v>288</v>
      </c>
      <c r="C91" s="21"/>
      <c r="D91" s="37" t="s">
        <v>84</v>
      </c>
      <c r="E91" s="37" t="s">
        <v>84</v>
      </c>
      <c r="F91" s="37" t="s">
        <v>153</v>
      </c>
      <c r="G91" s="21" t="s">
        <v>106</v>
      </c>
      <c r="H91" s="21" t="n">
        <v>3</v>
      </c>
      <c r="I91" s="21" t="s">
        <v>137</v>
      </c>
    </row>
    <row r="92" customFormat="false" ht="15" hidden="false" customHeight="false" outlineLevel="0" collapsed="false">
      <c r="A92" s="21" t="s">
        <v>289</v>
      </c>
      <c r="B92" s="21"/>
      <c r="C92" s="21" t="s">
        <v>140</v>
      </c>
      <c r="D92" s="37" t="s">
        <v>84</v>
      </c>
      <c r="E92" s="37" t="s">
        <v>84</v>
      </c>
      <c r="F92" s="37" t="s">
        <v>153</v>
      </c>
      <c r="G92" s="21" t="s">
        <v>87</v>
      </c>
      <c r="H92" s="21" t="n">
        <v>3</v>
      </c>
      <c r="I92" s="21" t="s">
        <v>137</v>
      </c>
    </row>
    <row r="93" customFormat="false" ht="15" hidden="false" customHeight="false" outlineLevel="0" collapsed="false">
      <c r="A93" s="21" t="s">
        <v>290</v>
      </c>
      <c r="B93" s="21" t="s">
        <v>291</v>
      </c>
      <c r="C93" s="21" t="s">
        <v>140</v>
      </c>
      <c r="D93" s="37" t="s">
        <v>84</v>
      </c>
      <c r="E93" s="37" t="s">
        <v>84</v>
      </c>
      <c r="F93" s="37" t="s">
        <v>153</v>
      </c>
      <c r="G93" s="21" t="s">
        <v>115</v>
      </c>
      <c r="H93" s="21" t="n">
        <v>3</v>
      </c>
      <c r="I93" s="21" t="s">
        <v>137</v>
      </c>
    </row>
    <row r="94" customFormat="false" ht="15" hidden="false" customHeight="false" outlineLevel="0" collapsed="false">
      <c r="A94" s="21" t="s">
        <v>292</v>
      </c>
      <c r="B94" s="21" t="s">
        <v>293</v>
      </c>
      <c r="C94" s="21"/>
      <c r="D94" s="37" t="s">
        <v>211</v>
      </c>
      <c r="E94" s="37" t="s">
        <v>26</v>
      </c>
      <c r="F94" s="37" t="s">
        <v>142</v>
      </c>
      <c r="G94" s="21" t="s">
        <v>110</v>
      </c>
      <c r="H94" s="21" t="n">
        <v>2</v>
      </c>
      <c r="I94" s="21" t="s">
        <v>137</v>
      </c>
    </row>
    <row r="95" customFormat="false" ht="15" hidden="false" customHeight="false" outlineLevel="0" collapsed="false">
      <c r="A95" s="21" t="s">
        <v>294</v>
      </c>
      <c r="B95" s="21" t="s">
        <v>295</v>
      </c>
      <c r="C95" s="21"/>
      <c r="D95" s="37" t="s">
        <v>84</v>
      </c>
      <c r="E95" s="37" t="s">
        <v>84</v>
      </c>
      <c r="F95" s="37" t="s">
        <v>153</v>
      </c>
      <c r="G95" s="21" t="s">
        <v>108</v>
      </c>
      <c r="H95" s="21" t="n">
        <v>2</v>
      </c>
      <c r="I95" s="21" t="s">
        <v>137</v>
      </c>
    </row>
    <row r="96" customFormat="false" ht="15" hidden="false" customHeight="false" outlineLevel="0" collapsed="false">
      <c r="A96" s="21" t="s">
        <v>296</v>
      </c>
      <c r="B96" s="21" t="s">
        <v>297</v>
      </c>
      <c r="C96" s="21" t="s">
        <v>140</v>
      </c>
      <c r="D96" s="37" t="s">
        <v>84</v>
      </c>
      <c r="E96" s="37" t="s">
        <v>84</v>
      </c>
      <c r="F96" s="37" t="s">
        <v>153</v>
      </c>
      <c r="G96" s="21" t="s">
        <v>115</v>
      </c>
      <c r="H96" s="21" t="n">
        <v>2</v>
      </c>
      <c r="I96" s="21" t="s">
        <v>137</v>
      </c>
    </row>
    <row r="97" customFormat="false" ht="15" hidden="false" customHeight="false" outlineLevel="0" collapsed="false">
      <c r="A97" s="21" t="s">
        <v>298</v>
      </c>
      <c r="B97" s="21" t="s">
        <v>299</v>
      </c>
      <c r="C97" s="21"/>
      <c r="D97" s="37" t="s">
        <v>84</v>
      </c>
      <c r="E97" s="37" t="s">
        <v>84</v>
      </c>
      <c r="F97" s="37" t="s">
        <v>35</v>
      </c>
      <c r="G97" s="21" t="s">
        <v>113</v>
      </c>
      <c r="H97" s="21" t="n">
        <v>2</v>
      </c>
      <c r="I97" s="21" t="s">
        <v>137</v>
      </c>
    </row>
    <row r="98" customFormat="false" ht="15" hidden="false" customHeight="false" outlineLevel="0" collapsed="false">
      <c r="A98" s="21" t="s">
        <v>300</v>
      </c>
      <c r="B98" s="21"/>
      <c r="C98" s="21" t="s">
        <v>194</v>
      </c>
      <c r="D98" s="37" t="s">
        <v>195</v>
      </c>
      <c r="E98" s="37" t="s">
        <v>26</v>
      </c>
      <c r="F98" s="37" t="s">
        <v>36</v>
      </c>
      <c r="G98" s="21" t="s">
        <v>87</v>
      </c>
      <c r="H98" s="21" t="n">
        <v>2</v>
      </c>
      <c r="I98" s="21" t="s">
        <v>137</v>
      </c>
    </row>
    <row r="99" customFormat="false" ht="15" hidden="false" customHeight="false" outlineLevel="0" collapsed="false">
      <c r="A99" s="21" t="s">
        <v>301</v>
      </c>
      <c r="B99" s="21"/>
      <c r="C99" s="21"/>
      <c r="D99" s="37" t="s">
        <v>84</v>
      </c>
      <c r="E99" s="37" t="s">
        <v>84</v>
      </c>
      <c r="F99" s="37" t="s">
        <v>153</v>
      </c>
      <c r="G99" s="21" t="s">
        <v>108</v>
      </c>
      <c r="H99" s="21" t="n">
        <v>2</v>
      </c>
      <c r="I99" s="21" t="s">
        <v>137</v>
      </c>
    </row>
    <row r="100" customFormat="false" ht="15" hidden="false" customHeight="false" outlineLevel="0" collapsed="false">
      <c r="A100" s="21" t="s">
        <v>302</v>
      </c>
      <c r="B100" s="21" t="s">
        <v>210</v>
      </c>
      <c r="C100" s="21"/>
      <c r="D100" s="37" t="s">
        <v>211</v>
      </c>
      <c r="E100" s="37" t="s">
        <v>26</v>
      </c>
      <c r="F100" s="37" t="s">
        <v>153</v>
      </c>
      <c r="G100" s="21" t="s">
        <v>114</v>
      </c>
      <c r="H100" s="21" t="n">
        <v>1</v>
      </c>
      <c r="I100" s="21" t="s">
        <v>137</v>
      </c>
    </row>
    <row r="101" customFormat="false" ht="15" hidden="false" customHeight="false" outlineLevel="0" collapsed="false">
      <c r="A101" s="21" t="s">
        <v>303</v>
      </c>
      <c r="B101" s="21" t="s">
        <v>304</v>
      </c>
      <c r="C101" s="21"/>
      <c r="D101" s="37" t="s">
        <v>305</v>
      </c>
      <c r="E101" s="37" t="s">
        <v>26</v>
      </c>
      <c r="F101" s="37" t="s">
        <v>153</v>
      </c>
      <c r="G101" s="21" t="s">
        <v>115</v>
      </c>
      <c r="H101" s="21" t="n">
        <v>1</v>
      </c>
      <c r="I101" s="21" t="s">
        <v>137</v>
      </c>
    </row>
    <row r="102" customFormat="false" ht="15" hidden="false" customHeight="false" outlineLevel="0" collapsed="false">
      <c r="A102" s="21" t="s">
        <v>306</v>
      </c>
      <c r="B102" s="21" t="s">
        <v>307</v>
      </c>
      <c r="C102" s="21"/>
      <c r="D102" s="37" t="s">
        <v>84</v>
      </c>
      <c r="E102" s="37" t="s">
        <v>84</v>
      </c>
      <c r="F102" s="37" t="s">
        <v>153</v>
      </c>
      <c r="G102" s="21" t="s">
        <v>107</v>
      </c>
      <c r="H102" s="21" t="n">
        <v>1</v>
      </c>
      <c r="I102" s="21" t="s">
        <v>137</v>
      </c>
    </row>
    <row r="103" customFormat="false" ht="15" hidden="false" customHeight="false" outlineLevel="0" collapsed="false">
      <c r="A103" s="21" t="s">
        <v>308</v>
      </c>
      <c r="B103" s="21" t="s">
        <v>309</v>
      </c>
      <c r="C103" s="21"/>
      <c r="D103" s="37" t="s">
        <v>135</v>
      </c>
      <c r="E103" s="37" t="s">
        <v>135</v>
      </c>
      <c r="F103" s="37" t="s">
        <v>36</v>
      </c>
      <c r="G103" s="21" t="s">
        <v>108</v>
      </c>
      <c r="H103" s="21" t="n">
        <v>1</v>
      </c>
      <c r="I103" s="21" t="s">
        <v>137</v>
      </c>
    </row>
    <row r="104" customFormat="false" ht="15" hidden="false" customHeight="false" outlineLevel="0" collapsed="false">
      <c r="A104" s="21" t="s">
        <v>310</v>
      </c>
      <c r="B104" s="21" t="s">
        <v>309</v>
      </c>
      <c r="C104" s="21"/>
      <c r="D104" s="37" t="s">
        <v>135</v>
      </c>
      <c r="E104" s="37" t="s">
        <v>135</v>
      </c>
      <c r="F104" s="37" t="s">
        <v>36</v>
      </c>
      <c r="G104" s="21" t="s">
        <v>108</v>
      </c>
      <c r="H104" s="21" t="n">
        <v>1</v>
      </c>
      <c r="I104" s="21" t="s">
        <v>137</v>
      </c>
    </row>
    <row r="105" customFormat="false" ht="15" hidden="false" customHeight="false" outlineLevel="0" collapsed="false">
      <c r="A105" s="21" t="s">
        <v>311</v>
      </c>
      <c r="B105" s="21" t="s">
        <v>309</v>
      </c>
      <c r="C105" s="21"/>
      <c r="D105" s="37" t="s">
        <v>135</v>
      </c>
      <c r="E105" s="37" t="s">
        <v>135</v>
      </c>
      <c r="F105" s="37" t="s">
        <v>36</v>
      </c>
      <c r="G105" s="21" t="s">
        <v>108</v>
      </c>
      <c r="H105" s="21" t="n">
        <v>1</v>
      </c>
      <c r="I105" s="21" t="s">
        <v>137</v>
      </c>
    </row>
    <row r="106" customFormat="false" ht="15" hidden="false" customHeight="false" outlineLevel="0" collapsed="false">
      <c r="A106" s="21" t="s">
        <v>312</v>
      </c>
      <c r="B106" s="21" t="s">
        <v>309</v>
      </c>
      <c r="C106" s="21"/>
      <c r="D106" s="37" t="s">
        <v>135</v>
      </c>
      <c r="E106" s="37" t="s">
        <v>135</v>
      </c>
      <c r="F106" s="37" t="s">
        <v>36</v>
      </c>
      <c r="G106" s="21" t="s">
        <v>108</v>
      </c>
      <c r="H106" s="21" t="n">
        <v>1</v>
      </c>
      <c r="I106" s="21" t="s">
        <v>137</v>
      </c>
    </row>
    <row r="107" customFormat="false" ht="15" hidden="false" customHeight="false" outlineLevel="0" collapsed="false">
      <c r="A107" s="21" t="s">
        <v>313</v>
      </c>
      <c r="B107" s="21" t="s">
        <v>309</v>
      </c>
      <c r="C107" s="21"/>
      <c r="D107" s="37" t="s">
        <v>135</v>
      </c>
      <c r="E107" s="37" t="s">
        <v>135</v>
      </c>
      <c r="F107" s="37" t="s">
        <v>36</v>
      </c>
      <c r="G107" s="21" t="s">
        <v>108</v>
      </c>
      <c r="H107" s="21" t="n">
        <v>1</v>
      </c>
      <c r="I107" s="21" t="s">
        <v>137</v>
      </c>
    </row>
    <row r="108" customFormat="false" ht="15" hidden="false" customHeight="false" outlineLevel="0" collapsed="false">
      <c r="A108" s="21" t="s">
        <v>314</v>
      </c>
      <c r="B108" s="21" t="s">
        <v>309</v>
      </c>
      <c r="C108" s="21"/>
      <c r="D108" s="37" t="s">
        <v>135</v>
      </c>
      <c r="E108" s="37" t="s">
        <v>135</v>
      </c>
      <c r="F108" s="37" t="s">
        <v>36</v>
      </c>
      <c r="G108" s="21" t="s">
        <v>108</v>
      </c>
      <c r="H108" s="21" t="n">
        <v>1</v>
      </c>
      <c r="I108" s="21" t="s">
        <v>137</v>
      </c>
    </row>
    <row r="109" customFormat="false" ht="15" hidden="false" customHeight="false" outlineLevel="0" collapsed="false">
      <c r="A109" s="21" t="s">
        <v>315</v>
      </c>
      <c r="B109" s="21" t="s">
        <v>309</v>
      </c>
      <c r="C109" s="21"/>
      <c r="D109" s="37" t="s">
        <v>135</v>
      </c>
      <c r="E109" s="37" t="s">
        <v>135</v>
      </c>
      <c r="F109" s="37" t="s">
        <v>36</v>
      </c>
      <c r="G109" s="21" t="s">
        <v>108</v>
      </c>
      <c r="H109" s="21" t="n">
        <v>1</v>
      </c>
      <c r="I109" s="21" t="s">
        <v>137</v>
      </c>
    </row>
    <row r="110" customFormat="false" ht="15" hidden="false" customHeight="false" outlineLevel="0" collapsed="false">
      <c r="A110" s="21" t="s">
        <v>316</v>
      </c>
      <c r="B110" s="21" t="s">
        <v>309</v>
      </c>
      <c r="C110" s="21"/>
      <c r="D110" s="37" t="s">
        <v>135</v>
      </c>
      <c r="E110" s="37" t="s">
        <v>135</v>
      </c>
      <c r="F110" s="37" t="s">
        <v>36</v>
      </c>
      <c r="G110" s="21" t="s">
        <v>108</v>
      </c>
      <c r="H110" s="21" t="n">
        <v>1</v>
      </c>
      <c r="I110" s="21" t="s">
        <v>137</v>
      </c>
    </row>
    <row r="111" customFormat="false" ht="15" hidden="false" customHeight="false" outlineLevel="0" collapsed="false">
      <c r="A111" s="21" t="s">
        <v>317</v>
      </c>
      <c r="B111" s="21" t="s">
        <v>309</v>
      </c>
      <c r="C111" s="21"/>
      <c r="D111" s="37" t="s">
        <v>135</v>
      </c>
      <c r="E111" s="37" t="s">
        <v>135</v>
      </c>
      <c r="F111" s="37" t="s">
        <v>36</v>
      </c>
      <c r="G111" s="21" t="s">
        <v>108</v>
      </c>
      <c r="H111" s="21" t="n">
        <v>1</v>
      </c>
      <c r="I111" s="21" t="s">
        <v>137</v>
      </c>
    </row>
    <row r="112" customFormat="false" ht="15" hidden="false" customHeight="false" outlineLevel="0" collapsed="false">
      <c r="A112" s="21" t="s">
        <v>318</v>
      </c>
      <c r="B112" s="21" t="s">
        <v>309</v>
      </c>
      <c r="C112" s="21"/>
      <c r="D112" s="37" t="s">
        <v>135</v>
      </c>
      <c r="E112" s="37" t="s">
        <v>135</v>
      </c>
      <c r="F112" s="37" t="s">
        <v>36</v>
      </c>
      <c r="G112" s="21" t="s">
        <v>108</v>
      </c>
      <c r="H112" s="21" t="n">
        <v>1</v>
      </c>
      <c r="I112" s="21" t="s">
        <v>137</v>
      </c>
    </row>
    <row r="113" customFormat="false" ht="15" hidden="false" customHeight="false" outlineLevel="0" collapsed="false">
      <c r="A113" s="21" t="s">
        <v>319</v>
      </c>
      <c r="B113" s="21" t="s">
        <v>309</v>
      </c>
      <c r="C113" s="21"/>
      <c r="D113" s="37" t="s">
        <v>135</v>
      </c>
      <c r="E113" s="37" t="s">
        <v>135</v>
      </c>
      <c r="F113" s="37" t="s">
        <v>36</v>
      </c>
      <c r="G113" s="21" t="s">
        <v>108</v>
      </c>
      <c r="H113" s="21" t="n">
        <v>1</v>
      </c>
      <c r="I113" s="21" t="s">
        <v>137</v>
      </c>
    </row>
    <row r="114" customFormat="false" ht="15" hidden="false" customHeight="false" outlineLevel="0" collapsed="false">
      <c r="A114" s="21" t="s">
        <v>320</v>
      </c>
      <c r="B114" s="21" t="s">
        <v>309</v>
      </c>
      <c r="C114" s="21"/>
      <c r="D114" s="37" t="s">
        <v>135</v>
      </c>
      <c r="E114" s="37" t="s">
        <v>135</v>
      </c>
      <c r="F114" s="37" t="s">
        <v>36</v>
      </c>
      <c r="G114" s="21" t="s">
        <v>108</v>
      </c>
      <c r="H114" s="21" t="n">
        <v>1</v>
      </c>
      <c r="I114" s="21" t="s">
        <v>137</v>
      </c>
    </row>
    <row r="115" customFormat="false" ht="15" hidden="false" customHeight="false" outlineLevel="0" collapsed="false">
      <c r="A115" s="21" t="s">
        <v>321</v>
      </c>
      <c r="B115" s="21" t="s">
        <v>309</v>
      </c>
      <c r="C115" s="21"/>
      <c r="D115" s="37" t="s">
        <v>135</v>
      </c>
      <c r="E115" s="37" t="s">
        <v>135</v>
      </c>
      <c r="F115" s="37" t="s">
        <v>36</v>
      </c>
      <c r="G115" s="21" t="s">
        <v>108</v>
      </c>
      <c r="H115" s="21" t="n">
        <v>1</v>
      </c>
      <c r="I115" s="21" t="s">
        <v>137</v>
      </c>
    </row>
    <row r="116" customFormat="false" ht="15" hidden="false" customHeight="false" outlineLevel="0" collapsed="false">
      <c r="A116" s="21" t="s">
        <v>322</v>
      </c>
      <c r="B116" s="21" t="s">
        <v>309</v>
      </c>
      <c r="C116" s="21"/>
      <c r="D116" s="37" t="s">
        <v>135</v>
      </c>
      <c r="E116" s="37" t="s">
        <v>135</v>
      </c>
      <c r="F116" s="37" t="s">
        <v>36</v>
      </c>
      <c r="G116" s="21" t="s">
        <v>108</v>
      </c>
      <c r="H116" s="21" t="n">
        <v>1</v>
      </c>
      <c r="I116" s="21" t="s">
        <v>137</v>
      </c>
    </row>
    <row r="117" customFormat="false" ht="15" hidden="false" customHeight="false" outlineLevel="0" collapsed="false">
      <c r="A117" s="21" t="s">
        <v>323</v>
      </c>
      <c r="B117" s="21" t="s">
        <v>309</v>
      </c>
      <c r="C117" s="21"/>
      <c r="D117" s="37" t="s">
        <v>135</v>
      </c>
      <c r="E117" s="37" t="s">
        <v>135</v>
      </c>
      <c r="F117" s="37" t="s">
        <v>36</v>
      </c>
      <c r="G117" s="21" t="s">
        <v>108</v>
      </c>
      <c r="H117" s="21" t="n">
        <v>1</v>
      </c>
      <c r="I117" s="21" t="s">
        <v>137</v>
      </c>
    </row>
    <row r="118" customFormat="false" ht="15" hidden="false" customHeight="false" outlineLevel="0" collapsed="false">
      <c r="A118" s="21" t="s">
        <v>324</v>
      </c>
      <c r="B118" s="21" t="s">
        <v>309</v>
      </c>
      <c r="C118" s="21"/>
      <c r="D118" s="37" t="s">
        <v>135</v>
      </c>
      <c r="E118" s="37" t="s">
        <v>135</v>
      </c>
      <c r="F118" s="37" t="s">
        <v>36</v>
      </c>
      <c r="G118" s="21" t="s">
        <v>108</v>
      </c>
      <c r="H118" s="21" t="n">
        <v>1</v>
      </c>
      <c r="I118" s="21" t="s">
        <v>137</v>
      </c>
    </row>
    <row r="119" customFormat="false" ht="15" hidden="false" customHeight="false" outlineLevel="0" collapsed="false">
      <c r="A119" s="21" t="s">
        <v>325</v>
      </c>
      <c r="B119" s="21" t="s">
        <v>309</v>
      </c>
      <c r="C119" s="21"/>
      <c r="D119" s="37" t="s">
        <v>135</v>
      </c>
      <c r="E119" s="37" t="s">
        <v>135</v>
      </c>
      <c r="F119" s="37" t="s">
        <v>36</v>
      </c>
      <c r="G119" s="21" t="s">
        <v>108</v>
      </c>
      <c r="H119" s="21" t="n">
        <v>1</v>
      </c>
      <c r="I119" s="21" t="s">
        <v>137</v>
      </c>
    </row>
    <row r="120" customFormat="false" ht="15" hidden="false" customHeight="false" outlineLevel="0" collapsed="false">
      <c r="A120" s="21" t="s">
        <v>326</v>
      </c>
      <c r="B120" s="21" t="s">
        <v>309</v>
      </c>
      <c r="C120" s="21"/>
      <c r="D120" s="37" t="s">
        <v>135</v>
      </c>
      <c r="E120" s="37" t="s">
        <v>135</v>
      </c>
      <c r="F120" s="37" t="s">
        <v>36</v>
      </c>
      <c r="G120" s="21" t="s">
        <v>108</v>
      </c>
      <c r="H120" s="21" t="n">
        <v>1</v>
      </c>
      <c r="I120" s="21" t="s">
        <v>137</v>
      </c>
    </row>
    <row r="121" customFormat="false" ht="15" hidden="false" customHeight="false" outlineLevel="0" collapsed="false">
      <c r="A121" s="21" t="s">
        <v>327</v>
      </c>
      <c r="B121" s="21" t="s">
        <v>309</v>
      </c>
      <c r="C121" s="21"/>
      <c r="D121" s="37" t="s">
        <v>135</v>
      </c>
      <c r="E121" s="37" t="s">
        <v>135</v>
      </c>
      <c r="F121" s="37" t="s">
        <v>36</v>
      </c>
      <c r="G121" s="21" t="s">
        <v>108</v>
      </c>
      <c r="H121" s="21" t="n">
        <v>1</v>
      </c>
      <c r="I121" s="21" t="s">
        <v>137</v>
      </c>
    </row>
    <row r="122" customFormat="false" ht="15" hidden="false" customHeight="false" outlineLevel="0" collapsed="false">
      <c r="A122" s="21" t="s">
        <v>328</v>
      </c>
      <c r="B122" s="21" t="s">
        <v>309</v>
      </c>
      <c r="C122" s="21"/>
      <c r="D122" s="37" t="s">
        <v>135</v>
      </c>
      <c r="E122" s="37" t="s">
        <v>135</v>
      </c>
      <c r="F122" s="37" t="s">
        <v>36</v>
      </c>
      <c r="G122" s="21" t="s">
        <v>108</v>
      </c>
      <c r="H122" s="21" t="n">
        <v>1</v>
      </c>
      <c r="I122" s="21" t="s">
        <v>137</v>
      </c>
    </row>
    <row r="123" customFormat="false" ht="15" hidden="false" customHeight="false" outlineLevel="0" collapsed="false">
      <c r="A123" s="21" t="s">
        <v>329</v>
      </c>
      <c r="B123" s="21" t="s">
        <v>309</v>
      </c>
      <c r="C123" s="21"/>
      <c r="D123" s="37" t="s">
        <v>135</v>
      </c>
      <c r="E123" s="37" t="s">
        <v>135</v>
      </c>
      <c r="F123" s="37" t="s">
        <v>36</v>
      </c>
      <c r="G123" s="21" t="s">
        <v>108</v>
      </c>
      <c r="H123" s="21" t="n">
        <v>1</v>
      </c>
      <c r="I123" s="21" t="s">
        <v>137</v>
      </c>
    </row>
    <row r="124" customFormat="false" ht="15" hidden="false" customHeight="false" outlineLevel="0" collapsed="false">
      <c r="A124" s="21" t="s">
        <v>330</v>
      </c>
      <c r="B124" s="21" t="s">
        <v>309</v>
      </c>
      <c r="C124" s="21"/>
      <c r="D124" s="37" t="s">
        <v>135</v>
      </c>
      <c r="E124" s="37" t="s">
        <v>135</v>
      </c>
      <c r="F124" s="37" t="s">
        <v>36</v>
      </c>
      <c r="G124" s="21" t="s">
        <v>107</v>
      </c>
      <c r="H124" s="21" t="n">
        <v>1</v>
      </c>
      <c r="I124" s="21" t="s">
        <v>137</v>
      </c>
    </row>
    <row r="125" customFormat="false" ht="15" hidden="false" customHeight="false" outlineLevel="0" collapsed="false">
      <c r="A125" s="21" t="s">
        <v>331</v>
      </c>
      <c r="B125" s="21" t="s">
        <v>309</v>
      </c>
      <c r="C125" s="21"/>
      <c r="D125" s="37" t="s">
        <v>135</v>
      </c>
      <c r="E125" s="37" t="s">
        <v>135</v>
      </c>
      <c r="F125" s="37" t="s">
        <v>36</v>
      </c>
      <c r="G125" s="21" t="s">
        <v>108</v>
      </c>
      <c r="H125" s="21" t="n">
        <v>1</v>
      </c>
      <c r="I125" s="21" t="s">
        <v>137</v>
      </c>
    </row>
    <row r="126" customFormat="false" ht="15" hidden="false" customHeight="false" outlineLevel="0" collapsed="false">
      <c r="A126" s="21" t="s">
        <v>332</v>
      </c>
      <c r="B126" s="21" t="s">
        <v>309</v>
      </c>
      <c r="C126" s="21"/>
      <c r="D126" s="37" t="s">
        <v>135</v>
      </c>
      <c r="E126" s="37" t="s">
        <v>135</v>
      </c>
      <c r="F126" s="37" t="s">
        <v>36</v>
      </c>
      <c r="G126" s="21" t="s">
        <v>108</v>
      </c>
      <c r="H126" s="21" t="n">
        <v>1</v>
      </c>
      <c r="I126" s="21" t="s">
        <v>137</v>
      </c>
    </row>
    <row r="127" customFormat="false" ht="15" hidden="false" customHeight="false" outlineLevel="0" collapsed="false">
      <c r="A127" s="21" t="s">
        <v>333</v>
      </c>
      <c r="B127" s="21" t="s">
        <v>309</v>
      </c>
      <c r="C127" s="21"/>
      <c r="D127" s="37" t="s">
        <v>135</v>
      </c>
      <c r="E127" s="37" t="s">
        <v>135</v>
      </c>
      <c r="F127" s="37" t="s">
        <v>36</v>
      </c>
      <c r="G127" s="21" t="s">
        <v>108</v>
      </c>
      <c r="H127" s="21" t="n">
        <v>1</v>
      </c>
      <c r="I127" s="21" t="s">
        <v>137</v>
      </c>
    </row>
    <row r="128" customFormat="false" ht="15" hidden="false" customHeight="false" outlineLevel="0" collapsed="false">
      <c r="A128" s="21" t="s">
        <v>334</v>
      </c>
      <c r="B128" s="21" t="s">
        <v>309</v>
      </c>
      <c r="C128" s="21"/>
      <c r="D128" s="37" t="s">
        <v>135</v>
      </c>
      <c r="E128" s="37" t="s">
        <v>135</v>
      </c>
      <c r="F128" s="37" t="s">
        <v>36</v>
      </c>
      <c r="G128" s="21" t="s">
        <v>108</v>
      </c>
      <c r="H128" s="21" t="n">
        <v>1</v>
      </c>
      <c r="I128" s="21" t="s">
        <v>137</v>
      </c>
    </row>
    <row r="129" customFormat="false" ht="15" hidden="false" customHeight="false" outlineLevel="0" collapsed="false">
      <c r="A129" s="21" t="s">
        <v>335</v>
      </c>
      <c r="B129" s="21" t="s">
        <v>309</v>
      </c>
      <c r="C129" s="21"/>
      <c r="D129" s="37" t="s">
        <v>135</v>
      </c>
      <c r="E129" s="37" t="s">
        <v>135</v>
      </c>
      <c r="F129" s="37" t="s">
        <v>36</v>
      </c>
      <c r="G129" s="21" t="s">
        <v>108</v>
      </c>
      <c r="H129" s="21" t="n">
        <v>1</v>
      </c>
      <c r="I129" s="21" t="s">
        <v>137</v>
      </c>
    </row>
    <row r="130" customFormat="false" ht="15" hidden="false" customHeight="false" outlineLevel="0" collapsed="false">
      <c r="A130" s="21" t="s">
        <v>336</v>
      </c>
      <c r="B130" s="21" t="s">
        <v>309</v>
      </c>
      <c r="C130" s="21"/>
      <c r="D130" s="37" t="s">
        <v>135</v>
      </c>
      <c r="E130" s="37" t="s">
        <v>135</v>
      </c>
      <c r="F130" s="37" t="s">
        <v>36</v>
      </c>
      <c r="G130" s="21" t="s">
        <v>108</v>
      </c>
      <c r="H130" s="21" t="n">
        <v>1</v>
      </c>
      <c r="I130" s="21" t="s">
        <v>137</v>
      </c>
    </row>
    <row r="131" customFormat="false" ht="15" hidden="false" customHeight="false" outlineLevel="0" collapsed="false">
      <c r="A131" s="21" t="s">
        <v>337</v>
      </c>
      <c r="B131" s="21" t="s">
        <v>309</v>
      </c>
      <c r="C131" s="21"/>
      <c r="D131" s="37" t="s">
        <v>135</v>
      </c>
      <c r="E131" s="37" t="s">
        <v>135</v>
      </c>
      <c r="F131" s="37" t="s">
        <v>36</v>
      </c>
      <c r="G131" s="21" t="s">
        <v>108</v>
      </c>
      <c r="H131" s="21" t="n">
        <v>1</v>
      </c>
      <c r="I131" s="21" t="s">
        <v>137</v>
      </c>
    </row>
    <row r="132" customFormat="false" ht="15" hidden="false" customHeight="false" outlineLevel="0" collapsed="false">
      <c r="A132" s="21" t="s">
        <v>338</v>
      </c>
      <c r="B132" s="21" t="s">
        <v>309</v>
      </c>
      <c r="C132" s="21"/>
      <c r="D132" s="37" t="s">
        <v>135</v>
      </c>
      <c r="E132" s="37" t="s">
        <v>135</v>
      </c>
      <c r="F132" s="37" t="s">
        <v>36</v>
      </c>
      <c r="G132" s="21" t="s">
        <v>108</v>
      </c>
      <c r="H132" s="21" t="n">
        <v>1</v>
      </c>
      <c r="I132" s="21" t="s">
        <v>137</v>
      </c>
    </row>
    <row r="133" customFormat="false" ht="15" hidden="false" customHeight="false" outlineLevel="0" collapsed="false">
      <c r="A133" s="21" t="s">
        <v>339</v>
      </c>
      <c r="B133" s="21" t="s">
        <v>309</v>
      </c>
      <c r="C133" s="21"/>
      <c r="D133" s="37" t="s">
        <v>135</v>
      </c>
      <c r="E133" s="37" t="s">
        <v>135</v>
      </c>
      <c r="F133" s="37" t="s">
        <v>36</v>
      </c>
      <c r="G133" s="21" t="s">
        <v>108</v>
      </c>
      <c r="H133" s="21" t="n">
        <v>1</v>
      </c>
      <c r="I133" s="21" t="s">
        <v>137</v>
      </c>
    </row>
    <row r="134" customFormat="false" ht="15" hidden="false" customHeight="false" outlineLevel="0" collapsed="false">
      <c r="A134" s="21" t="s">
        <v>340</v>
      </c>
      <c r="B134" s="21" t="s">
        <v>309</v>
      </c>
      <c r="C134" s="21"/>
      <c r="D134" s="37" t="s">
        <v>135</v>
      </c>
      <c r="E134" s="37" t="s">
        <v>135</v>
      </c>
      <c r="F134" s="37" t="s">
        <v>36</v>
      </c>
      <c r="G134" s="21" t="s">
        <v>108</v>
      </c>
      <c r="H134" s="21" t="n">
        <v>1</v>
      </c>
      <c r="I134" s="21" t="s">
        <v>137</v>
      </c>
    </row>
    <row r="135" customFormat="false" ht="15" hidden="false" customHeight="false" outlineLevel="0" collapsed="false">
      <c r="A135" s="21" t="s">
        <v>341</v>
      </c>
      <c r="B135" s="21" t="s">
        <v>309</v>
      </c>
      <c r="C135" s="21"/>
      <c r="D135" s="37" t="s">
        <v>135</v>
      </c>
      <c r="E135" s="37" t="s">
        <v>135</v>
      </c>
      <c r="F135" s="37" t="s">
        <v>36</v>
      </c>
      <c r="G135" s="21" t="s">
        <v>108</v>
      </c>
      <c r="H135" s="21" t="n">
        <v>1</v>
      </c>
      <c r="I135" s="21" t="s">
        <v>137</v>
      </c>
    </row>
    <row r="136" customFormat="false" ht="15" hidden="false" customHeight="false" outlineLevel="0" collapsed="false">
      <c r="A136" s="21" t="s">
        <v>342</v>
      </c>
      <c r="B136" s="21" t="s">
        <v>309</v>
      </c>
      <c r="C136" s="21"/>
      <c r="D136" s="37" t="s">
        <v>135</v>
      </c>
      <c r="E136" s="37" t="s">
        <v>135</v>
      </c>
      <c r="F136" s="37" t="s">
        <v>36</v>
      </c>
      <c r="G136" s="21" t="s">
        <v>108</v>
      </c>
      <c r="H136" s="21" t="n">
        <v>1</v>
      </c>
      <c r="I136" s="21" t="s">
        <v>137</v>
      </c>
    </row>
    <row r="137" customFormat="false" ht="15" hidden="false" customHeight="false" outlineLevel="0" collapsed="false">
      <c r="A137" s="21" t="s">
        <v>343</v>
      </c>
      <c r="B137" s="21" t="s">
        <v>309</v>
      </c>
      <c r="C137" s="21"/>
      <c r="D137" s="37" t="s">
        <v>135</v>
      </c>
      <c r="E137" s="37" t="s">
        <v>135</v>
      </c>
      <c r="F137" s="37" t="s">
        <v>36</v>
      </c>
      <c r="G137" s="21" t="s">
        <v>108</v>
      </c>
      <c r="H137" s="21" t="n">
        <v>1</v>
      </c>
      <c r="I137" s="21" t="s">
        <v>137</v>
      </c>
    </row>
    <row r="138" customFormat="false" ht="15" hidden="false" customHeight="false" outlineLevel="0" collapsed="false">
      <c r="A138" s="21" t="s">
        <v>344</v>
      </c>
      <c r="B138" s="21" t="s">
        <v>309</v>
      </c>
      <c r="C138" s="21"/>
      <c r="D138" s="37" t="s">
        <v>135</v>
      </c>
      <c r="E138" s="37" t="s">
        <v>135</v>
      </c>
      <c r="F138" s="37" t="s">
        <v>36</v>
      </c>
      <c r="G138" s="21" t="s">
        <v>108</v>
      </c>
      <c r="H138" s="21" t="n">
        <v>1</v>
      </c>
      <c r="I138" s="21" t="s">
        <v>137</v>
      </c>
    </row>
    <row r="139" customFormat="false" ht="15" hidden="false" customHeight="false" outlineLevel="0" collapsed="false">
      <c r="A139" s="21" t="s">
        <v>345</v>
      </c>
      <c r="B139" s="21" t="s">
        <v>309</v>
      </c>
      <c r="C139" s="21"/>
      <c r="D139" s="37" t="s">
        <v>135</v>
      </c>
      <c r="E139" s="37" t="s">
        <v>135</v>
      </c>
      <c r="F139" s="37" t="s">
        <v>36</v>
      </c>
      <c r="G139" s="21" t="s">
        <v>108</v>
      </c>
      <c r="H139" s="21" t="n">
        <v>1</v>
      </c>
      <c r="I139" s="21" t="s">
        <v>137</v>
      </c>
    </row>
    <row r="140" customFormat="false" ht="15" hidden="false" customHeight="false" outlineLevel="0" collapsed="false">
      <c r="A140" s="21" t="s">
        <v>346</v>
      </c>
      <c r="B140" s="21" t="s">
        <v>309</v>
      </c>
      <c r="C140" s="21"/>
      <c r="D140" s="37" t="s">
        <v>135</v>
      </c>
      <c r="E140" s="37" t="s">
        <v>135</v>
      </c>
      <c r="F140" s="37" t="s">
        <v>36</v>
      </c>
      <c r="G140" s="21" t="s">
        <v>108</v>
      </c>
      <c r="H140" s="21" t="n">
        <v>1</v>
      </c>
      <c r="I140" s="21" t="s">
        <v>137</v>
      </c>
    </row>
    <row r="141" customFormat="false" ht="15" hidden="false" customHeight="false" outlineLevel="0" collapsed="false">
      <c r="A141" s="21" t="s">
        <v>347</v>
      </c>
      <c r="B141" s="21" t="s">
        <v>309</v>
      </c>
      <c r="C141" s="21"/>
      <c r="D141" s="37" t="s">
        <v>135</v>
      </c>
      <c r="E141" s="37" t="s">
        <v>135</v>
      </c>
      <c r="F141" s="37" t="s">
        <v>36</v>
      </c>
      <c r="G141" s="21" t="s">
        <v>108</v>
      </c>
      <c r="H141" s="21" t="n">
        <v>1</v>
      </c>
      <c r="I141" s="21" t="s">
        <v>137</v>
      </c>
    </row>
    <row r="142" customFormat="false" ht="15" hidden="false" customHeight="false" outlineLevel="0" collapsed="false">
      <c r="A142" s="21" t="s">
        <v>348</v>
      </c>
      <c r="B142" s="21" t="s">
        <v>309</v>
      </c>
      <c r="C142" s="21"/>
      <c r="D142" s="37" t="s">
        <v>135</v>
      </c>
      <c r="E142" s="37" t="s">
        <v>135</v>
      </c>
      <c r="F142" s="37" t="s">
        <v>36</v>
      </c>
      <c r="G142" s="21" t="s">
        <v>108</v>
      </c>
      <c r="H142" s="21" t="n">
        <v>1</v>
      </c>
      <c r="I142" s="21" t="s">
        <v>137</v>
      </c>
    </row>
    <row r="143" customFormat="false" ht="15" hidden="false" customHeight="false" outlineLevel="0" collapsed="false">
      <c r="A143" s="21" t="s">
        <v>349</v>
      </c>
      <c r="B143" s="21" t="s">
        <v>309</v>
      </c>
      <c r="C143" s="21"/>
      <c r="D143" s="37" t="s">
        <v>135</v>
      </c>
      <c r="E143" s="37" t="s">
        <v>135</v>
      </c>
      <c r="F143" s="37" t="s">
        <v>36</v>
      </c>
      <c r="G143" s="21" t="s">
        <v>108</v>
      </c>
      <c r="H143" s="21" t="n">
        <v>1</v>
      </c>
      <c r="I143" s="21" t="s">
        <v>137</v>
      </c>
    </row>
    <row r="144" customFormat="false" ht="15" hidden="false" customHeight="false" outlineLevel="0" collapsed="false">
      <c r="A144" s="21" t="s">
        <v>350</v>
      </c>
      <c r="B144" s="21" t="s">
        <v>309</v>
      </c>
      <c r="C144" s="21"/>
      <c r="D144" s="37" t="s">
        <v>135</v>
      </c>
      <c r="E144" s="37" t="s">
        <v>135</v>
      </c>
      <c r="F144" s="37" t="s">
        <v>36</v>
      </c>
      <c r="G144" s="21" t="s">
        <v>108</v>
      </c>
      <c r="H144" s="21" t="n">
        <v>1</v>
      </c>
      <c r="I144" s="21" t="s">
        <v>137</v>
      </c>
    </row>
    <row r="145" customFormat="false" ht="15" hidden="false" customHeight="false" outlineLevel="0" collapsed="false">
      <c r="A145" s="21" t="s">
        <v>351</v>
      </c>
      <c r="B145" s="21" t="s">
        <v>309</v>
      </c>
      <c r="C145" s="21"/>
      <c r="D145" s="37" t="s">
        <v>135</v>
      </c>
      <c r="E145" s="37" t="s">
        <v>135</v>
      </c>
      <c r="F145" s="37" t="s">
        <v>36</v>
      </c>
      <c r="G145" s="21" t="s">
        <v>108</v>
      </c>
      <c r="H145" s="21" t="n">
        <v>1</v>
      </c>
      <c r="I145" s="21" t="s">
        <v>137</v>
      </c>
    </row>
    <row r="146" customFormat="false" ht="15" hidden="false" customHeight="false" outlineLevel="0" collapsed="false">
      <c r="A146" s="21" t="s">
        <v>352</v>
      </c>
      <c r="B146" s="21" t="s">
        <v>309</v>
      </c>
      <c r="C146" s="21"/>
      <c r="D146" s="37" t="s">
        <v>135</v>
      </c>
      <c r="E146" s="37" t="s">
        <v>135</v>
      </c>
      <c r="F146" s="37" t="s">
        <v>36</v>
      </c>
      <c r="G146" s="21" t="s">
        <v>108</v>
      </c>
      <c r="H146" s="21" t="n">
        <v>1</v>
      </c>
      <c r="I146" s="21" t="s">
        <v>137</v>
      </c>
    </row>
    <row r="147" customFormat="false" ht="15" hidden="false" customHeight="false" outlineLevel="0" collapsed="false">
      <c r="A147" s="21" t="s">
        <v>353</v>
      </c>
      <c r="B147" s="21" t="s">
        <v>309</v>
      </c>
      <c r="C147" s="21"/>
      <c r="D147" s="37" t="s">
        <v>135</v>
      </c>
      <c r="E147" s="37" t="s">
        <v>135</v>
      </c>
      <c r="F147" s="37" t="s">
        <v>36</v>
      </c>
      <c r="G147" s="21" t="s">
        <v>108</v>
      </c>
      <c r="H147" s="21" t="n">
        <v>1</v>
      </c>
      <c r="I147" s="21" t="s">
        <v>137</v>
      </c>
    </row>
    <row r="148" customFormat="false" ht="15" hidden="false" customHeight="false" outlineLevel="0" collapsed="false">
      <c r="A148" s="21" t="s">
        <v>354</v>
      </c>
      <c r="B148" s="21" t="s">
        <v>309</v>
      </c>
      <c r="C148" s="21"/>
      <c r="D148" s="37" t="s">
        <v>135</v>
      </c>
      <c r="E148" s="37" t="s">
        <v>135</v>
      </c>
      <c r="F148" s="37" t="s">
        <v>36</v>
      </c>
      <c r="G148" s="21" t="s">
        <v>108</v>
      </c>
      <c r="H148" s="21" t="n">
        <v>1</v>
      </c>
      <c r="I148" s="21" t="s">
        <v>137</v>
      </c>
    </row>
    <row r="149" customFormat="false" ht="15" hidden="false" customHeight="false" outlineLevel="0" collapsed="false">
      <c r="A149" s="21" t="s">
        <v>355</v>
      </c>
      <c r="B149" s="21" t="s">
        <v>309</v>
      </c>
      <c r="C149" s="21"/>
      <c r="D149" s="37" t="s">
        <v>135</v>
      </c>
      <c r="E149" s="37" t="s">
        <v>135</v>
      </c>
      <c r="F149" s="37" t="s">
        <v>36</v>
      </c>
      <c r="G149" s="21" t="s">
        <v>108</v>
      </c>
      <c r="H149" s="21" t="n">
        <v>1</v>
      </c>
      <c r="I149" s="21" t="s">
        <v>137</v>
      </c>
    </row>
    <row r="150" customFormat="false" ht="15" hidden="false" customHeight="false" outlineLevel="0" collapsed="false">
      <c r="A150" s="21" t="s">
        <v>356</v>
      </c>
      <c r="B150" s="21" t="s">
        <v>309</v>
      </c>
      <c r="C150" s="21"/>
      <c r="D150" s="37" t="s">
        <v>135</v>
      </c>
      <c r="E150" s="37" t="s">
        <v>135</v>
      </c>
      <c r="F150" s="37" t="s">
        <v>36</v>
      </c>
      <c r="G150" s="21" t="s">
        <v>108</v>
      </c>
      <c r="H150" s="21" t="n">
        <v>1</v>
      </c>
      <c r="I150" s="21" t="s">
        <v>137</v>
      </c>
    </row>
    <row r="151" customFormat="false" ht="15" hidden="false" customHeight="false" outlineLevel="0" collapsed="false">
      <c r="A151" s="21" t="s">
        <v>357</v>
      </c>
      <c r="B151" s="21" t="s">
        <v>309</v>
      </c>
      <c r="C151" s="21"/>
      <c r="D151" s="37" t="s">
        <v>135</v>
      </c>
      <c r="E151" s="37" t="s">
        <v>135</v>
      </c>
      <c r="F151" s="37" t="s">
        <v>36</v>
      </c>
      <c r="G151" s="21" t="s">
        <v>108</v>
      </c>
      <c r="H151" s="21" t="n">
        <v>1</v>
      </c>
      <c r="I151" s="21" t="s">
        <v>137</v>
      </c>
    </row>
    <row r="152" customFormat="false" ht="15" hidden="false" customHeight="false" outlineLevel="0" collapsed="false">
      <c r="A152" s="21" t="s">
        <v>358</v>
      </c>
      <c r="B152" s="21" t="s">
        <v>309</v>
      </c>
      <c r="C152" s="21"/>
      <c r="D152" s="37" t="s">
        <v>135</v>
      </c>
      <c r="E152" s="37" t="s">
        <v>135</v>
      </c>
      <c r="F152" s="37" t="s">
        <v>36</v>
      </c>
      <c r="G152" s="21" t="s">
        <v>108</v>
      </c>
      <c r="H152" s="21" t="n">
        <v>1</v>
      </c>
      <c r="I152" s="21" t="s">
        <v>137</v>
      </c>
    </row>
    <row r="153" customFormat="false" ht="15" hidden="false" customHeight="false" outlineLevel="0" collapsed="false">
      <c r="A153" s="21" t="s">
        <v>359</v>
      </c>
      <c r="B153" s="21" t="s">
        <v>309</v>
      </c>
      <c r="C153" s="21"/>
      <c r="D153" s="37" t="s">
        <v>135</v>
      </c>
      <c r="E153" s="37" t="s">
        <v>135</v>
      </c>
      <c r="F153" s="37" t="s">
        <v>36</v>
      </c>
      <c r="G153" s="21" t="s">
        <v>108</v>
      </c>
      <c r="H153" s="21" t="n">
        <v>1</v>
      </c>
      <c r="I153" s="21" t="s">
        <v>137</v>
      </c>
    </row>
    <row r="154" customFormat="false" ht="15" hidden="false" customHeight="false" outlineLevel="0" collapsed="false">
      <c r="A154" s="21" t="s">
        <v>360</v>
      </c>
      <c r="B154" s="21" t="s">
        <v>309</v>
      </c>
      <c r="C154" s="21"/>
      <c r="D154" s="37" t="s">
        <v>135</v>
      </c>
      <c r="E154" s="37" t="s">
        <v>135</v>
      </c>
      <c r="F154" s="37" t="s">
        <v>36</v>
      </c>
      <c r="G154" s="21" t="s">
        <v>108</v>
      </c>
      <c r="H154" s="21" t="n">
        <v>1</v>
      </c>
      <c r="I154" s="21" t="s">
        <v>137</v>
      </c>
    </row>
    <row r="155" customFormat="false" ht="15" hidden="false" customHeight="false" outlineLevel="0" collapsed="false">
      <c r="A155" s="21" t="s">
        <v>361</v>
      </c>
      <c r="B155" s="21" t="s">
        <v>309</v>
      </c>
      <c r="C155" s="21"/>
      <c r="D155" s="37" t="s">
        <v>135</v>
      </c>
      <c r="E155" s="37" t="s">
        <v>135</v>
      </c>
      <c r="F155" s="37" t="s">
        <v>36</v>
      </c>
      <c r="G155" s="21" t="s">
        <v>108</v>
      </c>
      <c r="H155" s="21" t="n">
        <v>1</v>
      </c>
      <c r="I155" s="21" t="s">
        <v>137</v>
      </c>
    </row>
    <row r="156" customFormat="false" ht="15" hidden="false" customHeight="false" outlineLevel="0" collapsed="false">
      <c r="A156" s="21" t="s">
        <v>362</v>
      </c>
      <c r="B156" s="21" t="s">
        <v>309</v>
      </c>
      <c r="C156" s="21"/>
      <c r="D156" s="37" t="s">
        <v>135</v>
      </c>
      <c r="E156" s="37" t="s">
        <v>135</v>
      </c>
      <c r="F156" s="37" t="s">
        <v>36</v>
      </c>
      <c r="G156" s="21" t="s">
        <v>108</v>
      </c>
      <c r="H156" s="21" t="n">
        <v>1</v>
      </c>
      <c r="I156" s="21" t="s">
        <v>137</v>
      </c>
    </row>
    <row r="157" customFormat="false" ht="15" hidden="false" customHeight="false" outlineLevel="0" collapsed="false">
      <c r="A157" s="21" t="s">
        <v>363</v>
      </c>
      <c r="B157" s="21" t="s">
        <v>309</v>
      </c>
      <c r="C157" s="21"/>
      <c r="D157" s="37" t="s">
        <v>135</v>
      </c>
      <c r="E157" s="37" t="s">
        <v>135</v>
      </c>
      <c r="F157" s="37" t="s">
        <v>36</v>
      </c>
      <c r="G157" s="21" t="s">
        <v>108</v>
      </c>
      <c r="H157" s="21" t="n">
        <v>1</v>
      </c>
      <c r="I157" s="21" t="s">
        <v>137</v>
      </c>
    </row>
    <row r="158" customFormat="false" ht="15" hidden="false" customHeight="false" outlineLevel="0" collapsed="false">
      <c r="A158" s="21" t="s">
        <v>364</v>
      </c>
      <c r="B158" s="21" t="s">
        <v>309</v>
      </c>
      <c r="C158" s="21"/>
      <c r="D158" s="37" t="s">
        <v>135</v>
      </c>
      <c r="E158" s="37" t="s">
        <v>135</v>
      </c>
      <c r="F158" s="37" t="s">
        <v>36</v>
      </c>
      <c r="G158" s="21" t="s">
        <v>108</v>
      </c>
      <c r="H158" s="21" t="n">
        <v>1</v>
      </c>
      <c r="I158" s="21" t="s">
        <v>137</v>
      </c>
    </row>
    <row r="159" customFormat="false" ht="15" hidden="false" customHeight="false" outlineLevel="0" collapsed="false">
      <c r="A159" s="21" t="s">
        <v>365</v>
      </c>
      <c r="B159" s="21" t="s">
        <v>309</v>
      </c>
      <c r="C159" s="21"/>
      <c r="D159" s="37" t="s">
        <v>135</v>
      </c>
      <c r="E159" s="37" t="s">
        <v>135</v>
      </c>
      <c r="F159" s="37" t="s">
        <v>36</v>
      </c>
      <c r="G159" s="21" t="s">
        <v>108</v>
      </c>
      <c r="H159" s="21" t="n">
        <v>1</v>
      </c>
      <c r="I159" s="21" t="s">
        <v>137</v>
      </c>
    </row>
    <row r="160" customFormat="false" ht="15" hidden="false" customHeight="false" outlineLevel="0" collapsed="false">
      <c r="A160" s="21" t="s">
        <v>366</v>
      </c>
      <c r="B160" s="21" t="s">
        <v>309</v>
      </c>
      <c r="C160" s="21"/>
      <c r="D160" s="37" t="s">
        <v>135</v>
      </c>
      <c r="E160" s="37" t="s">
        <v>135</v>
      </c>
      <c r="F160" s="37" t="s">
        <v>36</v>
      </c>
      <c r="G160" s="21" t="s">
        <v>108</v>
      </c>
      <c r="H160" s="21" t="n">
        <v>1</v>
      </c>
      <c r="I160" s="21" t="s">
        <v>137</v>
      </c>
    </row>
    <row r="161" customFormat="false" ht="15" hidden="false" customHeight="false" outlineLevel="0" collapsed="false">
      <c r="A161" s="21" t="s">
        <v>367</v>
      </c>
      <c r="B161" s="21" t="s">
        <v>309</v>
      </c>
      <c r="C161" s="21"/>
      <c r="D161" s="37" t="s">
        <v>135</v>
      </c>
      <c r="E161" s="37" t="s">
        <v>135</v>
      </c>
      <c r="F161" s="37" t="s">
        <v>36</v>
      </c>
      <c r="G161" s="21" t="s">
        <v>108</v>
      </c>
      <c r="H161" s="21" t="n">
        <v>1</v>
      </c>
      <c r="I161" s="21" t="s">
        <v>137</v>
      </c>
    </row>
    <row r="162" customFormat="false" ht="15" hidden="false" customHeight="false" outlineLevel="0" collapsed="false">
      <c r="A162" s="21" t="s">
        <v>368</v>
      </c>
      <c r="B162" s="21" t="s">
        <v>309</v>
      </c>
      <c r="C162" s="21"/>
      <c r="D162" s="37" t="s">
        <v>135</v>
      </c>
      <c r="E162" s="37" t="s">
        <v>135</v>
      </c>
      <c r="F162" s="37" t="s">
        <v>36</v>
      </c>
      <c r="G162" s="21" t="s">
        <v>108</v>
      </c>
      <c r="H162" s="21" t="n">
        <v>1</v>
      </c>
      <c r="I162" s="21" t="s">
        <v>137</v>
      </c>
    </row>
    <row r="163" customFormat="false" ht="15" hidden="false" customHeight="false" outlineLevel="0" collapsed="false">
      <c r="A163" s="21" t="s">
        <v>369</v>
      </c>
      <c r="B163" s="21" t="s">
        <v>309</v>
      </c>
      <c r="C163" s="21"/>
      <c r="D163" s="37" t="s">
        <v>135</v>
      </c>
      <c r="E163" s="37" t="s">
        <v>135</v>
      </c>
      <c r="F163" s="37" t="s">
        <v>36</v>
      </c>
      <c r="G163" s="21" t="s">
        <v>108</v>
      </c>
      <c r="H163" s="21" t="n">
        <v>1</v>
      </c>
      <c r="I163" s="21" t="s">
        <v>137</v>
      </c>
    </row>
    <row r="164" customFormat="false" ht="15" hidden="false" customHeight="false" outlineLevel="0" collapsed="false">
      <c r="A164" s="21" t="s">
        <v>370</v>
      </c>
      <c r="B164" s="21" t="s">
        <v>309</v>
      </c>
      <c r="C164" s="21"/>
      <c r="D164" s="37" t="s">
        <v>135</v>
      </c>
      <c r="E164" s="37" t="s">
        <v>135</v>
      </c>
      <c r="F164" s="37" t="s">
        <v>36</v>
      </c>
      <c r="G164" s="21" t="s">
        <v>108</v>
      </c>
      <c r="H164" s="21" t="n">
        <v>1</v>
      </c>
      <c r="I164" s="21" t="s">
        <v>137</v>
      </c>
    </row>
    <row r="165" customFormat="false" ht="15" hidden="false" customHeight="false" outlineLevel="0" collapsed="false">
      <c r="A165" s="21" t="s">
        <v>371</v>
      </c>
      <c r="B165" s="21" t="s">
        <v>309</v>
      </c>
      <c r="C165" s="21"/>
      <c r="D165" s="37" t="s">
        <v>135</v>
      </c>
      <c r="E165" s="37" t="s">
        <v>135</v>
      </c>
      <c r="F165" s="37" t="s">
        <v>36</v>
      </c>
      <c r="G165" s="21" t="s">
        <v>108</v>
      </c>
      <c r="H165" s="21" t="n">
        <v>1</v>
      </c>
      <c r="I165" s="21" t="s">
        <v>137</v>
      </c>
    </row>
    <row r="166" customFormat="false" ht="15" hidden="false" customHeight="false" outlineLevel="0" collapsed="false">
      <c r="A166" s="21" t="s">
        <v>372</v>
      </c>
      <c r="B166" s="21" t="s">
        <v>309</v>
      </c>
      <c r="C166" s="21"/>
      <c r="D166" s="37" t="s">
        <v>135</v>
      </c>
      <c r="E166" s="37" t="s">
        <v>135</v>
      </c>
      <c r="F166" s="37" t="s">
        <v>36</v>
      </c>
      <c r="G166" s="21" t="s">
        <v>108</v>
      </c>
      <c r="H166" s="21" t="n">
        <v>1</v>
      </c>
      <c r="I166" s="21" t="s">
        <v>137</v>
      </c>
    </row>
    <row r="167" customFormat="false" ht="15" hidden="false" customHeight="false" outlineLevel="0" collapsed="false">
      <c r="A167" s="21" t="s">
        <v>373</v>
      </c>
      <c r="B167" s="21" t="s">
        <v>309</v>
      </c>
      <c r="C167" s="21"/>
      <c r="D167" s="37" t="s">
        <v>135</v>
      </c>
      <c r="E167" s="37" t="s">
        <v>135</v>
      </c>
      <c r="F167" s="37" t="s">
        <v>36</v>
      </c>
      <c r="G167" s="21" t="s">
        <v>108</v>
      </c>
      <c r="H167" s="21" t="n">
        <v>1</v>
      </c>
      <c r="I167" s="21" t="s">
        <v>137</v>
      </c>
    </row>
    <row r="168" customFormat="false" ht="15" hidden="false" customHeight="false" outlineLevel="0" collapsed="false">
      <c r="A168" s="21" t="s">
        <v>374</v>
      </c>
      <c r="B168" s="21" t="s">
        <v>309</v>
      </c>
      <c r="C168" s="21"/>
      <c r="D168" s="37" t="s">
        <v>135</v>
      </c>
      <c r="E168" s="37" t="s">
        <v>135</v>
      </c>
      <c r="F168" s="37" t="s">
        <v>36</v>
      </c>
      <c r="G168" s="21" t="s">
        <v>108</v>
      </c>
      <c r="H168" s="21" t="n">
        <v>1</v>
      </c>
      <c r="I168" s="21" t="s">
        <v>137</v>
      </c>
    </row>
    <row r="169" customFormat="false" ht="15" hidden="false" customHeight="false" outlineLevel="0" collapsed="false">
      <c r="A169" s="21" t="s">
        <v>375</v>
      </c>
      <c r="B169" s="21" t="s">
        <v>309</v>
      </c>
      <c r="C169" s="21"/>
      <c r="D169" s="37" t="s">
        <v>135</v>
      </c>
      <c r="E169" s="37" t="s">
        <v>135</v>
      </c>
      <c r="F169" s="37" t="s">
        <v>36</v>
      </c>
      <c r="G169" s="21" t="s">
        <v>108</v>
      </c>
      <c r="H169" s="21" t="n">
        <v>1</v>
      </c>
      <c r="I169" s="21" t="s">
        <v>137</v>
      </c>
    </row>
    <row r="170" customFormat="false" ht="15" hidden="false" customHeight="false" outlineLevel="0" collapsed="false">
      <c r="A170" s="21" t="s">
        <v>376</v>
      </c>
      <c r="B170" s="21" t="s">
        <v>309</v>
      </c>
      <c r="C170" s="21"/>
      <c r="D170" s="37" t="s">
        <v>135</v>
      </c>
      <c r="E170" s="37" t="s">
        <v>135</v>
      </c>
      <c r="F170" s="37" t="s">
        <v>36</v>
      </c>
      <c r="G170" s="21" t="s">
        <v>108</v>
      </c>
      <c r="H170" s="21" t="n">
        <v>1</v>
      </c>
      <c r="I170" s="21" t="s">
        <v>137</v>
      </c>
    </row>
    <row r="171" customFormat="false" ht="15" hidden="false" customHeight="false" outlineLevel="0" collapsed="false">
      <c r="A171" s="21" t="s">
        <v>377</v>
      </c>
      <c r="B171" s="21" t="s">
        <v>309</v>
      </c>
      <c r="C171" s="21"/>
      <c r="D171" s="37" t="s">
        <v>135</v>
      </c>
      <c r="E171" s="37" t="s">
        <v>135</v>
      </c>
      <c r="F171" s="37" t="s">
        <v>36</v>
      </c>
      <c r="G171" s="21" t="s">
        <v>107</v>
      </c>
      <c r="H171" s="21" t="n">
        <v>1</v>
      </c>
      <c r="I171" s="21" t="s">
        <v>137</v>
      </c>
    </row>
    <row r="172" customFormat="false" ht="15" hidden="false" customHeight="false" outlineLevel="0" collapsed="false">
      <c r="A172" s="21" t="s">
        <v>378</v>
      </c>
      <c r="B172" s="21" t="s">
        <v>309</v>
      </c>
      <c r="C172" s="21"/>
      <c r="D172" s="37" t="s">
        <v>135</v>
      </c>
      <c r="E172" s="37" t="s">
        <v>135</v>
      </c>
      <c r="F172" s="37" t="s">
        <v>36</v>
      </c>
      <c r="G172" s="21" t="s">
        <v>108</v>
      </c>
      <c r="H172" s="21" t="n">
        <v>1</v>
      </c>
      <c r="I172" s="21" t="s">
        <v>137</v>
      </c>
    </row>
    <row r="173" customFormat="false" ht="15" hidden="false" customHeight="false" outlineLevel="0" collapsed="false">
      <c r="A173" s="21" t="s">
        <v>379</v>
      </c>
      <c r="B173" s="21" t="s">
        <v>309</v>
      </c>
      <c r="C173" s="21"/>
      <c r="D173" s="37" t="s">
        <v>135</v>
      </c>
      <c r="E173" s="37" t="s">
        <v>135</v>
      </c>
      <c r="F173" s="37" t="s">
        <v>36</v>
      </c>
      <c r="G173" s="21" t="s">
        <v>108</v>
      </c>
      <c r="H173" s="21" t="n">
        <v>1</v>
      </c>
      <c r="I173" s="21" t="s">
        <v>137</v>
      </c>
    </row>
    <row r="174" customFormat="false" ht="15" hidden="false" customHeight="false" outlineLevel="0" collapsed="false">
      <c r="A174" s="21" t="s">
        <v>380</v>
      </c>
      <c r="B174" s="21" t="s">
        <v>309</v>
      </c>
      <c r="C174" s="21"/>
      <c r="D174" s="37" t="s">
        <v>135</v>
      </c>
      <c r="E174" s="37" t="s">
        <v>135</v>
      </c>
      <c r="F174" s="37" t="s">
        <v>36</v>
      </c>
      <c r="G174" s="21" t="s">
        <v>108</v>
      </c>
      <c r="H174" s="21" t="n">
        <v>1</v>
      </c>
      <c r="I174" s="21" t="s">
        <v>137</v>
      </c>
    </row>
    <row r="175" customFormat="false" ht="15" hidden="false" customHeight="false" outlineLevel="0" collapsed="false">
      <c r="A175" s="21" t="s">
        <v>381</v>
      </c>
      <c r="B175" s="21" t="s">
        <v>309</v>
      </c>
      <c r="C175" s="21"/>
      <c r="D175" s="37" t="s">
        <v>135</v>
      </c>
      <c r="E175" s="37" t="s">
        <v>135</v>
      </c>
      <c r="F175" s="37" t="s">
        <v>36</v>
      </c>
      <c r="G175" s="21" t="s">
        <v>108</v>
      </c>
      <c r="H175" s="21" t="n">
        <v>1</v>
      </c>
      <c r="I175" s="21" t="s">
        <v>137</v>
      </c>
    </row>
    <row r="176" customFormat="false" ht="15" hidden="false" customHeight="false" outlineLevel="0" collapsed="false">
      <c r="A176" s="21" t="s">
        <v>382</v>
      </c>
      <c r="B176" s="21" t="s">
        <v>309</v>
      </c>
      <c r="C176" s="21"/>
      <c r="D176" s="37" t="s">
        <v>135</v>
      </c>
      <c r="E176" s="37" t="s">
        <v>135</v>
      </c>
      <c r="F176" s="37" t="s">
        <v>36</v>
      </c>
      <c r="G176" s="21" t="s">
        <v>108</v>
      </c>
      <c r="H176" s="21" t="n">
        <v>1</v>
      </c>
      <c r="I176" s="21" t="s">
        <v>137</v>
      </c>
    </row>
    <row r="177" customFormat="false" ht="15" hidden="false" customHeight="false" outlineLevel="0" collapsed="false">
      <c r="A177" s="21" t="s">
        <v>383</v>
      </c>
      <c r="B177" s="21" t="s">
        <v>309</v>
      </c>
      <c r="C177" s="21"/>
      <c r="D177" s="37" t="s">
        <v>135</v>
      </c>
      <c r="E177" s="37" t="s">
        <v>135</v>
      </c>
      <c r="F177" s="37" t="s">
        <v>36</v>
      </c>
      <c r="G177" s="21" t="s">
        <v>108</v>
      </c>
      <c r="H177" s="21" t="n">
        <v>1</v>
      </c>
      <c r="I177" s="21" t="s">
        <v>137</v>
      </c>
    </row>
    <row r="178" customFormat="false" ht="15" hidden="false" customHeight="false" outlineLevel="0" collapsed="false">
      <c r="A178" s="21" t="s">
        <v>384</v>
      </c>
      <c r="B178" s="21" t="s">
        <v>309</v>
      </c>
      <c r="C178" s="21"/>
      <c r="D178" s="37" t="s">
        <v>135</v>
      </c>
      <c r="E178" s="37" t="s">
        <v>135</v>
      </c>
      <c r="F178" s="37" t="s">
        <v>36</v>
      </c>
      <c r="G178" s="21" t="s">
        <v>108</v>
      </c>
      <c r="H178" s="21" t="n">
        <v>1</v>
      </c>
      <c r="I178" s="21" t="s">
        <v>137</v>
      </c>
    </row>
    <row r="179" customFormat="false" ht="15" hidden="false" customHeight="false" outlineLevel="0" collapsed="false">
      <c r="A179" s="21" t="s">
        <v>385</v>
      </c>
      <c r="B179" s="21" t="s">
        <v>309</v>
      </c>
      <c r="C179" s="21"/>
      <c r="D179" s="37" t="s">
        <v>135</v>
      </c>
      <c r="E179" s="37" t="s">
        <v>135</v>
      </c>
      <c r="F179" s="37" t="s">
        <v>36</v>
      </c>
      <c r="G179" s="21" t="s">
        <v>107</v>
      </c>
      <c r="H179" s="21" t="n">
        <v>1</v>
      </c>
      <c r="I179" s="21" t="s">
        <v>137</v>
      </c>
    </row>
    <row r="180" customFormat="false" ht="15" hidden="false" customHeight="false" outlineLevel="0" collapsed="false">
      <c r="A180" s="21" t="s">
        <v>386</v>
      </c>
      <c r="B180" s="21" t="s">
        <v>309</v>
      </c>
      <c r="C180" s="21"/>
      <c r="D180" s="37" t="s">
        <v>135</v>
      </c>
      <c r="E180" s="37" t="s">
        <v>135</v>
      </c>
      <c r="F180" s="37" t="s">
        <v>36</v>
      </c>
      <c r="G180" s="21" t="s">
        <v>108</v>
      </c>
      <c r="H180" s="21" t="n">
        <v>1</v>
      </c>
      <c r="I180" s="21" t="s">
        <v>137</v>
      </c>
    </row>
    <row r="181" customFormat="false" ht="15" hidden="false" customHeight="false" outlineLevel="0" collapsed="false">
      <c r="A181" s="21" t="s">
        <v>387</v>
      </c>
      <c r="B181" s="21" t="s">
        <v>309</v>
      </c>
      <c r="C181" s="21"/>
      <c r="D181" s="37" t="s">
        <v>135</v>
      </c>
      <c r="E181" s="37" t="s">
        <v>135</v>
      </c>
      <c r="F181" s="37" t="s">
        <v>36</v>
      </c>
      <c r="G181" s="21" t="s">
        <v>108</v>
      </c>
      <c r="H181" s="21" t="n">
        <v>1</v>
      </c>
      <c r="I181" s="21" t="s">
        <v>137</v>
      </c>
    </row>
    <row r="182" customFormat="false" ht="15" hidden="false" customHeight="false" outlineLevel="0" collapsed="false">
      <c r="A182" s="21" t="s">
        <v>388</v>
      </c>
      <c r="B182" s="21" t="s">
        <v>309</v>
      </c>
      <c r="C182" s="21"/>
      <c r="D182" s="37" t="s">
        <v>135</v>
      </c>
      <c r="E182" s="37" t="s">
        <v>135</v>
      </c>
      <c r="F182" s="37" t="s">
        <v>36</v>
      </c>
      <c r="G182" s="21" t="s">
        <v>108</v>
      </c>
      <c r="H182" s="21" t="n">
        <v>1</v>
      </c>
      <c r="I182" s="21" t="s">
        <v>137</v>
      </c>
    </row>
    <row r="183" customFormat="false" ht="15" hidden="false" customHeight="false" outlineLevel="0" collapsed="false">
      <c r="A183" s="21" t="s">
        <v>389</v>
      </c>
      <c r="B183" s="21" t="s">
        <v>309</v>
      </c>
      <c r="C183" s="21"/>
      <c r="D183" s="37" t="s">
        <v>135</v>
      </c>
      <c r="E183" s="37" t="s">
        <v>135</v>
      </c>
      <c r="F183" s="37" t="s">
        <v>36</v>
      </c>
      <c r="G183" s="21" t="s">
        <v>108</v>
      </c>
      <c r="H183" s="21" t="n">
        <v>1</v>
      </c>
      <c r="I183" s="21" t="s">
        <v>137</v>
      </c>
    </row>
    <row r="184" customFormat="false" ht="15" hidden="false" customHeight="false" outlineLevel="0" collapsed="false">
      <c r="A184" s="21" t="s">
        <v>390</v>
      </c>
      <c r="B184" s="21" t="s">
        <v>309</v>
      </c>
      <c r="C184" s="21"/>
      <c r="D184" s="37" t="s">
        <v>135</v>
      </c>
      <c r="E184" s="37" t="s">
        <v>135</v>
      </c>
      <c r="F184" s="37" t="s">
        <v>36</v>
      </c>
      <c r="G184" s="21" t="s">
        <v>108</v>
      </c>
      <c r="H184" s="21" t="n">
        <v>1</v>
      </c>
      <c r="I184" s="21" t="s">
        <v>137</v>
      </c>
    </row>
    <row r="185" customFormat="false" ht="15" hidden="false" customHeight="false" outlineLevel="0" collapsed="false">
      <c r="A185" s="21" t="s">
        <v>391</v>
      </c>
      <c r="B185" s="21" t="s">
        <v>309</v>
      </c>
      <c r="C185" s="21"/>
      <c r="D185" s="37" t="s">
        <v>135</v>
      </c>
      <c r="E185" s="37" t="s">
        <v>135</v>
      </c>
      <c r="F185" s="37" t="s">
        <v>36</v>
      </c>
      <c r="G185" s="21" t="s">
        <v>108</v>
      </c>
      <c r="H185" s="21" t="n">
        <v>1</v>
      </c>
      <c r="I185" s="21" t="s">
        <v>137</v>
      </c>
    </row>
    <row r="186" customFormat="false" ht="15" hidden="false" customHeight="false" outlineLevel="0" collapsed="false">
      <c r="A186" s="21" t="s">
        <v>392</v>
      </c>
      <c r="B186" s="21" t="s">
        <v>309</v>
      </c>
      <c r="C186" s="21"/>
      <c r="D186" s="37" t="s">
        <v>135</v>
      </c>
      <c r="E186" s="37" t="s">
        <v>135</v>
      </c>
      <c r="F186" s="37" t="s">
        <v>36</v>
      </c>
      <c r="G186" s="21" t="s">
        <v>108</v>
      </c>
      <c r="H186" s="21" t="n">
        <v>1</v>
      </c>
      <c r="I186" s="21" t="s">
        <v>137</v>
      </c>
    </row>
    <row r="187" customFormat="false" ht="15" hidden="false" customHeight="false" outlineLevel="0" collapsed="false">
      <c r="A187" s="21" t="s">
        <v>393</v>
      </c>
      <c r="B187" s="21" t="s">
        <v>309</v>
      </c>
      <c r="C187" s="21"/>
      <c r="D187" s="37" t="s">
        <v>135</v>
      </c>
      <c r="E187" s="37" t="s">
        <v>135</v>
      </c>
      <c r="F187" s="37" t="s">
        <v>36</v>
      </c>
      <c r="G187" s="21" t="s">
        <v>108</v>
      </c>
      <c r="H187" s="21" t="n">
        <v>1</v>
      </c>
      <c r="I187" s="21" t="s">
        <v>137</v>
      </c>
    </row>
    <row r="188" customFormat="false" ht="15" hidden="false" customHeight="false" outlineLevel="0" collapsed="false">
      <c r="A188" s="21" t="s">
        <v>394</v>
      </c>
      <c r="B188" s="21" t="s">
        <v>309</v>
      </c>
      <c r="C188" s="21"/>
      <c r="D188" s="37" t="s">
        <v>135</v>
      </c>
      <c r="E188" s="37" t="s">
        <v>135</v>
      </c>
      <c r="F188" s="37" t="s">
        <v>36</v>
      </c>
      <c r="G188" s="21" t="s">
        <v>108</v>
      </c>
      <c r="H188" s="21" t="n">
        <v>1</v>
      </c>
      <c r="I188" s="21" t="s">
        <v>137</v>
      </c>
    </row>
    <row r="189" customFormat="false" ht="15" hidden="false" customHeight="false" outlineLevel="0" collapsed="false">
      <c r="A189" s="21" t="s">
        <v>395</v>
      </c>
      <c r="B189" s="21" t="s">
        <v>309</v>
      </c>
      <c r="C189" s="21"/>
      <c r="D189" s="37" t="s">
        <v>135</v>
      </c>
      <c r="E189" s="37" t="s">
        <v>135</v>
      </c>
      <c r="F189" s="37" t="s">
        <v>36</v>
      </c>
      <c r="G189" s="21" t="s">
        <v>108</v>
      </c>
      <c r="H189" s="21" t="n">
        <v>1</v>
      </c>
      <c r="I189" s="21" t="s">
        <v>137</v>
      </c>
    </row>
    <row r="190" customFormat="false" ht="15" hidden="false" customHeight="false" outlineLevel="0" collapsed="false">
      <c r="A190" s="21" t="s">
        <v>396</v>
      </c>
      <c r="B190" s="21" t="s">
        <v>309</v>
      </c>
      <c r="C190" s="21"/>
      <c r="D190" s="37" t="s">
        <v>135</v>
      </c>
      <c r="E190" s="37" t="s">
        <v>135</v>
      </c>
      <c r="F190" s="37" t="s">
        <v>36</v>
      </c>
      <c r="G190" s="21" t="s">
        <v>108</v>
      </c>
      <c r="H190" s="21" t="n">
        <v>1</v>
      </c>
      <c r="I190" s="21" t="s">
        <v>137</v>
      </c>
    </row>
    <row r="191" customFormat="false" ht="15" hidden="false" customHeight="false" outlineLevel="0" collapsed="false">
      <c r="A191" s="21" t="s">
        <v>397</v>
      </c>
      <c r="B191" s="21" t="s">
        <v>398</v>
      </c>
      <c r="C191" s="21"/>
      <c r="D191" s="37" t="s">
        <v>84</v>
      </c>
      <c r="E191" s="37" t="s">
        <v>84</v>
      </c>
      <c r="F191" s="37" t="s">
        <v>36</v>
      </c>
      <c r="G191" s="21" t="s">
        <v>109</v>
      </c>
      <c r="H191" s="21" t="n">
        <v>1</v>
      </c>
      <c r="I191" s="21" t="s">
        <v>137</v>
      </c>
    </row>
    <row r="192" customFormat="false" ht="15" hidden="false" customHeight="false" outlineLevel="0" collapsed="false">
      <c r="A192" s="21" t="s">
        <v>399</v>
      </c>
      <c r="B192" s="21" t="s">
        <v>398</v>
      </c>
      <c r="C192" s="21"/>
      <c r="D192" s="37" t="s">
        <v>84</v>
      </c>
      <c r="E192" s="37" t="s">
        <v>84</v>
      </c>
      <c r="F192" s="37" t="s">
        <v>36</v>
      </c>
      <c r="G192" s="21" t="s">
        <v>109</v>
      </c>
      <c r="H192" s="21" t="n">
        <v>1</v>
      </c>
      <c r="I192" s="21" t="s">
        <v>137</v>
      </c>
    </row>
    <row r="193" customFormat="false" ht="15" hidden="false" customHeight="false" outlineLevel="0" collapsed="false">
      <c r="A193" s="21" t="s">
        <v>400</v>
      </c>
      <c r="B193" s="21" t="s">
        <v>398</v>
      </c>
      <c r="C193" s="21"/>
      <c r="D193" s="37" t="s">
        <v>84</v>
      </c>
      <c r="E193" s="37" t="s">
        <v>84</v>
      </c>
      <c r="F193" s="37" t="s">
        <v>36</v>
      </c>
      <c r="G193" s="21" t="s">
        <v>111</v>
      </c>
      <c r="H193" s="21" t="n">
        <v>1</v>
      </c>
      <c r="I193" s="21" t="s">
        <v>137</v>
      </c>
    </row>
    <row r="194" customFormat="false" ht="15" hidden="false" customHeight="false" outlineLevel="0" collapsed="false">
      <c r="A194" s="21" t="s">
        <v>401</v>
      </c>
      <c r="B194" s="21" t="s">
        <v>398</v>
      </c>
      <c r="C194" s="21"/>
      <c r="D194" s="37" t="s">
        <v>84</v>
      </c>
      <c r="E194" s="37" t="s">
        <v>84</v>
      </c>
      <c r="F194" s="37" t="s">
        <v>36</v>
      </c>
      <c r="G194" s="21" t="s">
        <v>111</v>
      </c>
      <c r="H194" s="21" t="n">
        <v>1</v>
      </c>
      <c r="I194" s="21" t="s">
        <v>137</v>
      </c>
    </row>
    <row r="195" customFormat="false" ht="15" hidden="false" customHeight="false" outlineLevel="0" collapsed="false">
      <c r="A195" s="21" t="s">
        <v>402</v>
      </c>
      <c r="B195" s="21" t="s">
        <v>398</v>
      </c>
      <c r="C195" s="21"/>
      <c r="D195" s="37" t="s">
        <v>84</v>
      </c>
      <c r="E195" s="37" t="s">
        <v>84</v>
      </c>
      <c r="F195" s="37" t="s">
        <v>36</v>
      </c>
      <c r="G195" s="21" t="s">
        <v>111</v>
      </c>
      <c r="H195" s="21" t="n">
        <v>1</v>
      </c>
      <c r="I195" s="21" t="s">
        <v>137</v>
      </c>
    </row>
    <row r="196" customFormat="false" ht="15" hidden="false" customHeight="false" outlineLevel="0" collapsed="false">
      <c r="A196" s="21" t="s">
        <v>403</v>
      </c>
      <c r="B196" s="21" t="s">
        <v>398</v>
      </c>
      <c r="C196" s="21"/>
      <c r="D196" s="37" t="s">
        <v>84</v>
      </c>
      <c r="E196" s="37" t="s">
        <v>84</v>
      </c>
      <c r="F196" s="37" t="s">
        <v>36</v>
      </c>
      <c r="G196" s="21" t="s">
        <v>109</v>
      </c>
      <c r="H196" s="21" t="n">
        <v>1</v>
      </c>
      <c r="I196" s="21" t="s">
        <v>137</v>
      </c>
    </row>
    <row r="197" customFormat="false" ht="15" hidden="false" customHeight="false" outlineLevel="0" collapsed="false">
      <c r="A197" s="21" t="s">
        <v>404</v>
      </c>
      <c r="B197" s="21" t="s">
        <v>224</v>
      </c>
      <c r="C197" s="21"/>
      <c r="D197" s="37" t="s">
        <v>225</v>
      </c>
      <c r="E197" s="37" t="s">
        <v>26</v>
      </c>
      <c r="F197" s="37" t="s">
        <v>36</v>
      </c>
      <c r="G197" s="21" t="s">
        <v>113</v>
      </c>
      <c r="H197" s="21" t="n">
        <v>1</v>
      </c>
      <c r="I197" s="21" t="s">
        <v>137</v>
      </c>
    </row>
    <row r="198" customFormat="false" ht="15" hidden="false" customHeight="false" outlineLevel="0" collapsed="false">
      <c r="A198" s="21" t="s">
        <v>405</v>
      </c>
      <c r="B198" s="21" t="s">
        <v>398</v>
      </c>
      <c r="C198" s="21"/>
      <c r="D198" s="37" t="s">
        <v>84</v>
      </c>
      <c r="E198" s="37" t="s">
        <v>84</v>
      </c>
      <c r="F198" s="37" t="s">
        <v>36</v>
      </c>
      <c r="G198" s="21" t="s">
        <v>109</v>
      </c>
      <c r="H198" s="21" t="n">
        <v>1</v>
      </c>
      <c r="I198" s="21" t="s">
        <v>137</v>
      </c>
    </row>
    <row r="199" customFormat="false" ht="15" hidden="false" customHeight="false" outlineLevel="0" collapsed="false">
      <c r="A199" s="21" t="s">
        <v>406</v>
      </c>
      <c r="B199" s="21" t="s">
        <v>398</v>
      </c>
      <c r="C199" s="21"/>
      <c r="D199" s="37" t="s">
        <v>84</v>
      </c>
      <c r="E199" s="37" t="s">
        <v>84</v>
      </c>
      <c r="F199" s="37" t="s">
        <v>36</v>
      </c>
      <c r="G199" s="21" t="s">
        <v>111</v>
      </c>
      <c r="H199" s="21" t="n">
        <v>1</v>
      </c>
      <c r="I199" s="21" t="s">
        <v>137</v>
      </c>
    </row>
    <row r="200" customFormat="false" ht="15" hidden="false" customHeight="false" outlineLevel="0" collapsed="false">
      <c r="A200" s="21" t="s">
        <v>407</v>
      </c>
      <c r="B200" s="21" t="s">
        <v>398</v>
      </c>
      <c r="C200" s="21"/>
      <c r="D200" s="37" t="s">
        <v>84</v>
      </c>
      <c r="E200" s="37" t="s">
        <v>84</v>
      </c>
      <c r="F200" s="37" t="s">
        <v>36</v>
      </c>
      <c r="G200" s="21" t="s">
        <v>110</v>
      </c>
      <c r="H200" s="21" t="n">
        <v>1</v>
      </c>
      <c r="I200" s="21" t="s">
        <v>137</v>
      </c>
    </row>
    <row r="201" customFormat="false" ht="15" hidden="false" customHeight="false" outlineLevel="0" collapsed="false">
      <c r="A201" s="21" t="s">
        <v>408</v>
      </c>
      <c r="B201" s="21" t="s">
        <v>409</v>
      </c>
      <c r="C201" s="21"/>
      <c r="D201" s="37" t="s">
        <v>84</v>
      </c>
      <c r="E201" s="37" t="s">
        <v>84</v>
      </c>
      <c r="F201" s="37" t="s">
        <v>153</v>
      </c>
      <c r="G201" s="21" t="s">
        <v>111</v>
      </c>
      <c r="H201" s="21" t="n">
        <v>1</v>
      </c>
      <c r="I201" s="21" t="s">
        <v>137</v>
      </c>
    </row>
    <row r="202" customFormat="false" ht="15" hidden="false" customHeight="false" outlineLevel="0" collapsed="false">
      <c r="A202" s="21" t="s">
        <v>410</v>
      </c>
      <c r="B202" s="21" t="s">
        <v>411</v>
      </c>
      <c r="C202" s="21"/>
      <c r="D202" s="37" t="s">
        <v>201</v>
      </c>
      <c r="E202" s="37" t="s">
        <v>26</v>
      </c>
      <c r="F202" s="37" t="s">
        <v>142</v>
      </c>
      <c r="G202" s="21" t="s">
        <v>114</v>
      </c>
      <c r="H202" s="21" t="n">
        <v>1</v>
      </c>
      <c r="I202" s="21" t="s">
        <v>137</v>
      </c>
    </row>
    <row r="203" customFormat="false" ht="15" hidden="false" customHeight="false" outlineLevel="0" collapsed="false">
      <c r="A203" s="21" t="s">
        <v>412</v>
      </c>
      <c r="B203" s="21" t="s">
        <v>413</v>
      </c>
      <c r="C203" s="21"/>
      <c r="D203" s="37" t="s">
        <v>84</v>
      </c>
      <c r="E203" s="37" t="s">
        <v>84</v>
      </c>
      <c r="F203" s="37" t="s">
        <v>142</v>
      </c>
      <c r="G203" s="21" t="s">
        <v>108</v>
      </c>
      <c r="H203" s="21" t="n">
        <v>1</v>
      </c>
      <c r="I203" s="21" t="s">
        <v>137</v>
      </c>
    </row>
    <row r="204" customFormat="false" ht="15" hidden="false" customHeight="false" outlineLevel="0" collapsed="false">
      <c r="A204" s="21" t="s">
        <v>414</v>
      </c>
      <c r="B204" s="21" t="s">
        <v>398</v>
      </c>
      <c r="C204" s="21"/>
      <c r="D204" s="37" t="s">
        <v>84</v>
      </c>
      <c r="E204" s="37" t="s">
        <v>84</v>
      </c>
      <c r="F204" s="37" t="s">
        <v>142</v>
      </c>
      <c r="G204" s="21" t="s">
        <v>111</v>
      </c>
      <c r="H204" s="21" t="n">
        <v>1</v>
      </c>
      <c r="I204" s="21" t="s">
        <v>137</v>
      </c>
    </row>
    <row r="205" customFormat="false" ht="15" hidden="false" customHeight="false" outlineLevel="0" collapsed="false">
      <c r="A205" s="21" t="s">
        <v>415</v>
      </c>
      <c r="B205" s="21"/>
      <c r="C205" s="21" t="s">
        <v>140</v>
      </c>
      <c r="D205" s="37" t="s">
        <v>164</v>
      </c>
      <c r="E205" s="37" t="s">
        <v>27</v>
      </c>
      <c r="F205" s="37" t="s">
        <v>142</v>
      </c>
      <c r="G205" s="21" t="s">
        <v>67</v>
      </c>
      <c r="H205" s="21" t="n">
        <v>1</v>
      </c>
      <c r="I205" s="21" t="s">
        <v>183</v>
      </c>
    </row>
    <row r="206" customFormat="false" ht="15" hidden="false" customHeight="false" outlineLevel="0" collapsed="false">
      <c r="A206" s="21" t="s">
        <v>416</v>
      </c>
      <c r="B206" s="21"/>
      <c r="C206" s="21" t="s">
        <v>140</v>
      </c>
      <c r="D206" s="37" t="s">
        <v>145</v>
      </c>
      <c r="E206" s="37" t="s">
        <v>27</v>
      </c>
      <c r="F206" s="37" t="s">
        <v>142</v>
      </c>
      <c r="G206" s="21" t="s">
        <v>67</v>
      </c>
      <c r="H206" s="21" t="n">
        <v>1</v>
      </c>
      <c r="I206" s="21" t="s">
        <v>183</v>
      </c>
    </row>
    <row r="207" customFormat="false" ht="15" hidden="false" customHeight="false" outlineLevel="0" collapsed="false">
      <c r="A207" s="21" t="s">
        <v>417</v>
      </c>
      <c r="B207" s="21" t="s">
        <v>398</v>
      </c>
      <c r="C207" s="21"/>
      <c r="D207" s="37" t="s">
        <v>84</v>
      </c>
      <c r="E207" s="37" t="s">
        <v>84</v>
      </c>
      <c r="F207" s="37" t="s">
        <v>142</v>
      </c>
      <c r="G207" s="21" t="s">
        <v>111</v>
      </c>
      <c r="H207" s="21" t="n">
        <v>1</v>
      </c>
      <c r="I207" s="21" t="s">
        <v>137</v>
      </c>
    </row>
    <row r="208" customFormat="false" ht="15" hidden="false" customHeight="false" outlineLevel="0" collapsed="false">
      <c r="A208" s="21" t="s">
        <v>418</v>
      </c>
      <c r="B208" s="21" t="s">
        <v>419</v>
      </c>
      <c r="C208" s="21" t="s">
        <v>140</v>
      </c>
      <c r="D208" s="37" t="s">
        <v>84</v>
      </c>
      <c r="E208" s="37" t="s">
        <v>84</v>
      </c>
      <c r="F208" s="37" t="s">
        <v>153</v>
      </c>
      <c r="G208" s="21" t="s">
        <v>115</v>
      </c>
      <c r="H208" s="21" t="n">
        <v>1</v>
      </c>
      <c r="I208" s="21" t="s">
        <v>137</v>
      </c>
    </row>
    <row r="209" customFormat="false" ht="15" hidden="false" customHeight="false" outlineLevel="0" collapsed="false">
      <c r="A209" s="21" t="s">
        <v>420</v>
      </c>
      <c r="B209" s="21" t="s">
        <v>419</v>
      </c>
      <c r="C209" s="21" t="s">
        <v>140</v>
      </c>
      <c r="D209" s="37" t="s">
        <v>84</v>
      </c>
      <c r="E209" s="37" t="s">
        <v>84</v>
      </c>
      <c r="F209" s="37" t="s">
        <v>153</v>
      </c>
      <c r="G209" s="21" t="s">
        <v>115</v>
      </c>
      <c r="H209" s="21" t="n">
        <v>1</v>
      </c>
      <c r="I209" s="21" t="s">
        <v>137</v>
      </c>
    </row>
    <row r="210" customFormat="false" ht="15" hidden="false" customHeight="false" outlineLevel="0" collapsed="false">
      <c r="A210" s="21" t="s">
        <v>421</v>
      </c>
      <c r="B210" s="21" t="s">
        <v>419</v>
      </c>
      <c r="C210" s="21" t="s">
        <v>140</v>
      </c>
      <c r="D210" s="37" t="s">
        <v>84</v>
      </c>
      <c r="E210" s="37" t="s">
        <v>84</v>
      </c>
      <c r="F210" s="37" t="s">
        <v>36</v>
      </c>
      <c r="G210" s="21" t="s">
        <v>114</v>
      </c>
      <c r="H210" s="21" t="n">
        <v>1</v>
      </c>
      <c r="I210" s="21" t="s">
        <v>137</v>
      </c>
    </row>
    <row r="211" customFormat="false" ht="15" hidden="false" customHeight="false" outlineLevel="0" collapsed="false">
      <c r="A211" s="21" t="s">
        <v>422</v>
      </c>
      <c r="B211" s="21" t="s">
        <v>423</v>
      </c>
      <c r="C211" s="21"/>
      <c r="D211" s="37" t="s">
        <v>84</v>
      </c>
      <c r="E211" s="37" t="s">
        <v>84</v>
      </c>
      <c r="F211" s="37" t="s">
        <v>153</v>
      </c>
      <c r="G211" s="21" t="s">
        <v>106</v>
      </c>
      <c r="H211" s="21" t="n">
        <v>1</v>
      </c>
      <c r="I211" s="21" t="s">
        <v>137</v>
      </c>
    </row>
    <row r="212" customFormat="false" ht="15" hidden="false" customHeight="false" outlineLevel="0" collapsed="false">
      <c r="A212" s="21" t="s">
        <v>424</v>
      </c>
      <c r="B212" s="21" t="s">
        <v>423</v>
      </c>
      <c r="C212" s="21"/>
      <c r="D212" s="37" t="s">
        <v>84</v>
      </c>
      <c r="E212" s="37" t="s">
        <v>84</v>
      </c>
      <c r="F212" s="37" t="s">
        <v>153</v>
      </c>
      <c r="G212" s="21" t="s">
        <v>107</v>
      </c>
      <c r="H212" s="21" t="n">
        <v>1</v>
      </c>
      <c r="I212" s="21" t="s">
        <v>137</v>
      </c>
    </row>
    <row r="213" customFormat="false" ht="15" hidden="false" customHeight="false" outlineLevel="0" collapsed="false">
      <c r="A213" s="21" t="s">
        <v>425</v>
      </c>
      <c r="B213" s="21" t="s">
        <v>227</v>
      </c>
      <c r="C213" s="21"/>
      <c r="D213" s="37" t="s">
        <v>228</v>
      </c>
      <c r="E213" s="37" t="s">
        <v>26</v>
      </c>
      <c r="F213" s="37" t="s">
        <v>153</v>
      </c>
      <c r="G213" s="21" t="s">
        <v>111</v>
      </c>
      <c r="H213" s="21" t="n">
        <v>1</v>
      </c>
      <c r="I213" s="21" t="s">
        <v>137</v>
      </c>
    </row>
    <row r="214" customFormat="false" ht="15" hidden="false" customHeight="false" outlineLevel="0" collapsed="false">
      <c r="A214" s="21" t="s">
        <v>426</v>
      </c>
      <c r="B214" s="21" t="s">
        <v>427</v>
      </c>
      <c r="C214" s="21"/>
      <c r="D214" s="37" t="s">
        <v>84</v>
      </c>
      <c r="E214" s="37" t="s">
        <v>84</v>
      </c>
      <c r="F214" s="37" t="s">
        <v>153</v>
      </c>
      <c r="G214" s="21" t="s">
        <v>108</v>
      </c>
      <c r="H214" s="21" t="n">
        <v>1</v>
      </c>
      <c r="I214" s="21" t="s">
        <v>137</v>
      </c>
    </row>
    <row r="215" customFormat="false" ht="15" hidden="false" customHeight="false" outlineLevel="0" collapsed="false">
      <c r="A215" s="21" t="s">
        <v>428</v>
      </c>
      <c r="B215" s="21" t="s">
        <v>427</v>
      </c>
      <c r="C215" s="21"/>
      <c r="D215" s="37" t="s">
        <v>84</v>
      </c>
      <c r="E215" s="37" t="s">
        <v>84</v>
      </c>
      <c r="F215" s="37" t="s">
        <v>153</v>
      </c>
      <c r="G215" s="21" t="s">
        <v>110</v>
      </c>
      <c r="H215" s="21" t="n">
        <v>1</v>
      </c>
      <c r="I215" s="21" t="s">
        <v>137</v>
      </c>
    </row>
    <row r="216" customFormat="false" ht="15" hidden="false" customHeight="false" outlineLevel="0" collapsed="false">
      <c r="A216" s="21" t="s">
        <v>429</v>
      </c>
      <c r="B216" s="21" t="s">
        <v>430</v>
      </c>
      <c r="C216" s="21"/>
      <c r="D216" s="37" t="s">
        <v>84</v>
      </c>
      <c r="E216" s="37" t="s">
        <v>84</v>
      </c>
      <c r="F216" s="37" t="s">
        <v>36</v>
      </c>
      <c r="G216" s="21" t="s">
        <v>106</v>
      </c>
      <c r="H216" s="21" t="n">
        <v>1</v>
      </c>
      <c r="I216" s="21" t="s">
        <v>137</v>
      </c>
    </row>
    <row r="217" customFormat="false" ht="15" hidden="false" customHeight="false" outlineLevel="0" collapsed="false">
      <c r="A217" s="21" t="s">
        <v>431</v>
      </c>
      <c r="B217" s="21" t="s">
        <v>432</v>
      </c>
      <c r="C217" s="21"/>
      <c r="D217" s="37" t="s">
        <v>84</v>
      </c>
      <c r="E217" s="37" t="s">
        <v>84</v>
      </c>
      <c r="F217" s="37" t="s">
        <v>153</v>
      </c>
      <c r="G217" s="21" t="s">
        <v>108</v>
      </c>
      <c r="H217" s="21" t="n">
        <v>1</v>
      </c>
      <c r="I217" s="21" t="s">
        <v>137</v>
      </c>
    </row>
    <row r="218" customFormat="false" ht="15" hidden="false" customHeight="false" outlineLevel="0" collapsed="false">
      <c r="A218" s="21" t="s">
        <v>433</v>
      </c>
      <c r="B218" s="21" t="s">
        <v>434</v>
      </c>
      <c r="C218" s="21"/>
      <c r="D218" s="37" t="s">
        <v>84</v>
      </c>
      <c r="E218" s="37" t="s">
        <v>84</v>
      </c>
      <c r="F218" s="37" t="s">
        <v>35</v>
      </c>
      <c r="G218" s="21" t="s">
        <v>112</v>
      </c>
      <c r="H218" s="21" t="n">
        <v>1</v>
      </c>
      <c r="I218" s="21" t="s">
        <v>137</v>
      </c>
    </row>
    <row r="219" customFormat="false" ht="15" hidden="false" customHeight="false" outlineLevel="0" collapsed="false">
      <c r="A219" s="21" t="s">
        <v>435</v>
      </c>
      <c r="B219" s="21" t="s">
        <v>436</v>
      </c>
      <c r="C219" s="21"/>
      <c r="D219" s="37" t="s">
        <v>84</v>
      </c>
      <c r="E219" s="37" t="s">
        <v>84</v>
      </c>
      <c r="F219" s="37" t="s">
        <v>36</v>
      </c>
      <c r="G219" s="21" t="s">
        <v>107</v>
      </c>
      <c r="H219" s="21" t="n">
        <v>1</v>
      </c>
      <c r="I219" s="21" t="s">
        <v>137</v>
      </c>
    </row>
    <row r="220" customFormat="false" ht="15" hidden="false" customHeight="false" outlineLevel="0" collapsed="false">
      <c r="A220" s="21" t="s">
        <v>437</v>
      </c>
      <c r="B220" s="21" t="s">
        <v>438</v>
      </c>
      <c r="C220" s="21" t="s">
        <v>140</v>
      </c>
      <c r="D220" s="37" t="s">
        <v>84</v>
      </c>
      <c r="E220" s="37" t="s">
        <v>84</v>
      </c>
      <c r="F220" s="37" t="s">
        <v>153</v>
      </c>
      <c r="G220" s="21" t="s">
        <v>113</v>
      </c>
      <c r="H220" s="21" t="n">
        <v>1</v>
      </c>
      <c r="I220" s="21" t="s">
        <v>137</v>
      </c>
    </row>
    <row r="221" customFormat="false" ht="15" hidden="false" customHeight="false" outlineLevel="0" collapsed="false">
      <c r="A221" s="21" t="s">
        <v>439</v>
      </c>
      <c r="B221" s="21" t="s">
        <v>440</v>
      </c>
      <c r="C221" s="21"/>
      <c r="D221" s="37" t="s">
        <v>84</v>
      </c>
      <c r="E221" s="37" t="s">
        <v>84</v>
      </c>
      <c r="F221" s="37" t="s">
        <v>36</v>
      </c>
      <c r="G221" s="21" t="s">
        <v>441</v>
      </c>
      <c r="H221" s="21" t="n">
        <v>0</v>
      </c>
      <c r="I221" s="21" t="s">
        <v>137</v>
      </c>
    </row>
    <row r="222" customFormat="false" ht="15" hidden="false" customHeight="false" outlineLevel="0" collapsed="false">
      <c r="A222" s="21" t="s">
        <v>442</v>
      </c>
      <c r="B222" s="21" t="s">
        <v>443</v>
      </c>
      <c r="C222" s="21"/>
      <c r="D222" s="37" t="s">
        <v>84</v>
      </c>
      <c r="E222" s="37" t="s">
        <v>84</v>
      </c>
      <c r="F222" s="37" t="s">
        <v>153</v>
      </c>
      <c r="G222" s="21" t="s">
        <v>441</v>
      </c>
      <c r="H222" s="21" t="n">
        <v>0</v>
      </c>
      <c r="I222" s="21" t="s">
        <v>137</v>
      </c>
    </row>
    <row r="223" customFormat="false" ht="15" hidden="false" customHeight="false" outlineLevel="0" collapsed="false">
      <c r="A223" s="21" t="s">
        <v>444</v>
      </c>
      <c r="B223" s="21"/>
      <c r="C223" s="21"/>
      <c r="D223" s="37" t="s">
        <v>84</v>
      </c>
      <c r="E223" s="37" t="s">
        <v>84</v>
      </c>
      <c r="F223" s="37" t="s">
        <v>153</v>
      </c>
      <c r="G223" s="21" t="s">
        <v>445</v>
      </c>
      <c r="H223" s="21" t="n">
        <v>0</v>
      </c>
      <c r="I223" s="21" t="s">
        <v>137</v>
      </c>
    </row>
    <row r="224" customFormat="false" ht="15" hidden="false" customHeight="false" outlineLevel="0" collapsed="false">
      <c r="A224" s="21" t="s">
        <v>446</v>
      </c>
      <c r="B224" s="21" t="s">
        <v>447</v>
      </c>
      <c r="C224" s="21"/>
      <c r="D224" s="37" t="s">
        <v>201</v>
      </c>
      <c r="E224" s="37" t="s">
        <v>26</v>
      </c>
      <c r="F224" s="37" t="s">
        <v>36</v>
      </c>
      <c r="G224" s="21" t="s">
        <v>105</v>
      </c>
      <c r="H224" s="21" t="n">
        <v>0</v>
      </c>
      <c r="I224" s="21" t="s">
        <v>137</v>
      </c>
    </row>
    <row r="225" customFormat="false" ht="15" hidden="false" customHeight="false" outlineLevel="0" collapsed="false">
      <c r="A225" s="21" t="s">
        <v>448</v>
      </c>
      <c r="B225" s="21"/>
      <c r="C225" s="21"/>
      <c r="D225" s="37" t="s">
        <v>211</v>
      </c>
      <c r="E225" s="37" t="s">
        <v>26</v>
      </c>
      <c r="F225" s="37" t="s">
        <v>153</v>
      </c>
      <c r="G225" s="21" t="s">
        <v>445</v>
      </c>
      <c r="H225" s="21" t="n">
        <v>0</v>
      </c>
      <c r="I225" s="21" t="s">
        <v>137</v>
      </c>
    </row>
    <row r="226" customFormat="false" ht="15" hidden="false" customHeight="false" outlineLevel="0" collapsed="false">
      <c r="A226" s="21" t="s">
        <v>449</v>
      </c>
      <c r="B226" s="21"/>
      <c r="C226" s="21"/>
      <c r="D226" s="37" t="s">
        <v>84</v>
      </c>
      <c r="E226" s="37" t="s">
        <v>84</v>
      </c>
      <c r="F226" s="37" t="s">
        <v>153</v>
      </c>
      <c r="G226" s="21" t="s">
        <v>450</v>
      </c>
      <c r="H226" s="21" t="n">
        <v>0</v>
      </c>
      <c r="I226" s="21" t="s">
        <v>137</v>
      </c>
    </row>
    <row r="227" customFormat="false" ht="15" hidden="false" customHeight="false" outlineLevel="0" collapsed="false">
      <c r="A227" s="21" t="s">
        <v>451</v>
      </c>
      <c r="B227" s="21" t="s">
        <v>452</v>
      </c>
      <c r="C227" s="21"/>
      <c r="D227" s="37" t="s">
        <v>211</v>
      </c>
      <c r="E227" s="37" t="s">
        <v>26</v>
      </c>
      <c r="F227" s="37" t="s">
        <v>153</v>
      </c>
      <c r="G227" s="21" t="s">
        <v>441</v>
      </c>
      <c r="H227" s="21" t="n">
        <v>0</v>
      </c>
      <c r="I227" s="21" t="s">
        <v>137</v>
      </c>
    </row>
    <row r="228" customFormat="false" ht="15" hidden="false" customHeight="false" outlineLevel="0" collapsed="false">
      <c r="A228" s="21" t="s">
        <v>453</v>
      </c>
      <c r="B228" s="21"/>
      <c r="C228" s="21"/>
      <c r="D228" s="37" t="s">
        <v>84</v>
      </c>
      <c r="E228" s="37" t="s">
        <v>84</v>
      </c>
      <c r="F228" s="37" t="s">
        <v>153</v>
      </c>
      <c r="G228" s="21" t="s">
        <v>450</v>
      </c>
      <c r="H228" s="21" t="n">
        <v>0</v>
      </c>
      <c r="I228" s="21" t="s">
        <v>137</v>
      </c>
    </row>
    <row r="229" customFormat="false" ht="15" hidden="false" customHeight="false" outlineLevel="0" collapsed="false">
      <c r="A229" s="21" t="s">
        <v>454</v>
      </c>
      <c r="B229" s="21" t="s">
        <v>455</v>
      </c>
      <c r="C229" s="21"/>
      <c r="D229" s="37" t="s">
        <v>84</v>
      </c>
      <c r="E229" s="37" t="s">
        <v>84</v>
      </c>
      <c r="F229" s="37" t="s">
        <v>153</v>
      </c>
      <c r="G229" s="21" t="s">
        <v>456</v>
      </c>
      <c r="H229" s="21" t="n">
        <v>0</v>
      </c>
      <c r="I229" s="21" t="s">
        <v>137</v>
      </c>
    </row>
    <row r="230" customFormat="false" ht="15" hidden="false" customHeight="false" outlineLevel="0" collapsed="false">
      <c r="A230" s="21" t="s">
        <v>457</v>
      </c>
      <c r="B230" s="21" t="s">
        <v>458</v>
      </c>
      <c r="C230" s="21"/>
      <c r="D230" s="37" t="s">
        <v>84</v>
      </c>
      <c r="E230" s="37" t="s">
        <v>84</v>
      </c>
      <c r="F230" s="37" t="s">
        <v>153</v>
      </c>
      <c r="G230" s="21" t="s">
        <v>456</v>
      </c>
      <c r="H230" s="21" t="n">
        <v>0</v>
      </c>
      <c r="I230" s="21" t="s">
        <v>137</v>
      </c>
    </row>
    <row r="231" customFormat="false" ht="15" hidden="false" customHeight="false" outlineLevel="0" collapsed="false">
      <c r="A231" s="21" t="s">
        <v>459</v>
      </c>
      <c r="B231" s="21" t="s">
        <v>460</v>
      </c>
      <c r="C231" s="21"/>
      <c r="D231" s="37" t="s">
        <v>84</v>
      </c>
      <c r="E231" s="37" t="s">
        <v>84</v>
      </c>
      <c r="F231" s="37" t="s">
        <v>153</v>
      </c>
      <c r="G231" s="21" t="s">
        <v>461</v>
      </c>
      <c r="H231" s="21" t="n">
        <v>0</v>
      </c>
      <c r="I231" s="21" t="s">
        <v>137</v>
      </c>
    </row>
    <row r="232" customFormat="false" ht="15" hidden="false" customHeight="false" outlineLevel="0" collapsed="false">
      <c r="A232" s="21" t="s">
        <v>462</v>
      </c>
      <c r="B232" s="21" t="s">
        <v>463</v>
      </c>
      <c r="C232" s="21"/>
      <c r="D232" s="37" t="s">
        <v>236</v>
      </c>
      <c r="E232" s="37" t="s">
        <v>26</v>
      </c>
      <c r="F232" s="37" t="s">
        <v>153</v>
      </c>
      <c r="G232" s="21" t="s">
        <v>456</v>
      </c>
      <c r="H232" s="21" t="n">
        <v>0</v>
      </c>
      <c r="I232" s="21" t="s">
        <v>137</v>
      </c>
    </row>
    <row r="233" customFormat="false" ht="15" hidden="false" customHeight="false" outlineLevel="0" collapsed="false">
      <c r="A233" s="21" t="s">
        <v>464</v>
      </c>
      <c r="B233" s="21" t="s">
        <v>465</v>
      </c>
      <c r="C233" s="21"/>
      <c r="D233" s="37" t="s">
        <v>236</v>
      </c>
      <c r="E233" s="37" t="s">
        <v>26</v>
      </c>
      <c r="F233" s="37" t="s">
        <v>153</v>
      </c>
      <c r="G233" s="21" t="s">
        <v>456</v>
      </c>
      <c r="H233" s="21" t="n">
        <v>0</v>
      </c>
      <c r="I233" s="21" t="s">
        <v>137</v>
      </c>
    </row>
    <row r="234" customFormat="false" ht="15" hidden="false" customHeight="false" outlineLevel="0" collapsed="false">
      <c r="A234" s="21" t="s">
        <v>466</v>
      </c>
      <c r="B234" s="21"/>
      <c r="C234" s="21"/>
      <c r="D234" s="37" t="s">
        <v>84</v>
      </c>
      <c r="E234" s="37" t="s">
        <v>84</v>
      </c>
      <c r="F234" s="37" t="s">
        <v>153</v>
      </c>
      <c r="G234" s="21" t="s">
        <v>450</v>
      </c>
      <c r="H234" s="21" t="n">
        <v>0</v>
      </c>
      <c r="I234" s="21" t="s">
        <v>137</v>
      </c>
    </row>
    <row r="235" customFormat="false" ht="15" hidden="false" customHeight="false" outlineLevel="0" collapsed="false">
      <c r="A235" s="21" t="s">
        <v>467</v>
      </c>
      <c r="B235" s="21"/>
      <c r="C235" s="21"/>
      <c r="D235" s="37" t="s">
        <v>84</v>
      </c>
      <c r="E235" s="37" t="s">
        <v>84</v>
      </c>
      <c r="F235" s="37" t="s">
        <v>153</v>
      </c>
      <c r="G235" s="21" t="s">
        <v>445</v>
      </c>
      <c r="H235" s="21" t="n">
        <v>0</v>
      </c>
      <c r="I235" s="21" t="s">
        <v>137</v>
      </c>
    </row>
    <row r="236" customFormat="false" ht="15" hidden="false" customHeight="false" outlineLevel="0" collapsed="false">
      <c r="A236" s="21" t="s">
        <v>468</v>
      </c>
      <c r="B236" s="21"/>
      <c r="C236" s="21"/>
      <c r="D236" s="37" t="s">
        <v>84</v>
      </c>
      <c r="E236" s="37" t="s">
        <v>84</v>
      </c>
      <c r="F236" s="37" t="s">
        <v>153</v>
      </c>
      <c r="G236" s="21" t="s">
        <v>450</v>
      </c>
      <c r="H236" s="21" t="n">
        <v>0</v>
      </c>
      <c r="I236" s="21" t="s">
        <v>137</v>
      </c>
    </row>
    <row r="237" customFormat="false" ht="15" hidden="false" customHeight="false" outlineLevel="0" collapsed="false">
      <c r="A237" s="21" t="s">
        <v>469</v>
      </c>
      <c r="B237" s="21"/>
      <c r="C237" s="21"/>
      <c r="D237" s="37" t="s">
        <v>84</v>
      </c>
      <c r="E237" s="37" t="s">
        <v>84</v>
      </c>
      <c r="F237" s="37" t="s">
        <v>153</v>
      </c>
      <c r="G237" s="21" t="s">
        <v>450</v>
      </c>
      <c r="H237" s="21" t="n">
        <v>0</v>
      </c>
      <c r="I237" s="21" t="s">
        <v>137</v>
      </c>
    </row>
    <row r="238" customFormat="false" ht="15" hidden="false" customHeight="false" outlineLevel="0" collapsed="false">
      <c r="A238" s="21" t="s">
        <v>470</v>
      </c>
      <c r="B238" s="21"/>
      <c r="C238" s="21"/>
      <c r="D238" s="37" t="s">
        <v>84</v>
      </c>
      <c r="E238" s="37" t="s">
        <v>84</v>
      </c>
      <c r="F238" s="37" t="s">
        <v>153</v>
      </c>
      <c r="G238" s="21" t="s">
        <v>450</v>
      </c>
      <c r="H238" s="21" t="n">
        <v>0</v>
      </c>
      <c r="I238" s="21" t="s">
        <v>137</v>
      </c>
    </row>
    <row r="239" customFormat="false" ht="15" hidden="false" customHeight="false" outlineLevel="0" collapsed="false">
      <c r="A239" s="21" t="s">
        <v>471</v>
      </c>
      <c r="B239" s="21"/>
      <c r="C239" s="21"/>
      <c r="D239" s="37" t="s">
        <v>84</v>
      </c>
      <c r="E239" s="37" t="s">
        <v>84</v>
      </c>
      <c r="F239" s="37" t="s">
        <v>153</v>
      </c>
      <c r="G239" s="21" t="s">
        <v>445</v>
      </c>
      <c r="H239" s="21" t="n">
        <v>0</v>
      </c>
      <c r="I239" s="21" t="s">
        <v>137</v>
      </c>
    </row>
    <row r="240" customFormat="false" ht="15" hidden="false" customHeight="false" outlineLevel="0" collapsed="false">
      <c r="A240" s="21" t="s">
        <v>472</v>
      </c>
      <c r="B240" s="21"/>
      <c r="C240" s="21"/>
      <c r="D240" s="37" t="s">
        <v>84</v>
      </c>
      <c r="E240" s="37" t="s">
        <v>84</v>
      </c>
      <c r="F240" s="37" t="s">
        <v>153</v>
      </c>
      <c r="G240" s="21" t="s">
        <v>445</v>
      </c>
      <c r="H240" s="21" t="n">
        <v>0</v>
      </c>
      <c r="I240" s="21" t="s">
        <v>137</v>
      </c>
    </row>
    <row r="241" customFormat="false" ht="15" hidden="false" customHeight="false" outlineLevel="0" collapsed="false">
      <c r="A241" s="21" t="s">
        <v>473</v>
      </c>
      <c r="B241" s="21" t="s">
        <v>474</v>
      </c>
      <c r="C241" s="21"/>
      <c r="D241" s="37" t="s">
        <v>84</v>
      </c>
      <c r="E241" s="37" t="s">
        <v>84</v>
      </c>
      <c r="F241" s="37" t="s">
        <v>153</v>
      </c>
      <c r="G241" s="21" t="s">
        <v>445</v>
      </c>
      <c r="H241" s="21" t="n">
        <v>0</v>
      </c>
      <c r="I241" s="21" t="s">
        <v>137</v>
      </c>
    </row>
    <row r="242" customFormat="false" ht="15" hidden="false" customHeight="false" outlineLevel="0" collapsed="false">
      <c r="A242" s="21" t="s">
        <v>475</v>
      </c>
      <c r="B242" s="21" t="s">
        <v>476</v>
      </c>
      <c r="C242" s="21"/>
      <c r="D242" s="37" t="s">
        <v>254</v>
      </c>
      <c r="E242" s="37" t="s">
        <v>27</v>
      </c>
      <c r="F242" s="37" t="s">
        <v>36</v>
      </c>
      <c r="G242" s="21" t="s">
        <v>445</v>
      </c>
      <c r="H242" s="21" t="n">
        <v>0</v>
      </c>
      <c r="I242" s="21" t="s">
        <v>137</v>
      </c>
    </row>
    <row r="243" customFormat="false" ht="15" hidden="false" customHeight="false" outlineLevel="0" collapsed="false">
      <c r="A243" s="21" t="s">
        <v>477</v>
      </c>
      <c r="B243" s="21"/>
      <c r="C243" s="21"/>
      <c r="D243" s="37" t="s">
        <v>84</v>
      </c>
      <c r="E243" s="37" t="s">
        <v>84</v>
      </c>
      <c r="F243" s="37" t="s">
        <v>153</v>
      </c>
      <c r="G243" s="21" t="s">
        <v>478</v>
      </c>
      <c r="H243" s="21" t="n">
        <v>0</v>
      </c>
      <c r="I243" s="21" t="s">
        <v>137</v>
      </c>
    </row>
    <row r="244" customFormat="false" ht="15" hidden="false" customHeight="false" outlineLevel="0" collapsed="false">
      <c r="A244" s="21" t="s">
        <v>479</v>
      </c>
      <c r="B244" s="21"/>
      <c r="C244" s="21"/>
      <c r="D244" s="37" t="s">
        <v>84</v>
      </c>
      <c r="E244" s="37" t="s">
        <v>84</v>
      </c>
      <c r="F244" s="37" t="s">
        <v>153</v>
      </c>
      <c r="G244" s="21" t="s">
        <v>445</v>
      </c>
      <c r="H244" s="21" t="n">
        <v>0</v>
      </c>
      <c r="I244" s="21" t="s">
        <v>137</v>
      </c>
    </row>
    <row r="245" customFormat="false" ht="15" hidden="false" customHeight="false" outlineLevel="0" collapsed="false">
      <c r="A245" s="21" t="s">
        <v>480</v>
      </c>
      <c r="B245" s="21" t="s">
        <v>481</v>
      </c>
      <c r="C245" s="21"/>
      <c r="D245" s="37" t="s">
        <v>84</v>
      </c>
      <c r="E245" s="37" t="s">
        <v>84</v>
      </c>
      <c r="F245" s="37" t="s">
        <v>36</v>
      </c>
      <c r="G245" s="21" t="s">
        <v>441</v>
      </c>
      <c r="H245" s="21" t="n">
        <v>0</v>
      </c>
      <c r="I245" s="21" t="s">
        <v>137</v>
      </c>
    </row>
    <row r="246" customFormat="false" ht="15" hidden="false" customHeight="false" outlineLevel="0" collapsed="false">
      <c r="A246" s="21" t="s">
        <v>482</v>
      </c>
      <c r="B246" s="21"/>
      <c r="C246" s="21"/>
      <c r="D246" s="37" t="s">
        <v>84</v>
      </c>
      <c r="E246" s="37" t="s">
        <v>84</v>
      </c>
      <c r="F246" s="37" t="s">
        <v>153</v>
      </c>
      <c r="G246" s="21" t="s">
        <v>450</v>
      </c>
      <c r="H246" s="21" t="n">
        <v>0</v>
      </c>
      <c r="I246" s="21" t="s">
        <v>137</v>
      </c>
    </row>
    <row r="247" customFormat="false" ht="15" hidden="false" customHeight="false" outlineLevel="0" collapsed="false">
      <c r="A247" s="21" t="s">
        <v>483</v>
      </c>
      <c r="B247" s="21"/>
      <c r="C247" s="21"/>
      <c r="D247" s="37" t="s">
        <v>84</v>
      </c>
      <c r="E247" s="37" t="s">
        <v>84</v>
      </c>
      <c r="F247" s="37" t="s">
        <v>153</v>
      </c>
      <c r="G247" s="21" t="s">
        <v>450</v>
      </c>
      <c r="H247" s="21" t="n">
        <v>0</v>
      </c>
      <c r="I247" s="21" t="s">
        <v>137</v>
      </c>
    </row>
    <row r="248" customFormat="false" ht="15" hidden="false" customHeight="false" outlineLevel="0" collapsed="false">
      <c r="A248" s="21" t="s">
        <v>484</v>
      </c>
      <c r="B248" s="21"/>
      <c r="C248" s="21"/>
      <c r="D248" s="37" t="s">
        <v>84</v>
      </c>
      <c r="E248" s="37" t="s">
        <v>84</v>
      </c>
      <c r="F248" s="37" t="s">
        <v>153</v>
      </c>
      <c r="G248" s="21" t="s">
        <v>450</v>
      </c>
      <c r="H248" s="21" t="n">
        <v>0</v>
      </c>
      <c r="I248" s="21" t="s">
        <v>137</v>
      </c>
    </row>
    <row r="249" customFormat="false" ht="15" hidden="false" customHeight="false" outlineLevel="0" collapsed="false">
      <c r="A249" s="21" t="s">
        <v>485</v>
      </c>
      <c r="B249" s="21"/>
      <c r="C249" s="21"/>
      <c r="D249" s="37" t="s">
        <v>164</v>
      </c>
      <c r="E249" s="37" t="s">
        <v>27</v>
      </c>
      <c r="F249" s="37" t="s">
        <v>153</v>
      </c>
      <c r="G249" s="21" t="s">
        <v>450</v>
      </c>
      <c r="H249" s="21" t="n">
        <v>0</v>
      </c>
      <c r="I249" s="21" t="s">
        <v>137</v>
      </c>
    </row>
    <row r="250" customFormat="false" ht="15" hidden="false" customHeight="false" outlineLevel="0" collapsed="false">
      <c r="A250" s="21" t="s">
        <v>486</v>
      </c>
      <c r="B250" s="21" t="s">
        <v>487</v>
      </c>
      <c r="C250" s="21"/>
      <c r="D250" s="37" t="s">
        <v>84</v>
      </c>
      <c r="E250" s="37" t="s">
        <v>84</v>
      </c>
      <c r="F250" s="37" t="s">
        <v>153</v>
      </c>
      <c r="G250" s="21" t="s">
        <v>441</v>
      </c>
      <c r="H250" s="21" t="n">
        <v>0</v>
      </c>
      <c r="I250" s="21" t="s">
        <v>137</v>
      </c>
    </row>
    <row r="251" customFormat="false" ht="15" hidden="false" customHeight="false" outlineLevel="0" collapsed="false">
      <c r="A251" s="21" t="s">
        <v>488</v>
      </c>
      <c r="B251" s="21" t="s">
        <v>489</v>
      </c>
      <c r="C251" s="21"/>
      <c r="D251" s="37" t="s">
        <v>84</v>
      </c>
      <c r="E251" s="37" t="s">
        <v>84</v>
      </c>
      <c r="F251" s="37" t="s">
        <v>153</v>
      </c>
      <c r="G251" s="21" t="s">
        <v>445</v>
      </c>
      <c r="H251" s="21" t="n">
        <v>0</v>
      </c>
      <c r="I251" s="21" t="s">
        <v>137</v>
      </c>
    </row>
    <row r="252" customFormat="false" ht="15" hidden="false" customHeight="false" outlineLevel="0" collapsed="false">
      <c r="A252" s="21" t="s">
        <v>490</v>
      </c>
      <c r="B252" s="21"/>
      <c r="C252" s="21"/>
      <c r="D252" s="37" t="s">
        <v>84</v>
      </c>
      <c r="E252" s="37" t="s">
        <v>84</v>
      </c>
      <c r="F252" s="37" t="s">
        <v>153</v>
      </c>
      <c r="G252" s="21" t="s">
        <v>450</v>
      </c>
      <c r="H252" s="21" t="n">
        <v>0</v>
      </c>
      <c r="I252" s="21" t="s">
        <v>137</v>
      </c>
    </row>
    <row r="253" customFormat="false" ht="15" hidden="false" customHeight="false" outlineLevel="0" collapsed="false">
      <c r="A253" s="21" t="s">
        <v>491</v>
      </c>
      <c r="B253" s="21" t="s">
        <v>492</v>
      </c>
      <c r="C253" s="21"/>
      <c r="D253" s="37" t="s">
        <v>84</v>
      </c>
      <c r="E253" s="37" t="s">
        <v>84</v>
      </c>
      <c r="F253" s="37" t="s">
        <v>153</v>
      </c>
      <c r="G253" s="21" t="s">
        <v>456</v>
      </c>
      <c r="H253" s="21" t="n">
        <v>0</v>
      </c>
      <c r="I253" s="21" t="s">
        <v>137</v>
      </c>
    </row>
    <row r="254" customFormat="false" ht="15" hidden="false" customHeight="false" outlineLevel="0" collapsed="false">
      <c r="A254" s="21" t="s">
        <v>493</v>
      </c>
      <c r="B254" s="21"/>
      <c r="C254" s="21"/>
      <c r="D254" s="37" t="s">
        <v>84</v>
      </c>
      <c r="E254" s="37" t="s">
        <v>84</v>
      </c>
      <c r="F254" s="37" t="s">
        <v>153</v>
      </c>
      <c r="G254" s="21" t="s">
        <v>450</v>
      </c>
      <c r="H254" s="21" t="n">
        <v>0</v>
      </c>
      <c r="I254" s="21" t="s">
        <v>137</v>
      </c>
    </row>
    <row r="255" customFormat="false" ht="15" hidden="false" customHeight="false" outlineLevel="0" collapsed="false">
      <c r="A255" s="21" t="s">
        <v>494</v>
      </c>
      <c r="B255" s="21"/>
      <c r="C255" s="21"/>
      <c r="D255" s="37" t="s">
        <v>84</v>
      </c>
      <c r="E255" s="37" t="s">
        <v>84</v>
      </c>
      <c r="F255" s="37" t="s">
        <v>153</v>
      </c>
      <c r="G255" s="21" t="s">
        <v>450</v>
      </c>
      <c r="H255" s="21" t="n">
        <v>0</v>
      </c>
      <c r="I255" s="21" t="s">
        <v>137</v>
      </c>
    </row>
    <row r="256" customFormat="false" ht="15" hidden="false" customHeight="false" outlineLevel="0" collapsed="false">
      <c r="A256" s="21" t="s">
        <v>495</v>
      </c>
      <c r="B256" s="21" t="s">
        <v>496</v>
      </c>
      <c r="C256" s="21"/>
      <c r="D256" s="37" t="s">
        <v>231</v>
      </c>
      <c r="E256" s="37" t="s">
        <v>83</v>
      </c>
      <c r="F256" s="37" t="s">
        <v>153</v>
      </c>
      <c r="G256" s="21" t="s">
        <v>456</v>
      </c>
      <c r="H256" s="21" t="n">
        <v>0</v>
      </c>
      <c r="I256" s="21" t="s">
        <v>137</v>
      </c>
    </row>
    <row r="257" customFormat="false" ht="15" hidden="false" customHeight="false" outlineLevel="0" collapsed="false">
      <c r="A257" s="21" t="s">
        <v>497</v>
      </c>
      <c r="B257" s="21" t="s">
        <v>498</v>
      </c>
      <c r="C257" s="21"/>
      <c r="D257" s="37" t="s">
        <v>231</v>
      </c>
      <c r="E257" s="37" t="s">
        <v>83</v>
      </c>
      <c r="F257" s="37" t="s">
        <v>153</v>
      </c>
      <c r="G257" s="21" t="s">
        <v>456</v>
      </c>
      <c r="H257" s="21" t="n">
        <v>0</v>
      </c>
      <c r="I257" s="21" t="s">
        <v>137</v>
      </c>
    </row>
    <row r="258" customFormat="false" ht="15" hidden="false" customHeight="false" outlineLevel="0" collapsed="false">
      <c r="A258" s="21" t="s">
        <v>499</v>
      </c>
      <c r="B258" s="21"/>
      <c r="C258" s="21"/>
      <c r="D258" s="37" t="s">
        <v>231</v>
      </c>
      <c r="E258" s="37" t="s">
        <v>83</v>
      </c>
      <c r="F258" s="37" t="s">
        <v>153</v>
      </c>
      <c r="G258" s="21" t="s">
        <v>445</v>
      </c>
      <c r="H258" s="21" t="n">
        <v>0</v>
      </c>
      <c r="I258" s="21" t="s">
        <v>137</v>
      </c>
    </row>
    <row r="259" customFormat="false" ht="15" hidden="false" customHeight="false" outlineLevel="0" collapsed="false">
      <c r="A259" s="21" t="s">
        <v>500</v>
      </c>
      <c r="B259" s="21"/>
      <c r="C259" s="21"/>
      <c r="D259" s="37" t="s">
        <v>84</v>
      </c>
      <c r="E259" s="37" t="s">
        <v>84</v>
      </c>
      <c r="F259" s="37" t="s">
        <v>153</v>
      </c>
      <c r="G259" s="21" t="s">
        <v>450</v>
      </c>
      <c r="H259" s="21" t="n">
        <v>0</v>
      </c>
      <c r="I259" s="21" t="s">
        <v>137</v>
      </c>
    </row>
    <row r="260" customFormat="false" ht="15" hidden="false" customHeight="false" outlineLevel="0" collapsed="false">
      <c r="A260" s="21" t="s">
        <v>501</v>
      </c>
      <c r="B260" s="21"/>
      <c r="C260" s="21"/>
      <c r="D260" s="37" t="s">
        <v>84</v>
      </c>
      <c r="E260" s="37" t="s">
        <v>84</v>
      </c>
      <c r="F260" s="37" t="s">
        <v>153</v>
      </c>
      <c r="G260" s="21" t="s">
        <v>450</v>
      </c>
      <c r="H260" s="21" t="n">
        <v>0</v>
      </c>
      <c r="I260" s="21" t="s">
        <v>137</v>
      </c>
    </row>
    <row r="261" customFormat="false" ht="15" hidden="false" customHeight="false" outlineLevel="0" collapsed="false">
      <c r="A261" s="21" t="s">
        <v>502</v>
      </c>
      <c r="B261" s="21"/>
      <c r="C261" s="21"/>
      <c r="D261" s="37" t="s">
        <v>84</v>
      </c>
      <c r="E261" s="37" t="s">
        <v>84</v>
      </c>
      <c r="F261" s="37" t="s">
        <v>153</v>
      </c>
      <c r="G261" s="21" t="s">
        <v>450</v>
      </c>
      <c r="H261" s="21" t="n">
        <v>0</v>
      </c>
      <c r="I261" s="21" t="s">
        <v>137</v>
      </c>
    </row>
    <row r="262" customFormat="false" ht="15" hidden="false" customHeight="false" outlineLevel="0" collapsed="false">
      <c r="A262" s="21" t="s">
        <v>503</v>
      </c>
      <c r="B262" s="21" t="s">
        <v>504</v>
      </c>
      <c r="C262" s="21"/>
      <c r="D262" s="37" t="s">
        <v>84</v>
      </c>
      <c r="E262" s="37" t="s">
        <v>84</v>
      </c>
      <c r="F262" s="37" t="s">
        <v>153</v>
      </c>
      <c r="G262" s="21" t="s">
        <v>505</v>
      </c>
      <c r="H262" s="21" t="n">
        <v>0</v>
      </c>
      <c r="I262" s="21" t="s">
        <v>137</v>
      </c>
    </row>
    <row r="263" customFormat="false" ht="15" hidden="false" customHeight="false" outlineLevel="0" collapsed="false">
      <c r="A263" s="21" t="s">
        <v>506</v>
      </c>
      <c r="B263" s="21" t="s">
        <v>507</v>
      </c>
      <c r="C263" s="21"/>
      <c r="D263" s="37" t="s">
        <v>135</v>
      </c>
      <c r="E263" s="37" t="s">
        <v>135</v>
      </c>
      <c r="F263" s="37" t="s">
        <v>136</v>
      </c>
      <c r="G263" s="21" t="s">
        <v>445</v>
      </c>
      <c r="H263" s="21" t="n">
        <v>0</v>
      </c>
      <c r="I263" s="21" t="s">
        <v>137</v>
      </c>
    </row>
    <row r="264" customFormat="false" ht="15" hidden="false" customHeight="false" outlineLevel="0" collapsed="false">
      <c r="A264" s="21" t="s">
        <v>508</v>
      </c>
      <c r="B264" s="21" t="s">
        <v>509</v>
      </c>
      <c r="C264" s="21"/>
      <c r="D264" s="37" t="s">
        <v>84</v>
      </c>
      <c r="E264" s="37" t="s">
        <v>84</v>
      </c>
      <c r="F264" s="37" t="s">
        <v>175</v>
      </c>
      <c r="G264" s="21" t="s">
        <v>445</v>
      </c>
      <c r="H264" s="21" t="n">
        <v>0</v>
      </c>
      <c r="I264" s="21" t="s">
        <v>137</v>
      </c>
    </row>
    <row r="265" customFormat="false" ht="15" hidden="false" customHeight="false" outlineLevel="0" collapsed="false">
      <c r="A265" s="21" t="s">
        <v>510</v>
      </c>
      <c r="B265" s="21" t="s">
        <v>511</v>
      </c>
      <c r="C265" s="21"/>
      <c r="D265" s="37" t="s">
        <v>84</v>
      </c>
      <c r="E265" s="37" t="s">
        <v>84</v>
      </c>
      <c r="F265" s="37" t="s">
        <v>153</v>
      </c>
      <c r="G265" s="21" t="s">
        <v>505</v>
      </c>
      <c r="H265" s="21" t="n">
        <v>0</v>
      </c>
      <c r="I265" s="21" t="s">
        <v>137</v>
      </c>
    </row>
    <row r="266" customFormat="false" ht="15" hidden="false" customHeight="false" outlineLevel="0" collapsed="false">
      <c r="A266" s="21" t="s">
        <v>512</v>
      </c>
      <c r="B266" s="21" t="s">
        <v>513</v>
      </c>
      <c r="C266" s="21"/>
      <c r="D266" s="37" t="s">
        <v>84</v>
      </c>
      <c r="E266" s="37" t="s">
        <v>84</v>
      </c>
      <c r="F266" s="37" t="s">
        <v>153</v>
      </c>
      <c r="G266" s="21" t="s">
        <v>514</v>
      </c>
      <c r="H266" s="21" t="n">
        <v>0</v>
      </c>
      <c r="I266" s="21" t="s">
        <v>137</v>
      </c>
    </row>
    <row r="267" customFormat="false" ht="15" hidden="false" customHeight="false" outlineLevel="0" collapsed="false">
      <c r="A267" s="21" t="s">
        <v>515</v>
      </c>
      <c r="B267" s="21" t="s">
        <v>511</v>
      </c>
      <c r="C267" s="21"/>
      <c r="D267" s="37" t="s">
        <v>84</v>
      </c>
      <c r="E267" s="37" t="s">
        <v>84</v>
      </c>
      <c r="F267" s="37" t="s">
        <v>153</v>
      </c>
      <c r="G267" s="21" t="s">
        <v>505</v>
      </c>
      <c r="H267" s="21" t="n">
        <v>0</v>
      </c>
      <c r="I267" s="21" t="s">
        <v>137</v>
      </c>
    </row>
    <row r="268" customFormat="false" ht="15" hidden="false" customHeight="false" outlineLevel="0" collapsed="false">
      <c r="A268" s="21" t="s">
        <v>516</v>
      </c>
      <c r="B268" s="21" t="s">
        <v>511</v>
      </c>
      <c r="C268" s="21"/>
      <c r="D268" s="37" t="s">
        <v>84</v>
      </c>
      <c r="E268" s="37" t="s">
        <v>84</v>
      </c>
      <c r="F268" s="37" t="s">
        <v>153</v>
      </c>
      <c r="G268" s="21" t="s">
        <v>514</v>
      </c>
      <c r="H268" s="21" t="n">
        <v>0</v>
      </c>
      <c r="I268" s="21" t="s">
        <v>137</v>
      </c>
    </row>
    <row r="269" customFormat="false" ht="15" hidden="false" customHeight="false" outlineLevel="0" collapsed="false">
      <c r="A269" s="21" t="s">
        <v>517</v>
      </c>
      <c r="B269" s="21" t="s">
        <v>511</v>
      </c>
      <c r="C269" s="21"/>
      <c r="D269" s="37" t="s">
        <v>84</v>
      </c>
      <c r="E269" s="37" t="s">
        <v>84</v>
      </c>
      <c r="F269" s="37" t="s">
        <v>153</v>
      </c>
      <c r="G269" s="21" t="s">
        <v>514</v>
      </c>
      <c r="H269" s="21" t="n">
        <v>0</v>
      </c>
      <c r="I269" s="21" t="s">
        <v>137</v>
      </c>
    </row>
    <row r="270" customFormat="false" ht="15" hidden="false" customHeight="false" outlineLevel="0" collapsed="false">
      <c r="A270" s="21" t="s">
        <v>518</v>
      </c>
      <c r="B270" s="21" t="s">
        <v>513</v>
      </c>
      <c r="C270" s="21"/>
      <c r="D270" s="37" t="s">
        <v>84</v>
      </c>
      <c r="E270" s="37" t="s">
        <v>84</v>
      </c>
      <c r="F270" s="37" t="s">
        <v>153</v>
      </c>
      <c r="G270" s="21" t="s">
        <v>505</v>
      </c>
      <c r="H270" s="21" t="n">
        <v>0</v>
      </c>
      <c r="I270" s="21" t="s">
        <v>137</v>
      </c>
    </row>
    <row r="271" customFormat="false" ht="15" hidden="false" customHeight="false" outlineLevel="0" collapsed="false">
      <c r="A271" s="21" t="s">
        <v>519</v>
      </c>
      <c r="B271" s="21" t="s">
        <v>513</v>
      </c>
      <c r="C271" s="21"/>
      <c r="D271" s="37" t="s">
        <v>84</v>
      </c>
      <c r="E271" s="37" t="s">
        <v>84</v>
      </c>
      <c r="F271" s="37" t="s">
        <v>153</v>
      </c>
      <c r="G271" s="21" t="s">
        <v>514</v>
      </c>
      <c r="H271" s="21" t="n">
        <v>0</v>
      </c>
      <c r="I271" s="21" t="s">
        <v>137</v>
      </c>
    </row>
    <row r="272" customFormat="false" ht="15" hidden="false" customHeight="false" outlineLevel="0" collapsed="false">
      <c r="A272" s="21" t="s">
        <v>520</v>
      </c>
      <c r="B272" s="21" t="s">
        <v>511</v>
      </c>
      <c r="C272" s="21"/>
      <c r="D272" s="37" t="s">
        <v>84</v>
      </c>
      <c r="E272" s="37" t="s">
        <v>84</v>
      </c>
      <c r="F272" s="37" t="s">
        <v>153</v>
      </c>
      <c r="G272" s="21" t="s">
        <v>514</v>
      </c>
      <c r="H272" s="21" t="n">
        <v>0</v>
      </c>
      <c r="I272" s="21" t="s">
        <v>137</v>
      </c>
    </row>
    <row r="273" customFormat="false" ht="15" hidden="false" customHeight="false" outlineLevel="0" collapsed="false">
      <c r="A273" s="21" t="s">
        <v>521</v>
      </c>
      <c r="B273" s="21" t="s">
        <v>511</v>
      </c>
      <c r="C273" s="21"/>
      <c r="D273" s="37" t="s">
        <v>84</v>
      </c>
      <c r="E273" s="37" t="s">
        <v>84</v>
      </c>
      <c r="F273" s="37" t="s">
        <v>153</v>
      </c>
      <c r="G273" s="21" t="s">
        <v>505</v>
      </c>
      <c r="H273" s="21" t="n">
        <v>0</v>
      </c>
      <c r="I273" s="21" t="s">
        <v>137</v>
      </c>
    </row>
    <row r="274" customFormat="false" ht="15" hidden="false" customHeight="false" outlineLevel="0" collapsed="false">
      <c r="A274" s="21" t="s">
        <v>522</v>
      </c>
      <c r="B274" s="21" t="s">
        <v>511</v>
      </c>
      <c r="C274" s="21"/>
      <c r="D274" s="37" t="s">
        <v>84</v>
      </c>
      <c r="E274" s="37" t="s">
        <v>84</v>
      </c>
      <c r="F274" s="37" t="s">
        <v>153</v>
      </c>
      <c r="G274" s="21" t="s">
        <v>514</v>
      </c>
      <c r="H274" s="21" t="n">
        <v>0</v>
      </c>
      <c r="I274" s="21" t="s">
        <v>137</v>
      </c>
    </row>
    <row r="275" customFormat="false" ht="15" hidden="false" customHeight="false" outlineLevel="0" collapsed="false">
      <c r="A275" s="21" t="s">
        <v>523</v>
      </c>
      <c r="B275" s="21" t="s">
        <v>511</v>
      </c>
      <c r="C275" s="21"/>
      <c r="D275" s="37" t="s">
        <v>84</v>
      </c>
      <c r="E275" s="37" t="s">
        <v>84</v>
      </c>
      <c r="F275" s="37" t="s">
        <v>153</v>
      </c>
      <c r="G275" s="21" t="s">
        <v>514</v>
      </c>
      <c r="H275" s="21" t="n">
        <v>0</v>
      </c>
      <c r="I275" s="21" t="s">
        <v>137</v>
      </c>
    </row>
    <row r="276" customFormat="false" ht="15" hidden="false" customHeight="false" outlineLevel="0" collapsed="false">
      <c r="A276" s="21" t="s">
        <v>524</v>
      </c>
      <c r="B276" s="21" t="s">
        <v>511</v>
      </c>
      <c r="C276" s="21"/>
      <c r="D276" s="37" t="s">
        <v>84</v>
      </c>
      <c r="E276" s="37" t="s">
        <v>84</v>
      </c>
      <c r="F276" s="37" t="s">
        <v>153</v>
      </c>
      <c r="G276" s="21" t="s">
        <v>505</v>
      </c>
      <c r="H276" s="21" t="n">
        <v>0</v>
      </c>
      <c r="I276" s="21" t="s">
        <v>137</v>
      </c>
    </row>
    <row r="277" customFormat="false" ht="15" hidden="false" customHeight="false" outlineLevel="0" collapsed="false">
      <c r="A277" s="21" t="s">
        <v>525</v>
      </c>
      <c r="B277" s="21" t="s">
        <v>513</v>
      </c>
      <c r="C277" s="21"/>
      <c r="D277" s="37" t="s">
        <v>84</v>
      </c>
      <c r="E277" s="37" t="s">
        <v>84</v>
      </c>
      <c r="F277" s="37" t="s">
        <v>153</v>
      </c>
      <c r="G277" s="21" t="s">
        <v>505</v>
      </c>
      <c r="H277" s="21" t="n">
        <v>0</v>
      </c>
      <c r="I277" s="21" t="s">
        <v>137</v>
      </c>
    </row>
    <row r="278" customFormat="false" ht="15" hidden="false" customHeight="false" outlineLevel="0" collapsed="false">
      <c r="A278" s="21" t="s">
        <v>526</v>
      </c>
      <c r="B278" s="21" t="s">
        <v>513</v>
      </c>
      <c r="C278" s="21"/>
      <c r="D278" s="37" t="s">
        <v>84</v>
      </c>
      <c r="E278" s="37" t="s">
        <v>84</v>
      </c>
      <c r="F278" s="37" t="s">
        <v>153</v>
      </c>
      <c r="G278" s="21" t="s">
        <v>514</v>
      </c>
      <c r="H278" s="21" t="n">
        <v>0</v>
      </c>
      <c r="I278" s="21" t="s">
        <v>137</v>
      </c>
    </row>
    <row r="279" customFormat="false" ht="15" hidden="false" customHeight="false" outlineLevel="0" collapsed="false">
      <c r="A279" s="21" t="s">
        <v>527</v>
      </c>
      <c r="B279" s="21" t="s">
        <v>511</v>
      </c>
      <c r="C279" s="21"/>
      <c r="D279" s="37" t="s">
        <v>84</v>
      </c>
      <c r="E279" s="37" t="s">
        <v>84</v>
      </c>
      <c r="F279" s="37" t="s">
        <v>153</v>
      </c>
      <c r="G279" s="21" t="s">
        <v>505</v>
      </c>
      <c r="H279" s="21" t="n">
        <v>0</v>
      </c>
      <c r="I279" s="21" t="s">
        <v>137</v>
      </c>
    </row>
    <row r="280" customFormat="false" ht="15" hidden="false" customHeight="false" outlineLevel="0" collapsed="false">
      <c r="A280" s="21" t="s">
        <v>528</v>
      </c>
      <c r="B280" s="21" t="s">
        <v>511</v>
      </c>
      <c r="C280" s="21"/>
      <c r="D280" s="37" t="s">
        <v>84</v>
      </c>
      <c r="E280" s="37" t="s">
        <v>84</v>
      </c>
      <c r="F280" s="37" t="s">
        <v>153</v>
      </c>
      <c r="G280" s="21" t="s">
        <v>505</v>
      </c>
      <c r="H280" s="21" t="n">
        <v>0</v>
      </c>
      <c r="I280" s="21" t="s">
        <v>137</v>
      </c>
    </row>
    <row r="281" customFormat="false" ht="15" hidden="false" customHeight="false" outlineLevel="0" collapsed="false">
      <c r="A281" s="21" t="s">
        <v>529</v>
      </c>
      <c r="B281" s="21" t="s">
        <v>511</v>
      </c>
      <c r="C281" s="21"/>
      <c r="D281" s="37" t="s">
        <v>84</v>
      </c>
      <c r="E281" s="37" t="s">
        <v>84</v>
      </c>
      <c r="F281" s="37" t="s">
        <v>153</v>
      </c>
      <c r="G281" s="21" t="s">
        <v>505</v>
      </c>
      <c r="H281" s="21" t="n">
        <v>0</v>
      </c>
      <c r="I281" s="21" t="s">
        <v>137</v>
      </c>
    </row>
    <row r="282" customFormat="false" ht="15" hidden="false" customHeight="false" outlineLevel="0" collapsed="false">
      <c r="A282" s="21" t="s">
        <v>530</v>
      </c>
      <c r="B282" s="21" t="s">
        <v>513</v>
      </c>
      <c r="C282" s="21"/>
      <c r="D282" s="37" t="s">
        <v>84</v>
      </c>
      <c r="E282" s="37" t="s">
        <v>84</v>
      </c>
      <c r="F282" s="37" t="s">
        <v>153</v>
      </c>
      <c r="G282" s="21" t="s">
        <v>505</v>
      </c>
      <c r="H282" s="21" t="n">
        <v>0</v>
      </c>
      <c r="I282" s="21" t="s">
        <v>137</v>
      </c>
    </row>
    <row r="283" customFormat="false" ht="15" hidden="false" customHeight="false" outlineLevel="0" collapsed="false">
      <c r="A283" s="21" t="s">
        <v>531</v>
      </c>
      <c r="B283" s="21" t="s">
        <v>513</v>
      </c>
      <c r="C283" s="21"/>
      <c r="D283" s="37" t="s">
        <v>84</v>
      </c>
      <c r="E283" s="37" t="s">
        <v>84</v>
      </c>
      <c r="F283" s="37" t="s">
        <v>153</v>
      </c>
      <c r="G283" s="21" t="s">
        <v>514</v>
      </c>
      <c r="H283" s="21" t="n">
        <v>0</v>
      </c>
      <c r="I283" s="21" t="s">
        <v>137</v>
      </c>
    </row>
    <row r="284" customFormat="false" ht="15" hidden="false" customHeight="false" outlineLevel="0" collapsed="false">
      <c r="A284" s="21" t="s">
        <v>532</v>
      </c>
      <c r="B284" s="21" t="s">
        <v>513</v>
      </c>
      <c r="C284" s="21"/>
      <c r="D284" s="37" t="s">
        <v>84</v>
      </c>
      <c r="E284" s="37" t="s">
        <v>84</v>
      </c>
      <c r="F284" s="37" t="s">
        <v>153</v>
      </c>
      <c r="G284" s="21" t="s">
        <v>514</v>
      </c>
      <c r="H284" s="21" t="n">
        <v>0</v>
      </c>
      <c r="I284" s="21" t="s">
        <v>137</v>
      </c>
    </row>
    <row r="285" customFormat="false" ht="15" hidden="false" customHeight="false" outlineLevel="0" collapsed="false">
      <c r="A285" s="21" t="s">
        <v>533</v>
      </c>
      <c r="B285" s="21" t="s">
        <v>513</v>
      </c>
      <c r="C285" s="21"/>
      <c r="D285" s="37" t="s">
        <v>84</v>
      </c>
      <c r="E285" s="37" t="s">
        <v>84</v>
      </c>
      <c r="F285" s="37" t="s">
        <v>153</v>
      </c>
      <c r="G285" s="21" t="s">
        <v>514</v>
      </c>
      <c r="H285" s="21" t="n">
        <v>0</v>
      </c>
      <c r="I285" s="21" t="s">
        <v>137</v>
      </c>
    </row>
    <row r="286" customFormat="false" ht="15" hidden="false" customHeight="false" outlineLevel="0" collapsed="false">
      <c r="A286" s="21" t="s">
        <v>534</v>
      </c>
      <c r="B286" s="21" t="s">
        <v>513</v>
      </c>
      <c r="C286" s="21"/>
      <c r="D286" s="37" t="s">
        <v>84</v>
      </c>
      <c r="E286" s="37" t="s">
        <v>84</v>
      </c>
      <c r="F286" s="37" t="s">
        <v>153</v>
      </c>
      <c r="G286" s="21" t="s">
        <v>514</v>
      </c>
      <c r="H286" s="21" t="n">
        <v>0</v>
      </c>
      <c r="I286" s="21" t="s">
        <v>137</v>
      </c>
    </row>
    <row r="287" customFormat="false" ht="15" hidden="false" customHeight="false" outlineLevel="0" collapsed="false">
      <c r="A287" s="21" t="s">
        <v>535</v>
      </c>
      <c r="B287" s="21" t="s">
        <v>513</v>
      </c>
      <c r="C287" s="21"/>
      <c r="D287" s="37" t="s">
        <v>84</v>
      </c>
      <c r="E287" s="37" t="s">
        <v>84</v>
      </c>
      <c r="F287" s="37" t="s">
        <v>153</v>
      </c>
      <c r="G287" s="21" t="s">
        <v>514</v>
      </c>
      <c r="H287" s="21" t="n">
        <v>0</v>
      </c>
      <c r="I287" s="21" t="s">
        <v>137</v>
      </c>
    </row>
    <row r="288" customFormat="false" ht="15" hidden="false" customHeight="false" outlineLevel="0" collapsed="false">
      <c r="A288" s="21" t="s">
        <v>536</v>
      </c>
      <c r="B288" s="21" t="s">
        <v>511</v>
      </c>
      <c r="C288" s="21"/>
      <c r="D288" s="37" t="s">
        <v>84</v>
      </c>
      <c r="E288" s="37" t="s">
        <v>84</v>
      </c>
      <c r="F288" s="37" t="s">
        <v>153</v>
      </c>
      <c r="G288" s="21" t="s">
        <v>514</v>
      </c>
      <c r="H288" s="21" t="n">
        <v>0</v>
      </c>
      <c r="I288" s="21" t="s">
        <v>137</v>
      </c>
    </row>
    <row r="289" customFormat="false" ht="15" hidden="false" customHeight="false" outlineLevel="0" collapsed="false">
      <c r="A289" s="21" t="s">
        <v>537</v>
      </c>
      <c r="B289" s="21" t="s">
        <v>513</v>
      </c>
      <c r="C289" s="21"/>
      <c r="D289" s="37" t="s">
        <v>84</v>
      </c>
      <c r="E289" s="37" t="s">
        <v>84</v>
      </c>
      <c r="F289" s="37" t="s">
        <v>153</v>
      </c>
      <c r="G289" s="21" t="s">
        <v>505</v>
      </c>
      <c r="H289" s="21" t="n">
        <v>0</v>
      </c>
      <c r="I289" s="21" t="s">
        <v>137</v>
      </c>
    </row>
    <row r="290" customFormat="false" ht="15" hidden="false" customHeight="false" outlineLevel="0" collapsed="false">
      <c r="A290" s="21" t="s">
        <v>538</v>
      </c>
      <c r="B290" s="21" t="s">
        <v>511</v>
      </c>
      <c r="C290" s="21"/>
      <c r="D290" s="37" t="s">
        <v>84</v>
      </c>
      <c r="E290" s="37" t="s">
        <v>84</v>
      </c>
      <c r="F290" s="37" t="s">
        <v>153</v>
      </c>
      <c r="G290" s="21" t="s">
        <v>505</v>
      </c>
      <c r="H290" s="21" t="n">
        <v>0</v>
      </c>
      <c r="I290" s="21" t="s">
        <v>137</v>
      </c>
    </row>
    <row r="291" customFormat="false" ht="15" hidden="false" customHeight="false" outlineLevel="0" collapsed="false">
      <c r="A291" s="21" t="s">
        <v>539</v>
      </c>
      <c r="B291" s="21" t="s">
        <v>511</v>
      </c>
      <c r="C291" s="21"/>
      <c r="D291" s="37" t="s">
        <v>84</v>
      </c>
      <c r="E291" s="37" t="s">
        <v>84</v>
      </c>
      <c r="F291" s="37" t="s">
        <v>153</v>
      </c>
      <c r="G291" s="21" t="s">
        <v>514</v>
      </c>
      <c r="H291" s="21" t="n">
        <v>0</v>
      </c>
      <c r="I291" s="21" t="s">
        <v>137</v>
      </c>
    </row>
    <row r="292" customFormat="false" ht="15" hidden="false" customHeight="false" outlineLevel="0" collapsed="false">
      <c r="A292" s="21" t="s">
        <v>540</v>
      </c>
      <c r="B292" s="21" t="s">
        <v>511</v>
      </c>
      <c r="C292" s="21"/>
      <c r="D292" s="37" t="s">
        <v>84</v>
      </c>
      <c r="E292" s="37" t="s">
        <v>84</v>
      </c>
      <c r="F292" s="37" t="s">
        <v>153</v>
      </c>
      <c r="G292" s="21" t="s">
        <v>505</v>
      </c>
      <c r="H292" s="21" t="n">
        <v>0</v>
      </c>
      <c r="I292" s="21" t="s">
        <v>137</v>
      </c>
    </row>
    <row r="293" customFormat="false" ht="15" hidden="false" customHeight="false" outlineLevel="0" collapsed="false">
      <c r="A293" s="21" t="s">
        <v>541</v>
      </c>
      <c r="B293" s="21" t="s">
        <v>511</v>
      </c>
      <c r="C293" s="21"/>
      <c r="D293" s="37" t="s">
        <v>84</v>
      </c>
      <c r="E293" s="37" t="s">
        <v>84</v>
      </c>
      <c r="F293" s="37" t="s">
        <v>153</v>
      </c>
      <c r="G293" s="21" t="s">
        <v>505</v>
      </c>
      <c r="H293" s="21" t="n">
        <v>0</v>
      </c>
      <c r="I293" s="21" t="s">
        <v>137</v>
      </c>
    </row>
    <row r="294" customFormat="false" ht="15" hidden="false" customHeight="false" outlineLevel="0" collapsed="false">
      <c r="A294" s="21" t="s">
        <v>542</v>
      </c>
      <c r="B294" s="21" t="s">
        <v>513</v>
      </c>
      <c r="C294" s="21"/>
      <c r="D294" s="37" t="s">
        <v>84</v>
      </c>
      <c r="E294" s="37" t="s">
        <v>84</v>
      </c>
      <c r="F294" s="37" t="s">
        <v>153</v>
      </c>
      <c r="G294" s="21" t="s">
        <v>514</v>
      </c>
      <c r="H294" s="21" t="n">
        <v>0</v>
      </c>
      <c r="I294" s="21" t="s">
        <v>137</v>
      </c>
    </row>
    <row r="295" customFormat="false" ht="15" hidden="false" customHeight="false" outlineLevel="0" collapsed="false">
      <c r="A295" s="21" t="s">
        <v>543</v>
      </c>
      <c r="B295" s="21" t="s">
        <v>511</v>
      </c>
      <c r="C295" s="21"/>
      <c r="D295" s="37" t="s">
        <v>84</v>
      </c>
      <c r="E295" s="37" t="s">
        <v>84</v>
      </c>
      <c r="F295" s="37" t="s">
        <v>153</v>
      </c>
      <c r="G295" s="21" t="s">
        <v>514</v>
      </c>
      <c r="H295" s="21" t="n">
        <v>0</v>
      </c>
      <c r="I295" s="21" t="s">
        <v>137</v>
      </c>
    </row>
    <row r="296" customFormat="false" ht="15" hidden="false" customHeight="false" outlineLevel="0" collapsed="false">
      <c r="A296" s="21" t="s">
        <v>544</v>
      </c>
      <c r="B296" s="21" t="s">
        <v>511</v>
      </c>
      <c r="C296" s="21"/>
      <c r="D296" s="37" t="s">
        <v>84</v>
      </c>
      <c r="E296" s="37" t="s">
        <v>84</v>
      </c>
      <c r="F296" s="37" t="s">
        <v>153</v>
      </c>
      <c r="G296" s="21" t="s">
        <v>505</v>
      </c>
      <c r="H296" s="21" t="n">
        <v>0</v>
      </c>
      <c r="I296" s="21" t="s">
        <v>137</v>
      </c>
    </row>
    <row r="297" customFormat="false" ht="15" hidden="false" customHeight="false" outlineLevel="0" collapsed="false">
      <c r="A297" s="21" t="s">
        <v>545</v>
      </c>
      <c r="B297" s="21" t="s">
        <v>511</v>
      </c>
      <c r="C297" s="21"/>
      <c r="D297" s="37" t="s">
        <v>84</v>
      </c>
      <c r="E297" s="37" t="s">
        <v>84</v>
      </c>
      <c r="F297" s="37" t="s">
        <v>153</v>
      </c>
      <c r="G297" s="21" t="s">
        <v>505</v>
      </c>
      <c r="H297" s="21" t="n">
        <v>0</v>
      </c>
      <c r="I297" s="21" t="s">
        <v>137</v>
      </c>
    </row>
    <row r="298" customFormat="false" ht="15" hidden="false" customHeight="false" outlineLevel="0" collapsed="false">
      <c r="A298" s="21" t="s">
        <v>546</v>
      </c>
      <c r="B298" s="21" t="s">
        <v>511</v>
      </c>
      <c r="C298" s="21"/>
      <c r="D298" s="37" t="s">
        <v>84</v>
      </c>
      <c r="E298" s="37" t="s">
        <v>84</v>
      </c>
      <c r="F298" s="37" t="s">
        <v>153</v>
      </c>
      <c r="G298" s="21" t="s">
        <v>505</v>
      </c>
      <c r="H298" s="21" t="n">
        <v>0</v>
      </c>
      <c r="I298" s="21" t="s">
        <v>137</v>
      </c>
    </row>
    <row r="299" customFormat="false" ht="15" hidden="false" customHeight="false" outlineLevel="0" collapsed="false">
      <c r="A299" s="21" t="s">
        <v>547</v>
      </c>
      <c r="B299" s="21" t="s">
        <v>513</v>
      </c>
      <c r="C299" s="21"/>
      <c r="D299" s="37" t="s">
        <v>84</v>
      </c>
      <c r="E299" s="37" t="s">
        <v>84</v>
      </c>
      <c r="F299" s="37" t="s">
        <v>153</v>
      </c>
      <c r="G299" s="21" t="s">
        <v>505</v>
      </c>
      <c r="H299" s="21" t="n">
        <v>0</v>
      </c>
      <c r="I299" s="21" t="s">
        <v>137</v>
      </c>
    </row>
    <row r="300" customFormat="false" ht="15" hidden="false" customHeight="false" outlineLevel="0" collapsed="false">
      <c r="A300" s="21" t="s">
        <v>548</v>
      </c>
      <c r="B300" s="21" t="s">
        <v>513</v>
      </c>
      <c r="C300" s="21"/>
      <c r="D300" s="37" t="s">
        <v>84</v>
      </c>
      <c r="E300" s="37" t="s">
        <v>84</v>
      </c>
      <c r="F300" s="37" t="s">
        <v>153</v>
      </c>
      <c r="G300" s="21" t="s">
        <v>514</v>
      </c>
      <c r="H300" s="21" t="n">
        <v>0</v>
      </c>
      <c r="I300" s="21" t="s">
        <v>137</v>
      </c>
    </row>
    <row r="301" customFormat="false" ht="15" hidden="false" customHeight="false" outlineLevel="0" collapsed="false">
      <c r="A301" s="21" t="s">
        <v>549</v>
      </c>
      <c r="B301" s="21" t="s">
        <v>511</v>
      </c>
      <c r="C301" s="21"/>
      <c r="D301" s="37" t="s">
        <v>84</v>
      </c>
      <c r="E301" s="37" t="s">
        <v>84</v>
      </c>
      <c r="F301" s="37" t="s">
        <v>153</v>
      </c>
      <c r="G301" s="21" t="s">
        <v>505</v>
      </c>
      <c r="H301" s="21" t="n">
        <v>0</v>
      </c>
      <c r="I301" s="21" t="s">
        <v>137</v>
      </c>
    </row>
    <row r="302" customFormat="false" ht="15" hidden="false" customHeight="false" outlineLevel="0" collapsed="false">
      <c r="A302" s="21" t="s">
        <v>550</v>
      </c>
      <c r="B302" s="21" t="s">
        <v>513</v>
      </c>
      <c r="C302" s="21"/>
      <c r="D302" s="37" t="s">
        <v>84</v>
      </c>
      <c r="E302" s="37" t="s">
        <v>84</v>
      </c>
      <c r="F302" s="37" t="s">
        <v>153</v>
      </c>
      <c r="G302" s="21" t="s">
        <v>514</v>
      </c>
      <c r="H302" s="21" t="n">
        <v>0</v>
      </c>
      <c r="I302" s="21" t="s">
        <v>137</v>
      </c>
    </row>
    <row r="303" customFormat="false" ht="15" hidden="false" customHeight="false" outlineLevel="0" collapsed="false">
      <c r="A303" s="21" t="s">
        <v>551</v>
      </c>
      <c r="B303" s="21" t="s">
        <v>511</v>
      </c>
      <c r="C303" s="21"/>
      <c r="D303" s="37" t="s">
        <v>84</v>
      </c>
      <c r="E303" s="37" t="s">
        <v>84</v>
      </c>
      <c r="F303" s="37" t="s">
        <v>153</v>
      </c>
      <c r="G303" s="21" t="s">
        <v>514</v>
      </c>
      <c r="H303" s="21" t="n">
        <v>0</v>
      </c>
      <c r="I303" s="21" t="s">
        <v>137</v>
      </c>
    </row>
    <row r="304" customFormat="false" ht="15" hidden="false" customHeight="false" outlineLevel="0" collapsed="false">
      <c r="A304" s="21" t="s">
        <v>552</v>
      </c>
      <c r="B304" s="21" t="s">
        <v>513</v>
      </c>
      <c r="C304" s="21"/>
      <c r="D304" s="37" t="s">
        <v>84</v>
      </c>
      <c r="E304" s="37" t="s">
        <v>84</v>
      </c>
      <c r="F304" s="37" t="s">
        <v>153</v>
      </c>
      <c r="G304" s="21" t="s">
        <v>514</v>
      </c>
      <c r="H304" s="21" t="n">
        <v>0</v>
      </c>
      <c r="I304" s="21" t="s">
        <v>137</v>
      </c>
    </row>
    <row r="305" customFormat="false" ht="15" hidden="false" customHeight="false" outlineLevel="0" collapsed="false">
      <c r="A305" s="21" t="s">
        <v>553</v>
      </c>
      <c r="B305" s="21" t="s">
        <v>511</v>
      </c>
      <c r="C305" s="21"/>
      <c r="D305" s="37" t="s">
        <v>84</v>
      </c>
      <c r="E305" s="37" t="s">
        <v>84</v>
      </c>
      <c r="F305" s="37" t="s">
        <v>153</v>
      </c>
      <c r="G305" s="21" t="s">
        <v>505</v>
      </c>
      <c r="H305" s="21" t="n">
        <v>0</v>
      </c>
      <c r="I305" s="21" t="s">
        <v>137</v>
      </c>
    </row>
    <row r="306" customFormat="false" ht="15" hidden="false" customHeight="false" outlineLevel="0" collapsed="false">
      <c r="A306" s="21" t="s">
        <v>554</v>
      </c>
      <c r="B306" s="21" t="s">
        <v>511</v>
      </c>
      <c r="C306" s="21"/>
      <c r="D306" s="37" t="s">
        <v>84</v>
      </c>
      <c r="E306" s="37" t="s">
        <v>84</v>
      </c>
      <c r="F306" s="37" t="s">
        <v>153</v>
      </c>
      <c r="G306" s="21" t="s">
        <v>505</v>
      </c>
      <c r="H306" s="21" t="n">
        <v>0</v>
      </c>
      <c r="I306" s="21" t="s">
        <v>137</v>
      </c>
    </row>
    <row r="307" customFormat="false" ht="15" hidden="false" customHeight="false" outlineLevel="0" collapsed="false">
      <c r="A307" s="21" t="s">
        <v>555</v>
      </c>
      <c r="B307" s="21" t="s">
        <v>511</v>
      </c>
      <c r="C307" s="21"/>
      <c r="D307" s="37" t="s">
        <v>84</v>
      </c>
      <c r="E307" s="37" t="s">
        <v>84</v>
      </c>
      <c r="F307" s="37" t="s">
        <v>153</v>
      </c>
      <c r="G307" s="21" t="s">
        <v>514</v>
      </c>
      <c r="H307" s="21" t="n">
        <v>0</v>
      </c>
      <c r="I307" s="21" t="s">
        <v>137</v>
      </c>
    </row>
    <row r="308" customFormat="false" ht="15" hidden="false" customHeight="false" outlineLevel="0" collapsed="false">
      <c r="A308" s="21" t="s">
        <v>556</v>
      </c>
      <c r="B308" s="21" t="s">
        <v>511</v>
      </c>
      <c r="C308" s="21"/>
      <c r="D308" s="37" t="s">
        <v>84</v>
      </c>
      <c r="E308" s="37" t="s">
        <v>84</v>
      </c>
      <c r="F308" s="37" t="s">
        <v>153</v>
      </c>
      <c r="G308" s="21" t="s">
        <v>514</v>
      </c>
      <c r="H308" s="21" t="n">
        <v>0</v>
      </c>
      <c r="I308" s="21" t="s">
        <v>137</v>
      </c>
    </row>
    <row r="309" customFormat="false" ht="15" hidden="false" customHeight="false" outlineLevel="0" collapsed="false">
      <c r="A309" s="21" t="s">
        <v>557</v>
      </c>
      <c r="B309" s="21" t="s">
        <v>511</v>
      </c>
      <c r="C309" s="21"/>
      <c r="D309" s="37" t="s">
        <v>84</v>
      </c>
      <c r="E309" s="37" t="s">
        <v>84</v>
      </c>
      <c r="F309" s="37" t="s">
        <v>153</v>
      </c>
      <c r="G309" s="21" t="s">
        <v>505</v>
      </c>
      <c r="H309" s="21" t="n">
        <v>0</v>
      </c>
      <c r="I309" s="21" t="s">
        <v>137</v>
      </c>
    </row>
    <row r="310" customFormat="false" ht="15" hidden="false" customHeight="false" outlineLevel="0" collapsed="false">
      <c r="A310" s="21" t="s">
        <v>558</v>
      </c>
      <c r="B310" s="21" t="s">
        <v>513</v>
      </c>
      <c r="C310" s="21"/>
      <c r="D310" s="37" t="s">
        <v>84</v>
      </c>
      <c r="E310" s="37" t="s">
        <v>84</v>
      </c>
      <c r="F310" s="37" t="s">
        <v>153</v>
      </c>
      <c r="G310" s="21" t="s">
        <v>514</v>
      </c>
      <c r="H310" s="21" t="n">
        <v>0</v>
      </c>
      <c r="I310" s="21" t="s">
        <v>137</v>
      </c>
    </row>
    <row r="311" customFormat="false" ht="15" hidden="false" customHeight="false" outlineLevel="0" collapsed="false">
      <c r="A311" s="21" t="s">
        <v>559</v>
      </c>
      <c r="B311" s="21" t="s">
        <v>511</v>
      </c>
      <c r="C311" s="21"/>
      <c r="D311" s="37" t="s">
        <v>84</v>
      </c>
      <c r="E311" s="37" t="s">
        <v>84</v>
      </c>
      <c r="F311" s="37" t="s">
        <v>153</v>
      </c>
      <c r="G311" s="21" t="s">
        <v>514</v>
      </c>
      <c r="H311" s="21" t="n">
        <v>0</v>
      </c>
      <c r="I311" s="21" t="s">
        <v>137</v>
      </c>
    </row>
    <row r="312" customFormat="false" ht="15" hidden="false" customHeight="false" outlineLevel="0" collapsed="false">
      <c r="A312" s="21" t="s">
        <v>560</v>
      </c>
      <c r="B312" s="21" t="s">
        <v>513</v>
      </c>
      <c r="C312" s="21"/>
      <c r="D312" s="37" t="s">
        <v>84</v>
      </c>
      <c r="E312" s="37" t="s">
        <v>84</v>
      </c>
      <c r="F312" s="37" t="s">
        <v>153</v>
      </c>
      <c r="G312" s="21" t="s">
        <v>505</v>
      </c>
      <c r="H312" s="21" t="n">
        <v>0</v>
      </c>
      <c r="I312" s="21" t="s">
        <v>137</v>
      </c>
    </row>
    <row r="313" customFormat="false" ht="15" hidden="false" customHeight="false" outlineLevel="0" collapsed="false">
      <c r="A313" s="21" t="s">
        <v>561</v>
      </c>
      <c r="B313" s="21" t="s">
        <v>511</v>
      </c>
      <c r="C313" s="21"/>
      <c r="D313" s="37" t="s">
        <v>84</v>
      </c>
      <c r="E313" s="37" t="s">
        <v>84</v>
      </c>
      <c r="F313" s="37" t="s">
        <v>153</v>
      </c>
      <c r="G313" s="21" t="s">
        <v>514</v>
      </c>
      <c r="H313" s="21" t="n">
        <v>0</v>
      </c>
      <c r="I313" s="21" t="s">
        <v>137</v>
      </c>
    </row>
    <row r="314" customFormat="false" ht="15" hidden="false" customHeight="false" outlineLevel="0" collapsed="false">
      <c r="A314" s="21" t="s">
        <v>562</v>
      </c>
      <c r="B314" s="21" t="s">
        <v>511</v>
      </c>
      <c r="C314" s="21"/>
      <c r="D314" s="37" t="s">
        <v>84</v>
      </c>
      <c r="E314" s="37" t="s">
        <v>84</v>
      </c>
      <c r="F314" s="37" t="s">
        <v>153</v>
      </c>
      <c r="G314" s="21" t="s">
        <v>505</v>
      </c>
      <c r="H314" s="21" t="n">
        <v>0</v>
      </c>
      <c r="I314" s="21" t="s">
        <v>137</v>
      </c>
    </row>
    <row r="315" customFormat="false" ht="15" hidden="false" customHeight="false" outlineLevel="0" collapsed="false">
      <c r="A315" s="21" t="s">
        <v>563</v>
      </c>
      <c r="B315" s="21" t="s">
        <v>511</v>
      </c>
      <c r="C315" s="21"/>
      <c r="D315" s="37" t="s">
        <v>84</v>
      </c>
      <c r="E315" s="37" t="s">
        <v>84</v>
      </c>
      <c r="F315" s="37" t="s">
        <v>153</v>
      </c>
      <c r="G315" s="21" t="s">
        <v>505</v>
      </c>
      <c r="H315" s="21" t="n">
        <v>0</v>
      </c>
      <c r="I315" s="21" t="s">
        <v>137</v>
      </c>
    </row>
    <row r="316" customFormat="false" ht="15" hidden="false" customHeight="false" outlineLevel="0" collapsed="false">
      <c r="A316" s="21" t="s">
        <v>564</v>
      </c>
      <c r="B316" s="21" t="s">
        <v>511</v>
      </c>
      <c r="C316" s="21"/>
      <c r="D316" s="37" t="s">
        <v>84</v>
      </c>
      <c r="E316" s="37" t="s">
        <v>84</v>
      </c>
      <c r="F316" s="37" t="s">
        <v>153</v>
      </c>
      <c r="G316" s="21" t="s">
        <v>505</v>
      </c>
      <c r="H316" s="21" t="n">
        <v>0</v>
      </c>
      <c r="I316" s="21" t="s">
        <v>137</v>
      </c>
    </row>
    <row r="317" customFormat="false" ht="15" hidden="false" customHeight="false" outlineLevel="0" collapsed="false">
      <c r="A317" s="21" t="s">
        <v>565</v>
      </c>
      <c r="B317" s="21" t="s">
        <v>511</v>
      </c>
      <c r="C317" s="21"/>
      <c r="D317" s="37" t="s">
        <v>84</v>
      </c>
      <c r="E317" s="37" t="s">
        <v>84</v>
      </c>
      <c r="F317" s="37" t="s">
        <v>153</v>
      </c>
      <c r="G317" s="21" t="s">
        <v>505</v>
      </c>
      <c r="H317" s="21" t="n">
        <v>0</v>
      </c>
      <c r="I317" s="21" t="s">
        <v>137</v>
      </c>
    </row>
    <row r="318" customFormat="false" ht="15" hidden="false" customHeight="false" outlineLevel="0" collapsed="false">
      <c r="A318" s="21" t="s">
        <v>566</v>
      </c>
      <c r="B318" s="21" t="s">
        <v>511</v>
      </c>
      <c r="C318" s="21"/>
      <c r="D318" s="37" t="s">
        <v>84</v>
      </c>
      <c r="E318" s="37" t="s">
        <v>84</v>
      </c>
      <c r="F318" s="37" t="s">
        <v>153</v>
      </c>
      <c r="G318" s="21" t="s">
        <v>514</v>
      </c>
      <c r="H318" s="21" t="n">
        <v>0</v>
      </c>
      <c r="I318" s="21" t="s">
        <v>137</v>
      </c>
    </row>
    <row r="319" customFormat="false" ht="15" hidden="false" customHeight="false" outlineLevel="0" collapsed="false">
      <c r="A319" s="21" t="s">
        <v>567</v>
      </c>
      <c r="B319" s="21" t="s">
        <v>513</v>
      </c>
      <c r="C319" s="21"/>
      <c r="D319" s="37" t="s">
        <v>84</v>
      </c>
      <c r="E319" s="37" t="s">
        <v>84</v>
      </c>
      <c r="F319" s="37" t="s">
        <v>153</v>
      </c>
      <c r="G319" s="21" t="s">
        <v>514</v>
      </c>
      <c r="H319" s="21" t="n">
        <v>0</v>
      </c>
      <c r="I319" s="21" t="s">
        <v>137</v>
      </c>
    </row>
    <row r="320" customFormat="false" ht="15" hidden="false" customHeight="false" outlineLevel="0" collapsed="false">
      <c r="A320" s="21" t="s">
        <v>568</v>
      </c>
      <c r="B320" s="21" t="s">
        <v>569</v>
      </c>
      <c r="C320" s="21"/>
      <c r="D320" s="37" t="s">
        <v>84</v>
      </c>
      <c r="E320" s="37" t="s">
        <v>84</v>
      </c>
      <c r="F320" s="37" t="s">
        <v>153</v>
      </c>
      <c r="G320" s="21" t="s">
        <v>505</v>
      </c>
      <c r="H320" s="21" t="n">
        <v>0</v>
      </c>
      <c r="I320" s="21" t="s">
        <v>137</v>
      </c>
    </row>
    <row r="321" customFormat="false" ht="15" hidden="false" customHeight="false" outlineLevel="0" collapsed="false">
      <c r="A321" s="21" t="s">
        <v>570</v>
      </c>
      <c r="B321" s="21" t="s">
        <v>511</v>
      </c>
      <c r="C321" s="21"/>
      <c r="D321" s="37" t="s">
        <v>84</v>
      </c>
      <c r="E321" s="37" t="s">
        <v>84</v>
      </c>
      <c r="F321" s="37" t="s">
        <v>153</v>
      </c>
      <c r="G321" s="21" t="s">
        <v>505</v>
      </c>
      <c r="H321" s="21" t="n">
        <v>0</v>
      </c>
      <c r="I321" s="21" t="s">
        <v>137</v>
      </c>
    </row>
    <row r="322" customFormat="false" ht="15" hidden="false" customHeight="false" outlineLevel="0" collapsed="false">
      <c r="A322" s="21" t="s">
        <v>571</v>
      </c>
      <c r="B322" s="21" t="s">
        <v>511</v>
      </c>
      <c r="C322" s="21"/>
      <c r="D322" s="37" t="s">
        <v>84</v>
      </c>
      <c r="E322" s="37" t="s">
        <v>84</v>
      </c>
      <c r="F322" s="37" t="s">
        <v>153</v>
      </c>
      <c r="G322" s="21" t="s">
        <v>505</v>
      </c>
      <c r="H322" s="21" t="n">
        <v>0</v>
      </c>
      <c r="I322" s="21" t="s">
        <v>137</v>
      </c>
    </row>
    <row r="323" customFormat="false" ht="15" hidden="false" customHeight="false" outlineLevel="0" collapsed="false">
      <c r="A323" s="21" t="s">
        <v>572</v>
      </c>
      <c r="B323" s="21" t="s">
        <v>511</v>
      </c>
      <c r="C323" s="21"/>
      <c r="D323" s="37" t="s">
        <v>84</v>
      </c>
      <c r="E323" s="37" t="s">
        <v>84</v>
      </c>
      <c r="F323" s="37" t="s">
        <v>153</v>
      </c>
      <c r="G323" s="21" t="s">
        <v>505</v>
      </c>
      <c r="H323" s="21" t="n">
        <v>0</v>
      </c>
      <c r="I323" s="21" t="s">
        <v>137</v>
      </c>
    </row>
    <row r="324" customFormat="false" ht="15" hidden="false" customHeight="false" outlineLevel="0" collapsed="false">
      <c r="A324" s="21" t="s">
        <v>573</v>
      </c>
      <c r="B324" s="21" t="s">
        <v>513</v>
      </c>
      <c r="C324" s="21"/>
      <c r="D324" s="37" t="s">
        <v>84</v>
      </c>
      <c r="E324" s="37" t="s">
        <v>84</v>
      </c>
      <c r="F324" s="37" t="s">
        <v>153</v>
      </c>
      <c r="G324" s="21" t="s">
        <v>505</v>
      </c>
      <c r="H324" s="21" t="n">
        <v>0</v>
      </c>
      <c r="I324" s="21" t="s">
        <v>137</v>
      </c>
    </row>
    <row r="325" customFormat="false" ht="15" hidden="false" customHeight="false" outlineLevel="0" collapsed="false">
      <c r="A325" s="21" t="s">
        <v>574</v>
      </c>
      <c r="B325" s="21" t="s">
        <v>511</v>
      </c>
      <c r="C325" s="21"/>
      <c r="D325" s="37" t="s">
        <v>84</v>
      </c>
      <c r="E325" s="37" t="s">
        <v>84</v>
      </c>
      <c r="F325" s="37" t="s">
        <v>153</v>
      </c>
      <c r="G325" s="21" t="s">
        <v>505</v>
      </c>
      <c r="H325" s="21" t="n">
        <v>0</v>
      </c>
      <c r="I325" s="21" t="s">
        <v>137</v>
      </c>
    </row>
    <row r="326" customFormat="false" ht="15" hidden="false" customHeight="false" outlineLevel="0" collapsed="false">
      <c r="A326" s="21" t="s">
        <v>575</v>
      </c>
      <c r="B326" s="21" t="s">
        <v>511</v>
      </c>
      <c r="C326" s="21"/>
      <c r="D326" s="37" t="s">
        <v>84</v>
      </c>
      <c r="E326" s="37" t="s">
        <v>84</v>
      </c>
      <c r="F326" s="37" t="s">
        <v>153</v>
      </c>
      <c r="G326" s="21" t="s">
        <v>505</v>
      </c>
      <c r="H326" s="21" t="n">
        <v>0</v>
      </c>
      <c r="I326" s="21" t="s">
        <v>137</v>
      </c>
    </row>
    <row r="327" customFormat="false" ht="15" hidden="false" customHeight="false" outlineLevel="0" collapsed="false">
      <c r="A327" s="21" t="s">
        <v>576</v>
      </c>
      <c r="B327" s="21" t="s">
        <v>513</v>
      </c>
      <c r="C327" s="21"/>
      <c r="D327" s="37" t="s">
        <v>84</v>
      </c>
      <c r="E327" s="37" t="s">
        <v>84</v>
      </c>
      <c r="F327" s="37" t="s">
        <v>153</v>
      </c>
      <c r="G327" s="21" t="s">
        <v>514</v>
      </c>
      <c r="H327" s="21" t="n">
        <v>0</v>
      </c>
      <c r="I327" s="21" t="s">
        <v>137</v>
      </c>
    </row>
    <row r="328" customFormat="false" ht="15" hidden="false" customHeight="false" outlineLevel="0" collapsed="false">
      <c r="A328" s="21" t="s">
        <v>577</v>
      </c>
      <c r="B328" s="21" t="s">
        <v>511</v>
      </c>
      <c r="C328" s="21"/>
      <c r="D328" s="37" t="s">
        <v>84</v>
      </c>
      <c r="E328" s="37" t="s">
        <v>84</v>
      </c>
      <c r="F328" s="37" t="s">
        <v>153</v>
      </c>
      <c r="G328" s="21" t="s">
        <v>514</v>
      </c>
      <c r="H328" s="21" t="n">
        <v>0</v>
      </c>
      <c r="I328" s="21" t="s">
        <v>137</v>
      </c>
    </row>
    <row r="329" customFormat="false" ht="15" hidden="false" customHeight="false" outlineLevel="0" collapsed="false">
      <c r="A329" s="21" t="s">
        <v>578</v>
      </c>
      <c r="B329" s="21" t="s">
        <v>511</v>
      </c>
      <c r="C329" s="21"/>
      <c r="D329" s="37" t="s">
        <v>84</v>
      </c>
      <c r="E329" s="37" t="s">
        <v>84</v>
      </c>
      <c r="F329" s="37" t="s">
        <v>153</v>
      </c>
      <c r="G329" s="21" t="s">
        <v>505</v>
      </c>
      <c r="H329" s="21" t="n">
        <v>0</v>
      </c>
      <c r="I329" s="21" t="s">
        <v>137</v>
      </c>
    </row>
    <row r="330" customFormat="false" ht="15" hidden="false" customHeight="false" outlineLevel="0" collapsed="false">
      <c r="A330" s="21" t="s">
        <v>579</v>
      </c>
      <c r="B330" s="21" t="s">
        <v>511</v>
      </c>
      <c r="C330" s="21"/>
      <c r="D330" s="37" t="s">
        <v>84</v>
      </c>
      <c r="E330" s="37" t="s">
        <v>84</v>
      </c>
      <c r="F330" s="37" t="s">
        <v>153</v>
      </c>
      <c r="G330" s="21" t="s">
        <v>505</v>
      </c>
      <c r="H330" s="21" t="n">
        <v>0</v>
      </c>
      <c r="I330" s="21" t="s">
        <v>137</v>
      </c>
    </row>
    <row r="331" customFormat="false" ht="15" hidden="false" customHeight="false" outlineLevel="0" collapsed="false">
      <c r="A331" s="21" t="s">
        <v>580</v>
      </c>
      <c r="B331" s="21" t="s">
        <v>513</v>
      </c>
      <c r="C331" s="21"/>
      <c r="D331" s="37" t="s">
        <v>211</v>
      </c>
      <c r="E331" s="37" t="s">
        <v>26</v>
      </c>
      <c r="F331" s="37" t="s">
        <v>153</v>
      </c>
      <c r="G331" s="21" t="s">
        <v>505</v>
      </c>
      <c r="H331" s="21" t="n">
        <v>0</v>
      </c>
      <c r="I331" s="21" t="s">
        <v>137</v>
      </c>
    </row>
    <row r="332" customFormat="false" ht="15" hidden="false" customHeight="false" outlineLevel="0" collapsed="false">
      <c r="A332" s="21" t="s">
        <v>581</v>
      </c>
      <c r="B332" s="21" t="s">
        <v>513</v>
      </c>
      <c r="C332" s="21"/>
      <c r="D332" s="37" t="s">
        <v>84</v>
      </c>
      <c r="E332" s="37" t="s">
        <v>84</v>
      </c>
      <c r="F332" s="37" t="s">
        <v>153</v>
      </c>
      <c r="G332" s="21" t="s">
        <v>514</v>
      </c>
      <c r="H332" s="21" t="n">
        <v>0</v>
      </c>
      <c r="I332" s="21" t="s">
        <v>137</v>
      </c>
    </row>
    <row r="333" customFormat="false" ht="15" hidden="false" customHeight="false" outlineLevel="0" collapsed="false">
      <c r="A333" s="21" t="s">
        <v>582</v>
      </c>
      <c r="B333" s="21" t="s">
        <v>511</v>
      </c>
      <c r="C333" s="21"/>
      <c r="D333" s="37" t="s">
        <v>84</v>
      </c>
      <c r="E333" s="37" t="s">
        <v>84</v>
      </c>
      <c r="F333" s="37" t="s">
        <v>153</v>
      </c>
      <c r="G333" s="21" t="s">
        <v>505</v>
      </c>
      <c r="H333" s="21" t="n">
        <v>0</v>
      </c>
      <c r="I333" s="21" t="s">
        <v>137</v>
      </c>
    </row>
    <row r="334" customFormat="false" ht="15" hidden="false" customHeight="false" outlineLevel="0" collapsed="false">
      <c r="A334" s="21" t="s">
        <v>583</v>
      </c>
      <c r="B334" s="21" t="s">
        <v>513</v>
      </c>
      <c r="C334" s="21"/>
      <c r="D334" s="37" t="s">
        <v>84</v>
      </c>
      <c r="E334" s="37" t="s">
        <v>84</v>
      </c>
      <c r="F334" s="37" t="s">
        <v>153</v>
      </c>
      <c r="G334" s="21" t="s">
        <v>505</v>
      </c>
      <c r="H334" s="21" t="n">
        <v>0</v>
      </c>
      <c r="I334" s="21" t="s">
        <v>137</v>
      </c>
    </row>
    <row r="335" customFormat="false" ht="15" hidden="false" customHeight="false" outlineLevel="0" collapsed="false">
      <c r="A335" s="21" t="s">
        <v>584</v>
      </c>
      <c r="B335" s="21" t="s">
        <v>513</v>
      </c>
      <c r="C335" s="21"/>
      <c r="D335" s="37" t="s">
        <v>84</v>
      </c>
      <c r="E335" s="37" t="s">
        <v>84</v>
      </c>
      <c r="F335" s="37" t="s">
        <v>153</v>
      </c>
      <c r="G335" s="21" t="s">
        <v>505</v>
      </c>
      <c r="H335" s="21" t="n">
        <v>0</v>
      </c>
      <c r="I335" s="21" t="s">
        <v>137</v>
      </c>
    </row>
    <row r="336" customFormat="false" ht="15" hidden="false" customHeight="false" outlineLevel="0" collapsed="false">
      <c r="A336" s="21" t="s">
        <v>585</v>
      </c>
      <c r="B336" s="21" t="s">
        <v>511</v>
      </c>
      <c r="C336" s="21"/>
      <c r="D336" s="37" t="s">
        <v>84</v>
      </c>
      <c r="E336" s="37" t="s">
        <v>84</v>
      </c>
      <c r="F336" s="37" t="s">
        <v>153</v>
      </c>
      <c r="G336" s="21" t="s">
        <v>505</v>
      </c>
      <c r="H336" s="21" t="n">
        <v>0</v>
      </c>
      <c r="I336" s="21" t="s">
        <v>137</v>
      </c>
    </row>
    <row r="337" customFormat="false" ht="15" hidden="false" customHeight="false" outlineLevel="0" collapsed="false">
      <c r="A337" s="21" t="s">
        <v>586</v>
      </c>
      <c r="B337" s="21" t="s">
        <v>511</v>
      </c>
      <c r="C337" s="21"/>
      <c r="D337" s="37" t="s">
        <v>84</v>
      </c>
      <c r="E337" s="37" t="s">
        <v>84</v>
      </c>
      <c r="F337" s="37" t="s">
        <v>153</v>
      </c>
      <c r="G337" s="21" t="s">
        <v>505</v>
      </c>
      <c r="H337" s="21" t="n">
        <v>0</v>
      </c>
      <c r="I337" s="21" t="s">
        <v>137</v>
      </c>
    </row>
    <row r="338" customFormat="false" ht="15" hidden="false" customHeight="false" outlineLevel="0" collapsed="false">
      <c r="A338" s="21" t="s">
        <v>587</v>
      </c>
      <c r="B338" s="21" t="s">
        <v>511</v>
      </c>
      <c r="C338" s="21"/>
      <c r="D338" s="37" t="s">
        <v>84</v>
      </c>
      <c r="E338" s="37" t="s">
        <v>84</v>
      </c>
      <c r="F338" s="37" t="s">
        <v>153</v>
      </c>
      <c r="G338" s="21" t="s">
        <v>505</v>
      </c>
      <c r="H338" s="21" t="n">
        <v>0</v>
      </c>
      <c r="I338" s="21" t="s">
        <v>137</v>
      </c>
    </row>
    <row r="339" customFormat="false" ht="15" hidden="false" customHeight="false" outlineLevel="0" collapsed="false">
      <c r="A339" s="21" t="s">
        <v>588</v>
      </c>
      <c r="B339" s="21" t="s">
        <v>511</v>
      </c>
      <c r="C339" s="21"/>
      <c r="D339" s="37" t="s">
        <v>84</v>
      </c>
      <c r="E339" s="37" t="s">
        <v>84</v>
      </c>
      <c r="F339" s="37" t="s">
        <v>153</v>
      </c>
      <c r="G339" s="21" t="s">
        <v>505</v>
      </c>
      <c r="H339" s="21" t="n">
        <v>0</v>
      </c>
      <c r="I339" s="21" t="s">
        <v>137</v>
      </c>
    </row>
    <row r="340" customFormat="false" ht="15" hidden="false" customHeight="false" outlineLevel="0" collapsed="false">
      <c r="A340" s="21" t="s">
        <v>589</v>
      </c>
      <c r="B340" s="21" t="s">
        <v>511</v>
      </c>
      <c r="C340" s="21"/>
      <c r="D340" s="37" t="s">
        <v>84</v>
      </c>
      <c r="E340" s="37" t="s">
        <v>84</v>
      </c>
      <c r="F340" s="37" t="s">
        <v>153</v>
      </c>
      <c r="G340" s="21" t="s">
        <v>514</v>
      </c>
      <c r="H340" s="21" t="n">
        <v>0</v>
      </c>
      <c r="I340" s="21" t="s">
        <v>137</v>
      </c>
    </row>
    <row r="341" customFormat="false" ht="15" hidden="false" customHeight="false" outlineLevel="0" collapsed="false">
      <c r="A341" s="21" t="s">
        <v>590</v>
      </c>
      <c r="B341" s="21" t="s">
        <v>511</v>
      </c>
      <c r="C341" s="21"/>
      <c r="D341" s="37" t="s">
        <v>84</v>
      </c>
      <c r="E341" s="37" t="s">
        <v>84</v>
      </c>
      <c r="F341" s="37" t="s">
        <v>153</v>
      </c>
      <c r="G341" s="21" t="s">
        <v>505</v>
      </c>
      <c r="H341" s="21" t="n">
        <v>0</v>
      </c>
      <c r="I341" s="21" t="s">
        <v>137</v>
      </c>
    </row>
    <row r="342" customFormat="false" ht="15" hidden="false" customHeight="false" outlineLevel="0" collapsed="false">
      <c r="A342" s="21" t="s">
        <v>591</v>
      </c>
      <c r="B342" s="21" t="s">
        <v>513</v>
      </c>
      <c r="C342" s="21"/>
      <c r="D342" s="37" t="s">
        <v>84</v>
      </c>
      <c r="E342" s="37" t="s">
        <v>84</v>
      </c>
      <c r="F342" s="37" t="s">
        <v>153</v>
      </c>
      <c r="G342" s="21" t="s">
        <v>505</v>
      </c>
      <c r="H342" s="21" t="n">
        <v>0</v>
      </c>
      <c r="I342" s="21" t="s">
        <v>137</v>
      </c>
    </row>
    <row r="343" customFormat="false" ht="15" hidden="false" customHeight="false" outlineLevel="0" collapsed="false">
      <c r="A343" s="21" t="s">
        <v>592</v>
      </c>
      <c r="B343" s="21" t="s">
        <v>513</v>
      </c>
      <c r="C343" s="21"/>
      <c r="D343" s="37" t="s">
        <v>84</v>
      </c>
      <c r="E343" s="37" t="s">
        <v>84</v>
      </c>
      <c r="F343" s="37" t="s">
        <v>153</v>
      </c>
      <c r="G343" s="21" t="s">
        <v>505</v>
      </c>
      <c r="H343" s="21" t="n">
        <v>0</v>
      </c>
      <c r="I343" s="21" t="s">
        <v>137</v>
      </c>
    </row>
    <row r="344" customFormat="false" ht="15" hidden="false" customHeight="false" outlineLevel="0" collapsed="false">
      <c r="A344" s="21" t="s">
        <v>593</v>
      </c>
      <c r="B344" s="21" t="s">
        <v>511</v>
      </c>
      <c r="C344" s="21"/>
      <c r="D344" s="37" t="s">
        <v>84</v>
      </c>
      <c r="E344" s="37" t="s">
        <v>84</v>
      </c>
      <c r="F344" s="37" t="s">
        <v>153</v>
      </c>
      <c r="G344" s="21" t="s">
        <v>505</v>
      </c>
      <c r="H344" s="21" t="n">
        <v>0</v>
      </c>
      <c r="I344" s="21" t="s">
        <v>137</v>
      </c>
    </row>
    <row r="345" customFormat="false" ht="15" hidden="false" customHeight="false" outlineLevel="0" collapsed="false">
      <c r="A345" s="21" t="s">
        <v>594</v>
      </c>
      <c r="B345" s="21" t="s">
        <v>511</v>
      </c>
      <c r="C345" s="21"/>
      <c r="D345" s="37" t="s">
        <v>84</v>
      </c>
      <c r="E345" s="37" t="s">
        <v>84</v>
      </c>
      <c r="F345" s="37" t="s">
        <v>153</v>
      </c>
      <c r="G345" s="21" t="s">
        <v>514</v>
      </c>
      <c r="H345" s="21" t="n">
        <v>0</v>
      </c>
      <c r="I345" s="21" t="s">
        <v>137</v>
      </c>
    </row>
    <row r="346" customFormat="false" ht="15" hidden="false" customHeight="false" outlineLevel="0" collapsed="false">
      <c r="A346" s="21" t="s">
        <v>595</v>
      </c>
      <c r="B346" s="21" t="s">
        <v>511</v>
      </c>
      <c r="C346" s="21"/>
      <c r="D346" s="37" t="s">
        <v>84</v>
      </c>
      <c r="E346" s="37" t="s">
        <v>84</v>
      </c>
      <c r="F346" s="37" t="s">
        <v>153</v>
      </c>
      <c r="G346" s="21" t="s">
        <v>514</v>
      </c>
      <c r="H346" s="21" t="n">
        <v>0</v>
      </c>
      <c r="I346" s="21" t="s">
        <v>137</v>
      </c>
    </row>
    <row r="347" customFormat="false" ht="15" hidden="false" customHeight="false" outlineLevel="0" collapsed="false">
      <c r="A347" s="21" t="s">
        <v>596</v>
      </c>
      <c r="B347" s="21" t="s">
        <v>511</v>
      </c>
      <c r="C347" s="21"/>
      <c r="D347" s="37" t="s">
        <v>84</v>
      </c>
      <c r="E347" s="37" t="s">
        <v>84</v>
      </c>
      <c r="F347" s="37" t="s">
        <v>153</v>
      </c>
      <c r="G347" s="21" t="s">
        <v>514</v>
      </c>
      <c r="H347" s="21" t="n">
        <v>0</v>
      </c>
      <c r="I347" s="21" t="s">
        <v>137</v>
      </c>
    </row>
    <row r="348" customFormat="false" ht="15" hidden="false" customHeight="false" outlineLevel="0" collapsed="false">
      <c r="A348" s="21" t="s">
        <v>597</v>
      </c>
      <c r="B348" s="21" t="s">
        <v>511</v>
      </c>
      <c r="C348" s="21"/>
      <c r="D348" s="37" t="s">
        <v>84</v>
      </c>
      <c r="E348" s="37" t="s">
        <v>84</v>
      </c>
      <c r="F348" s="37" t="s">
        <v>153</v>
      </c>
      <c r="G348" s="21" t="s">
        <v>505</v>
      </c>
      <c r="H348" s="21" t="n">
        <v>0</v>
      </c>
      <c r="I348" s="21" t="s">
        <v>137</v>
      </c>
    </row>
    <row r="349" customFormat="false" ht="15" hidden="false" customHeight="false" outlineLevel="0" collapsed="false">
      <c r="A349" s="21" t="s">
        <v>598</v>
      </c>
      <c r="B349" s="21" t="s">
        <v>511</v>
      </c>
      <c r="C349" s="21"/>
      <c r="D349" s="37" t="s">
        <v>84</v>
      </c>
      <c r="E349" s="37" t="s">
        <v>84</v>
      </c>
      <c r="F349" s="37" t="s">
        <v>153</v>
      </c>
      <c r="G349" s="21" t="s">
        <v>505</v>
      </c>
      <c r="H349" s="21" t="n">
        <v>0</v>
      </c>
      <c r="I349" s="21" t="s">
        <v>137</v>
      </c>
    </row>
    <row r="350" customFormat="false" ht="15" hidden="false" customHeight="false" outlineLevel="0" collapsed="false">
      <c r="A350" s="21" t="s">
        <v>599</v>
      </c>
      <c r="B350" s="21" t="s">
        <v>513</v>
      </c>
      <c r="C350" s="21"/>
      <c r="D350" s="37" t="s">
        <v>84</v>
      </c>
      <c r="E350" s="37" t="s">
        <v>84</v>
      </c>
      <c r="F350" s="37" t="s">
        <v>153</v>
      </c>
      <c r="G350" s="21" t="s">
        <v>505</v>
      </c>
      <c r="H350" s="21" t="n">
        <v>0</v>
      </c>
      <c r="I350" s="21" t="s">
        <v>137</v>
      </c>
    </row>
    <row r="351" customFormat="false" ht="15" hidden="false" customHeight="false" outlineLevel="0" collapsed="false">
      <c r="A351" s="21" t="s">
        <v>600</v>
      </c>
      <c r="B351" s="21" t="s">
        <v>511</v>
      </c>
      <c r="C351" s="21"/>
      <c r="D351" s="37" t="s">
        <v>84</v>
      </c>
      <c r="E351" s="37" t="s">
        <v>84</v>
      </c>
      <c r="F351" s="37" t="s">
        <v>153</v>
      </c>
      <c r="G351" s="21" t="s">
        <v>514</v>
      </c>
      <c r="H351" s="21" t="n">
        <v>0</v>
      </c>
      <c r="I351" s="21" t="s">
        <v>137</v>
      </c>
    </row>
    <row r="352" customFormat="false" ht="15" hidden="false" customHeight="false" outlineLevel="0" collapsed="false">
      <c r="A352" s="21" t="s">
        <v>601</v>
      </c>
      <c r="B352" s="21" t="s">
        <v>511</v>
      </c>
      <c r="C352" s="21"/>
      <c r="D352" s="37" t="s">
        <v>84</v>
      </c>
      <c r="E352" s="37" t="s">
        <v>84</v>
      </c>
      <c r="F352" s="37" t="s">
        <v>153</v>
      </c>
      <c r="G352" s="21" t="s">
        <v>514</v>
      </c>
      <c r="H352" s="21" t="n">
        <v>0</v>
      </c>
      <c r="I352" s="21" t="s">
        <v>137</v>
      </c>
    </row>
    <row r="353" customFormat="false" ht="15" hidden="false" customHeight="false" outlineLevel="0" collapsed="false">
      <c r="A353" s="21" t="s">
        <v>602</v>
      </c>
      <c r="B353" s="21" t="s">
        <v>513</v>
      </c>
      <c r="C353" s="21"/>
      <c r="D353" s="37" t="s">
        <v>84</v>
      </c>
      <c r="E353" s="37" t="s">
        <v>84</v>
      </c>
      <c r="F353" s="37" t="s">
        <v>153</v>
      </c>
      <c r="G353" s="21" t="s">
        <v>505</v>
      </c>
      <c r="H353" s="21" t="n">
        <v>0</v>
      </c>
      <c r="I353" s="21" t="s">
        <v>137</v>
      </c>
    </row>
    <row r="354" customFormat="false" ht="15" hidden="false" customHeight="false" outlineLevel="0" collapsed="false">
      <c r="A354" s="21" t="s">
        <v>603</v>
      </c>
      <c r="B354" s="21" t="s">
        <v>511</v>
      </c>
      <c r="C354" s="21"/>
      <c r="D354" s="37" t="s">
        <v>84</v>
      </c>
      <c r="E354" s="37" t="s">
        <v>84</v>
      </c>
      <c r="F354" s="37" t="s">
        <v>153</v>
      </c>
      <c r="G354" s="21" t="s">
        <v>505</v>
      </c>
      <c r="H354" s="21" t="n">
        <v>0</v>
      </c>
      <c r="I354" s="21" t="s">
        <v>137</v>
      </c>
    </row>
    <row r="355" customFormat="false" ht="15" hidden="false" customHeight="false" outlineLevel="0" collapsed="false">
      <c r="A355" s="21" t="s">
        <v>604</v>
      </c>
      <c r="B355" s="21" t="s">
        <v>513</v>
      </c>
      <c r="C355" s="21"/>
      <c r="D355" s="37" t="s">
        <v>84</v>
      </c>
      <c r="E355" s="37" t="s">
        <v>84</v>
      </c>
      <c r="F355" s="37" t="s">
        <v>153</v>
      </c>
      <c r="G355" s="21" t="s">
        <v>514</v>
      </c>
      <c r="H355" s="21" t="n">
        <v>0</v>
      </c>
      <c r="I355" s="21" t="s">
        <v>137</v>
      </c>
    </row>
    <row r="356" customFormat="false" ht="15" hidden="false" customHeight="false" outlineLevel="0" collapsed="false">
      <c r="A356" s="21" t="s">
        <v>605</v>
      </c>
      <c r="B356" s="21" t="s">
        <v>511</v>
      </c>
      <c r="C356" s="21"/>
      <c r="D356" s="37" t="s">
        <v>84</v>
      </c>
      <c r="E356" s="37" t="s">
        <v>84</v>
      </c>
      <c r="F356" s="37" t="s">
        <v>153</v>
      </c>
      <c r="G356" s="21" t="s">
        <v>514</v>
      </c>
      <c r="H356" s="21" t="n">
        <v>0</v>
      </c>
      <c r="I356" s="21" t="s">
        <v>137</v>
      </c>
    </row>
    <row r="357" customFormat="false" ht="15" hidden="false" customHeight="false" outlineLevel="0" collapsed="false">
      <c r="A357" s="21" t="s">
        <v>606</v>
      </c>
      <c r="B357" s="21" t="s">
        <v>511</v>
      </c>
      <c r="C357" s="21"/>
      <c r="D357" s="37" t="s">
        <v>84</v>
      </c>
      <c r="E357" s="37" t="s">
        <v>84</v>
      </c>
      <c r="F357" s="37" t="s">
        <v>153</v>
      </c>
      <c r="G357" s="21" t="s">
        <v>505</v>
      </c>
      <c r="H357" s="21" t="n">
        <v>0</v>
      </c>
      <c r="I357" s="21" t="s">
        <v>137</v>
      </c>
    </row>
    <row r="358" customFormat="false" ht="15" hidden="false" customHeight="false" outlineLevel="0" collapsed="false">
      <c r="A358" s="21" t="s">
        <v>607</v>
      </c>
      <c r="B358" s="21" t="s">
        <v>511</v>
      </c>
      <c r="C358" s="21"/>
      <c r="D358" s="37" t="s">
        <v>84</v>
      </c>
      <c r="E358" s="37" t="s">
        <v>84</v>
      </c>
      <c r="F358" s="37" t="s">
        <v>153</v>
      </c>
      <c r="G358" s="21" t="s">
        <v>505</v>
      </c>
      <c r="H358" s="21" t="n">
        <v>0</v>
      </c>
      <c r="I358" s="21" t="s">
        <v>137</v>
      </c>
    </row>
    <row r="359" customFormat="false" ht="15" hidden="false" customHeight="false" outlineLevel="0" collapsed="false">
      <c r="A359" s="21" t="s">
        <v>608</v>
      </c>
      <c r="B359" s="21" t="s">
        <v>511</v>
      </c>
      <c r="C359" s="21"/>
      <c r="D359" s="37" t="s">
        <v>84</v>
      </c>
      <c r="E359" s="37" t="s">
        <v>84</v>
      </c>
      <c r="F359" s="37" t="s">
        <v>153</v>
      </c>
      <c r="G359" s="21" t="s">
        <v>505</v>
      </c>
      <c r="H359" s="21" t="n">
        <v>0</v>
      </c>
      <c r="I359" s="21" t="s">
        <v>137</v>
      </c>
    </row>
    <row r="360" customFormat="false" ht="15" hidden="false" customHeight="false" outlineLevel="0" collapsed="false">
      <c r="A360" s="21" t="s">
        <v>609</v>
      </c>
      <c r="B360" s="21" t="s">
        <v>511</v>
      </c>
      <c r="C360" s="21"/>
      <c r="D360" s="37" t="s">
        <v>84</v>
      </c>
      <c r="E360" s="37" t="s">
        <v>84</v>
      </c>
      <c r="F360" s="37" t="s">
        <v>153</v>
      </c>
      <c r="G360" s="21" t="s">
        <v>505</v>
      </c>
      <c r="H360" s="21" t="n">
        <v>0</v>
      </c>
      <c r="I360" s="21" t="s">
        <v>137</v>
      </c>
    </row>
    <row r="361" customFormat="false" ht="15" hidden="false" customHeight="false" outlineLevel="0" collapsed="false">
      <c r="A361" s="21" t="s">
        <v>610</v>
      </c>
      <c r="B361" s="21" t="s">
        <v>511</v>
      </c>
      <c r="C361" s="21"/>
      <c r="D361" s="37" t="s">
        <v>84</v>
      </c>
      <c r="E361" s="37" t="s">
        <v>84</v>
      </c>
      <c r="F361" s="37" t="s">
        <v>153</v>
      </c>
      <c r="G361" s="21" t="s">
        <v>505</v>
      </c>
      <c r="H361" s="21" t="n">
        <v>0</v>
      </c>
      <c r="I361" s="21" t="s">
        <v>137</v>
      </c>
    </row>
    <row r="362" customFormat="false" ht="15" hidden="false" customHeight="false" outlineLevel="0" collapsed="false">
      <c r="A362" s="21" t="s">
        <v>611</v>
      </c>
      <c r="B362" s="21" t="s">
        <v>513</v>
      </c>
      <c r="C362" s="21"/>
      <c r="D362" s="37" t="s">
        <v>84</v>
      </c>
      <c r="E362" s="37" t="s">
        <v>84</v>
      </c>
      <c r="F362" s="37" t="s">
        <v>153</v>
      </c>
      <c r="G362" s="21" t="s">
        <v>514</v>
      </c>
      <c r="H362" s="21" t="n">
        <v>0</v>
      </c>
      <c r="I362" s="21" t="s">
        <v>137</v>
      </c>
    </row>
    <row r="363" customFormat="false" ht="15" hidden="false" customHeight="false" outlineLevel="0" collapsed="false">
      <c r="A363" s="21" t="s">
        <v>612</v>
      </c>
      <c r="B363" s="21" t="s">
        <v>511</v>
      </c>
      <c r="C363" s="21"/>
      <c r="D363" s="37" t="s">
        <v>84</v>
      </c>
      <c r="E363" s="37" t="s">
        <v>84</v>
      </c>
      <c r="F363" s="37" t="s">
        <v>153</v>
      </c>
      <c r="G363" s="21" t="s">
        <v>505</v>
      </c>
      <c r="H363" s="21" t="n">
        <v>0</v>
      </c>
      <c r="I363" s="21" t="s">
        <v>137</v>
      </c>
    </row>
    <row r="364" customFormat="false" ht="15" hidden="false" customHeight="false" outlineLevel="0" collapsed="false">
      <c r="A364" s="21" t="s">
        <v>613</v>
      </c>
      <c r="B364" s="21" t="s">
        <v>513</v>
      </c>
      <c r="C364" s="21"/>
      <c r="D364" s="37" t="s">
        <v>84</v>
      </c>
      <c r="E364" s="37" t="s">
        <v>84</v>
      </c>
      <c r="F364" s="37" t="s">
        <v>153</v>
      </c>
      <c r="G364" s="21" t="s">
        <v>505</v>
      </c>
      <c r="H364" s="21" t="n">
        <v>0</v>
      </c>
      <c r="I364" s="21" t="s">
        <v>137</v>
      </c>
    </row>
    <row r="365" customFormat="false" ht="15" hidden="false" customHeight="false" outlineLevel="0" collapsed="false">
      <c r="A365" s="21" t="s">
        <v>614</v>
      </c>
      <c r="B365" s="21" t="s">
        <v>513</v>
      </c>
      <c r="C365" s="21"/>
      <c r="D365" s="37" t="s">
        <v>84</v>
      </c>
      <c r="E365" s="37" t="s">
        <v>84</v>
      </c>
      <c r="F365" s="37" t="s">
        <v>153</v>
      </c>
      <c r="G365" s="21" t="s">
        <v>514</v>
      </c>
      <c r="H365" s="21" t="n">
        <v>0</v>
      </c>
      <c r="I365" s="21" t="s">
        <v>137</v>
      </c>
    </row>
    <row r="366" customFormat="false" ht="15" hidden="false" customHeight="false" outlineLevel="0" collapsed="false">
      <c r="A366" s="21" t="s">
        <v>615</v>
      </c>
      <c r="B366" s="21" t="s">
        <v>513</v>
      </c>
      <c r="C366" s="21"/>
      <c r="D366" s="37" t="s">
        <v>84</v>
      </c>
      <c r="E366" s="37" t="s">
        <v>84</v>
      </c>
      <c r="F366" s="37" t="s">
        <v>153</v>
      </c>
      <c r="G366" s="21" t="s">
        <v>505</v>
      </c>
      <c r="H366" s="21" t="n">
        <v>0</v>
      </c>
      <c r="I366" s="21" t="s">
        <v>137</v>
      </c>
    </row>
    <row r="367" customFormat="false" ht="15" hidden="false" customHeight="false" outlineLevel="0" collapsed="false">
      <c r="A367" s="21" t="s">
        <v>616</v>
      </c>
      <c r="B367" s="21" t="s">
        <v>511</v>
      </c>
      <c r="C367" s="21"/>
      <c r="D367" s="37" t="s">
        <v>84</v>
      </c>
      <c r="E367" s="37" t="s">
        <v>84</v>
      </c>
      <c r="F367" s="37" t="s">
        <v>153</v>
      </c>
      <c r="G367" s="21" t="s">
        <v>505</v>
      </c>
      <c r="H367" s="21" t="n">
        <v>0</v>
      </c>
      <c r="I367" s="21" t="s">
        <v>137</v>
      </c>
    </row>
    <row r="368" customFormat="false" ht="15" hidden="false" customHeight="false" outlineLevel="0" collapsed="false">
      <c r="A368" s="21" t="s">
        <v>617</v>
      </c>
      <c r="B368" s="21" t="s">
        <v>511</v>
      </c>
      <c r="C368" s="21"/>
      <c r="D368" s="37" t="s">
        <v>84</v>
      </c>
      <c r="E368" s="37" t="s">
        <v>84</v>
      </c>
      <c r="F368" s="37" t="s">
        <v>153</v>
      </c>
      <c r="G368" s="21" t="s">
        <v>505</v>
      </c>
      <c r="H368" s="21" t="n">
        <v>0</v>
      </c>
      <c r="I368" s="21" t="s">
        <v>137</v>
      </c>
    </row>
    <row r="369" customFormat="false" ht="15" hidden="false" customHeight="false" outlineLevel="0" collapsed="false">
      <c r="A369" s="21" t="s">
        <v>618</v>
      </c>
      <c r="B369" s="21" t="s">
        <v>511</v>
      </c>
      <c r="C369" s="21"/>
      <c r="D369" s="37" t="s">
        <v>84</v>
      </c>
      <c r="E369" s="37" t="s">
        <v>84</v>
      </c>
      <c r="F369" s="37" t="s">
        <v>153</v>
      </c>
      <c r="G369" s="21" t="s">
        <v>505</v>
      </c>
      <c r="H369" s="21" t="n">
        <v>0</v>
      </c>
      <c r="I369" s="21" t="s">
        <v>137</v>
      </c>
    </row>
    <row r="370" customFormat="false" ht="15" hidden="false" customHeight="false" outlineLevel="0" collapsed="false">
      <c r="A370" s="21" t="s">
        <v>619</v>
      </c>
      <c r="B370" s="21" t="s">
        <v>513</v>
      </c>
      <c r="C370" s="21"/>
      <c r="D370" s="37" t="s">
        <v>84</v>
      </c>
      <c r="E370" s="37" t="s">
        <v>84</v>
      </c>
      <c r="F370" s="37" t="s">
        <v>153</v>
      </c>
      <c r="G370" s="21" t="s">
        <v>514</v>
      </c>
      <c r="H370" s="21" t="n">
        <v>0</v>
      </c>
      <c r="I370" s="21" t="s">
        <v>137</v>
      </c>
    </row>
    <row r="371" customFormat="false" ht="15" hidden="false" customHeight="false" outlineLevel="0" collapsed="false">
      <c r="A371" s="21" t="s">
        <v>620</v>
      </c>
      <c r="B371" s="21" t="s">
        <v>511</v>
      </c>
      <c r="C371" s="21"/>
      <c r="D371" s="37" t="s">
        <v>84</v>
      </c>
      <c r="E371" s="37" t="s">
        <v>84</v>
      </c>
      <c r="F371" s="37" t="s">
        <v>153</v>
      </c>
      <c r="G371" s="21" t="s">
        <v>505</v>
      </c>
      <c r="H371" s="21" t="n">
        <v>0</v>
      </c>
      <c r="I371" s="21" t="s">
        <v>137</v>
      </c>
    </row>
    <row r="372" customFormat="false" ht="15" hidden="false" customHeight="false" outlineLevel="0" collapsed="false">
      <c r="A372" s="21" t="s">
        <v>621</v>
      </c>
      <c r="B372" s="21" t="s">
        <v>511</v>
      </c>
      <c r="C372" s="21"/>
      <c r="D372" s="37" t="s">
        <v>84</v>
      </c>
      <c r="E372" s="37" t="s">
        <v>84</v>
      </c>
      <c r="F372" s="37" t="s">
        <v>153</v>
      </c>
      <c r="G372" s="21" t="s">
        <v>505</v>
      </c>
      <c r="H372" s="21" t="n">
        <v>0</v>
      </c>
      <c r="I372" s="21" t="s">
        <v>137</v>
      </c>
    </row>
    <row r="373" customFormat="false" ht="15" hidden="false" customHeight="false" outlineLevel="0" collapsed="false">
      <c r="A373" s="21" t="s">
        <v>622</v>
      </c>
      <c r="B373" s="21" t="s">
        <v>511</v>
      </c>
      <c r="C373" s="21"/>
      <c r="D373" s="37" t="s">
        <v>84</v>
      </c>
      <c r="E373" s="37" t="s">
        <v>84</v>
      </c>
      <c r="F373" s="37" t="s">
        <v>153</v>
      </c>
      <c r="G373" s="21" t="s">
        <v>505</v>
      </c>
      <c r="H373" s="21" t="n">
        <v>0</v>
      </c>
      <c r="I373" s="21" t="s">
        <v>137</v>
      </c>
    </row>
    <row r="374" customFormat="false" ht="15" hidden="false" customHeight="false" outlineLevel="0" collapsed="false">
      <c r="A374" s="21" t="s">
        <v>623</v>
      </c>
      <c r="B374" s="21" t="s">
        <v>511</v>
      </c>
      <c r="C374" s="21"/>
      <c r="D374" s="37" t="s">
        <v>84</v>
      </c>
      <c r="E374" s="37" t="s">
        <v>84</v>
      </c>
      <c r="F374" s="37" t="s">
        <v>153</v>
      </c>
      <c r="G374" s="21" t="s">
        <v>514</v>
      </c>
      <c r="H374" s="21" t="n">
        <v>0</v>
      </c>
      <c r="I374" s="21" t="s">
        <v>137</v>
      </c>
    </row>
    <row r="375" customFormat="false" ht="15" hidden="false" customHeight="false" outlineLevel="0" collapsed="false">
      <c r="A375" s="21" t="s">
        <v>624</v>
      </c>
      <c r="B375" s="21" t="s">
        <v>511</v>
      </c>
      <c r="C375" s="21"/>
      <c r="D375" s="37" t="s">
        <v>84</v>
      </c>
      <c r="E375" s="37" t="s">
        <v>84</v>
      </c>
      <c r="F375" s="37" t="s">
        <v>153</v>
      </c>
      <c r="G375" s="21" t="s">
        <v>505</v>
      </c>
      <c r="H375" s="21" t="n">
        <v>0</v>
      </c>
      <c r="I375" s="21" t="s">
        <v>137</v>
      </c>
    </row>
    <row r="376" customFormat="false" ht="15" hidden="false" customHeight="false" outlineLevel="0" collapsed="false">
      <c r="A376" s="21" t="s">
        <v>625</v>
      </c>
      <c r="B376" s="21" t="s">
        <v>513</v>
      </c>
      <c r="C376" s="21"/>
      <c r="D376" s="37" t="s">
        <v>84</v>
      </c>
      <c r="E376" s="37" t="s">
        <v>84</v>
      </c>
      <c r="F376" s="37" t="s">
        <v>153</v>
      </c>
      <c r="G376" s="21" t="s">
        <v>514</v>
      </c>
      <c r="H376" s="21" t="n">
        <v>0</v>
      </c>
      <c r="I376" s="21" t="s">
        <v>137</v>
      </c>
    </row>
    <row r="377" customFormat="false" ht="15" hidden="false" customHeight="false" outlineLevel="0" collapsed="false">
      <c r="A377" s="21" t="s">
        <v>626</v>
      </c>
      <c r="B377" s="21" t="s">
        <v>511</v>
      </c>
      <c r="C377" s="21"/>
      <c r="D377" s="37" t="s">
        <v>84</v>
      </c>
      <c r="E377" s="37" t="s">
        <v>84</v>
      </c>
      <c r="F377" s="37" t="s">
        <v>153</v>
      </c>
      <c r="G377" s="21" t="s">
        <v>505</v>
      </c>
      <c r="H377" s="21" t="n">
        <v>0</v>
      </c>
      <c r="I377" s="21" t="s">
        <v>137</v>
      </c>
    </row>
    <row r="378" customFormat="false" ht="15" hidden="false" customHeight="false" outlineLevel="0" collapsed="false">
      <c r="A378" s="21" t="s">
        <v>627</v>
      </c>
      <c r="B378" s="21" t="s">
        <v>513</v>
      </c>
      <c r="C378" s="21"/>
      <c r="D378" s="37" t="s">
        <v>84</v>
      </c>
      <c r="E378" s="37" t="s">
        <v>84</v>
      </c>
      <c r="F378" s="37" t="s">
        <v>153</v>
      </c>
      <c r="G378" s="21" t="s">
        <v>514</v>
      </c>
      <c r="H378" s="21" t="n">
        <v>0</v>
      </c>
      <c r="I378" s="21" t="s">
        <v>137</v>
      </c>
    </row>
    <row r="379" customFormat="false" ht="15" hidden="false" customHeight="false" outlineLevel="0" collapsed="false">
      <c r="A379" s="21" t="s">
        <v>628</v>
      </c>
      <c r="B379" s="21" t="s">
        <v>513</v>
      </c>
      <c r="C379" s="21"/>
      <c r="D379" s="37" t="s">
        <v>84</v>
      </c>
      <c r="E379" s="37" t="s">
        <v>84</v>
      </c>
      <c r="F379" s="37" t="s">
        <v>153</v>
      </c>
      <c r="G379" s="21" t="s">
        <v>514</v>
      </c>
      <c r="H379" s="21" t="n">
        <v>0</v>
      </c>
      <c r="I379" s="21" t="s">
        <v>137</v>
      </c>
    </row>
    <row r="380" customFormat="false" ht="15" hidden="false" customHeight="false" outlineLevel="0" collapsed="false">
      <c r="A380" s="21" t="s">
        <v>629</v>
      </c>
      <c r="B380" s="21" t="s">
        <v>511</v>
      </c>
      <c r="C380" s="21"/>
      <c r="D380" s="37" t="s">
        <v>84</v>
      </c>
      <c r="E380" s="37" t="s">
        <v>84</v>
      </c>
      <c r="F380" s="37" t="s">
        <v>153</v>
      </c>
      <c r="G380" s="21" t="s">
        <v>514</v>
      </c>
      <c r="H380" s="21" t="n">
        <v>0</v>
      </c>
      <c r="I380" s="21" t="s">
        <v>137</v>
      </c>
    </row>
    <row r="381" customFormat="false" ht="15" hidden="false" customHeight="false" outlineLevel="0" collapsed="false">
      <c r="A381" s="21" t="s">
        <v>630</v>
      </c>
      <c r="B381" s="21" t="s">
        <v>513</v>
      </c>
      <c r="C381" s="21"/>
      <c r="D381" s="37" t="s">
        <v>84</v>
      </c>
      <c r="E381" s="37" t="s">
        <v>84</v>
      </c>
      <c r="F381" s="37" t="s">
        <v>153</v>
      </c>
      <c r="G381" s="21" t="s">
        <v>514</v>
      </c>
      <c r="H381" s="21" t="n">
        <v>0</v>
      </c>
      <c r="I381" s="21" t="s">
        <v>137</v>
      </c>
    </row>
    <row r="382" customFormat="false" ht="15" hidden="false" customHeight="false" outlineLevel="0" collapsed="false">
      <c r="A382" s="21" t="s">
        <v>631</v>
      </c>
      <c r="B382" s="21" t="s">
        <v>511</v>
      </c>
      <c r="C382" s="21"/>
      <c r="D382" s="37" t="s">
        <v>84</v>
      </c>
      <c r="E382" s="37" t="s">
        <v>84</v>
      </c>
      <c r="F382" s="37" t="s">
        <v>153</v>
      </c>
      <c r="G382" s="21" t="s">
        <v>505</v>
      </c>
      <c r="H382" s="21" t="n">
        <v>0</v>
      </c>
      <c r="I382" s="21" t="s">
        <v>137</v>
      </c>
    </row>
    <row r="383" customFormat="false" ht="15" hidden="false" customHeight="false" outlineLevel="0" collapsed="false">
      <c r="A383" s="21" t="s">
        <v>632</v>
      </c>
      <c r="B383" s="21" t="s">
        <v>513</v>
      </c>
      <c r="C383" s="21"/>
      <c r="D383" s="37" t="s">
        <v>84</v>
      </c>
      <c r="E383" s="37" t="s">
        <v>84</v>
      </c>
      <c r="F383" s="37" t="s">
        <v>153</v>
      </c>
      <c r="G383" s="21" t="s">
        <v>505</v>
      </c>
      <c r="H383" s="21" t="n">
        <v>0</v>
      </c>
      <c r="I383" s="21" t="s">
        <v>137</v>
      </c>
    </row>
    <row r="384" customFormat="false" ht="15" hidden="false" customHeight="false" outlineLevel="0" collapsed="false">
      <c r="A384" s="21" t="s">
        <v>633</v>
      </c>
      <c r="B384" s="21" t="s">
        <v>511</v>
      </c>
      <c r="C384" s="21"/>
      <c r="D384" s="37" t="s">
        <v>84</v>
      </c>
      <c r="E384" s="37" t="s">
        <v>84</v>
      </c>
      <c r="F384" s="37" t="s">
        <v>153</v>
      </c>
      <c r="G384" s="21" t="s">
        <v>505</v>
      </c>
      <c r="H384" s="21" t="n">
        <v>0</v>
      </c>
      <c r="I384" s="21" t="s">
        <v>137</v>
      </c>
    </row>
    <row r="385" customFormat="false" ht="15" hidden="false" customHeight="false" outlineLevel="0" collapsed="false">
      <c r="A385" s="21" t="s">
        <v>634</v>
      </c>
      <c r="B385" s="21" t="s">
        <v>513</v>
      </c>
      <c r="C385" s="21"/>
      <c r="D385" s="37" t="s">
        <v>84</v>
      </c>
      <c r="E385" s="37" t="s">
        <v>84</v>
      </c>
      <c r="F385" s="37" t="s">
        <v>153</v>
      </c>
      <c r="G385" s="21" t="s">
        <v>505</v>
      </c>
      <c r="H385" s="21" t="n">
        <v>0</v>
      </c>
      <c r="I385" s="21" t="s">
        <v>137</v>
      </c>
    </row>
    <row r="386" customFormat="false" ht="15" hidden="false" customHeight="false" outlineLevel="0" collapsed="false">
      <c r="A386" s="21" t="s">
        <v>635</v>
      </c>
      <c r="B386" s="21" t="s">
        <v>513</v>
      </c>
      <c r="C386" s="21"/>
      <c r="D386" s="37" t="s">
        <v>84</v>
      </c>
      <c r="E386" s="37" t="s">
        <v>84</v>
      </c>
      <c r="F386" s="37" t="s">
        <v>153</v>
      </c>
      <c r="G386" s="21" t="s">
        <v>514</v>
      </c>
      <c r="H386" s="21" t="n">
        <v>0</v>
      </c>
      <c r="I386" s="21" t="s">
        <v>137</v>
      </c>
    </row>
    <row r="387" customFormat="false" ht="15" hidden="false" customHeight="false" outlineLevel="0" collapsed="false">
      <c r="A387" s="21" t="s">
        <v>636</v>
      </c>
      <c r="B387" s="21" t="s">
        <v>511</v>
      </c>
      <c r="C387" s="21"/>
      <c r="D387" s="37" t="s">
        <v>84</v>
      </c>
      <c r="E387" s="37" t="s">
        <v>84</v>
      </c>
      <c r="F387" s="37" t="s">
        <v>153</v>
      </c>
      <c r="G387" s="21" t="s">
        <v>505</v>
      </c>
      <c r="H387" s="21" t="n">
        <v>0</v>
      </c>
      <c r="I387" s="21" t="s">
        <v>137</v>
      </c>
    </row>
    <row r="388" customFormat="false" ht="15" hidden="false" customHeight="false" outlineLevel="0" collapsed="false">
      <c r="A388" s="21" t="s">
        <v>637</v>
      </c>
      <c r="B388" s="21" t="s">
        <v>511</v>
      </c>
      <c r="C388" s="21"/>
      <c r="D388" s="37" t="s">
        <v>84</v>
      </c>
      <c r="E388" s="37" t="s">
        <v>84</v>
      </c>
      <c r="F388" s="37" t="s">
        <v>153</v>
      </c>
      <c r="G388" s="21" t="s">
        <v>505</v>
      </c>
      <c r="H388" s="21" t="n">
        <v>0</v>
      </c>
      <c r="I388" s="21" t="s">
        <v>137</v>
      </c>
    </row>
    <row r="389" customFormat="false" ht="15" hidden="false" customHeight="false" outlineLevel="0" collapsed="false">
      <c r="A389" s="21" t="s">
        <v>638</v>
      </c>
      <c r="B389" s="21" t="s">
        <v>511</v>
      </c>
      <c r="C389" s="21"/>
      <c r="D389" s="37" t="s">
        <v>84</v>
      </c>
      <c r="E389" s="37" t="s">
        <v>84</v>
      </c>
      <c r="F389" s="37" t="s">
        <v>153</v>
      </c>
      <c r="G389" s="21" t="s">
        <v>505</v>
      </c>
      <c r="H389" s="21" t="n">
        <v>0</v>
      </c>
      <c r="I389" s="21" t="s">
        <v>137</v>
      </c>
    </row>
    <row r="390" customFormat="false" ht="15" hidden="false" customHeight="false" outlineLevel="0" collapsed="false">
      <c r="A390" s="21" t="s">
        <v>639</v>
      </c>
      <c r="B390" s="21" t="s">
        <v>511</v>
      </c>
      <c r="C390" s="21"/>
      <c r="D390" s="37" t="s">
        <v>84</v>
      </c>
      <c r="E390" s="37" t="s">
        <v>84</v>
      </c>
      <c r="F390" s="37" t="s">
        <v>153</v>
      </c>
      <c r="G390" s="21" t="s">
        <v>514</v>
      </c>
      <c r="H390" s="21" t="n">
        <v>0</v>
      </c>
      <c r="I390" s="21" t="s">
        <v>137</v>
      </c>
    </row>
    <row r="391" customFormat="false" ht="15" hidden="false" customHeight="false" outlineLevel="0" collapsed="false">
      <c r="A391" s="21" t="s">
        <v>640</v>
      </c>
      <c r="B391" s="21" t="s">
        <v>513</v>
      </c>
      <c r="C391" s="21"/>
      <c r="D391" s="37" t="s">
        <v>84</v>
      </c>
      <c r="E391" s="37" t="s">
        <v>84</v>
      </c>
      <c r="F391" s="37" t="s">
        <v>153</v>
      </c>
      <c r="G391" s="21" t="s">
        <v>505</v>
      </c>
      <c r="H391" s="21" t="n">
        <v>0</v>
      </c>
      <c r="I391" s="21" t="s">
        <v>137</v>
      </c>
    </row>
    <row r="392" customFormat="false" ht="15" hidden="false" customHeight="false" outlineLevel="0" collapsed="false">
      <c r="A392" s="21" t="s">
        <v>641</v>
      </c>
      <c r="B392" s="21" t="s">
        <v>513</v>
      </c>
      <c r="C392" s="21"/>
      <c r="D392" s="37" t="s">
        <v>84</v>
      </c>
      <c r="E392" s="37" t="s">
        <v>84</v>
      </c>
      <c r="F392" s="37" t="s">
        <v>153</v>
      </c>
      <c r="G392" s="21" t="s">
        <v>505</v>
      </c>
      <c r="H392" s="21" t="n">
        <v>0</v>
      </c>
      <c r="I392" s="21" t="s">
        <v>137</v>
      </c>
    </row>
    <row r="393" customFormat="false" ht="15" hidden="false" customHeight="false" outlineLevel="0" collapsed="false">
      <c r="A393" s="21" t="s">
        <v>642</v>
      </c>
      <c r="B393" s="21" t="s">
        <v>511</v>
      </c>
      <c r="C393" s="21"/>
      <c r="D393" s="37" t="s">
        <v>84</v>
      </c>
      <c r="E393" s="37" t="s">
        <v>84</v>
      </c>
      <c r="F393" s="37" t="s">
        <v>153</v>
      </c>
      <c r="G393" s="21" t="s">
        <v>505</v>
      </c>
      <c r="H393" s="21" t="n">
        <v>0</v>
      </c>
      <c r="I393" s="21" t="s">
        <v>137</v>
      </c>
    </row>
    <row r="394" customFormat="false" ht="15" hidden="false" customHeight="false" outlineLevel="0" collapsed="false">
      <c r="A394" s="21" t="s">
        <v>643</v>
      </c>
      <c r="B394" s="21" t="s">
        <v>511</v>
      </c>
      <c r="C394" s="21"/>
      <c r="D394" s="37" t="s">
        <v>84</v>
      </c>
      <c r="E394" s="37" t="s">
        <v>84</v>
      </c>
      <c r="F394" s="37" t="s">
        <v>153</v>
      </c>
      <c r="G394" s="21" t="s">
        <v>505</v>
      </c>
      <c r="H394" s="21" t="n">
        <v>0</v>
      </c>
      <c r="I394" s="21" t="s">
        <v>137</v>
      </c>
    </row>
    <row r="395" customFormat="false" ht="15" hidden="false" customHeight="false" outlineLevel="0" collapsed="false">
      <c r="A395" s="21" t="s">
        <v>644</v>
      </c>
      <c r="B395" s="21" t="s">
        <v>511</v>
      </c>
      <c r="C395" s="21"/>
      <c r="D395" s="37" t="s">
        <v>84</v>
      </c>
      <c r="E395" s="37" t="s">
        <v>84</v>
      </c>
      <c r="F395" s="37" t="s">
        <v>153</v>
      </c>
      <c r="G395" s="21" t="s">
        <v>514</v>
      </c>
      <c r="H395" s="21" t="n">
        <v>0</v>
      </c>
      <c r="I395" s="21" t="s">
        <v>137</v>
      </c>
    </row>
    <row r="396" customFormat="false" ht="15" hidden="false" customHeight="false" outlineLevel="0" collapsed="false">
      <c r="A396" s="21" t="s">
        <v>645</v>
      </c>
      <c r="B396" s="21" t="s">
        <v>511</v>
      </c>
      <c r="C396" s="21"/>
      <c r="D396" s="37" t="s">
        <v>84</v>
      </c>
      <c r="E396" s="37" t="s">
        <v>84</v>
      </c>
      <c r="F396" s="37" t="s">
        <v>153</v>
      </c>
      <c r="G396" s="21" t="s">
        <v>514</v>
      </c>
      <c r="H396" s="21" t="n">
        <v>0</v>
      </c>
      <c r="I396" s="21" t="s">
        <v>137</v>
      </c>
    </row>
    <row r="397" customFormat="false" ht="15" hidden="false" customHeight="false" outlineLevel="0" collapsed="false">
      <c r="A397" s="21" t="s">
        <v>646</v>
      </c>
      <c r="B397" s="21" t="s">
        <v>511</v>
      </c>
      <c r="C397" s="21"/>
      <c r="D397" s="37" t="s">
        <v>84</v>
      </c>
      <c r="E397" s="37" t="s">
        <v>84</v>
      </c>
      <c r="F397" s="37" t="s">
        <v>153</v>
      </c>
      <c r="G397" s="21" t="s">
        <v>505</v>
      </c>
      <c r="H397" s="21" t="n">
        <v>0</v>
      </c>
      <c r="I397" s="21" t="s">
        <v>137</v>
      </c>
    </row>
    <row r="398" customFormat="false" ht="15" hidden="false" customHeight="false" outlineLevel="0" collapsed="false">
      <c r="A398" s="21" t="s">
        <v>647</v>
      </c>
      <c r="B398" s="21" t="s">
        <v>513</v>
      </c>
      <c r="C398" s="21"/>
      <c r="D398" s="37" t="s">
        <v>84</v>
      </c>
      <c r="E398" s="37" t="s">
        <v>84</v>
      </c>
      <c r="F398" s="37" t="s">
        <v>153</v>
      </c>
      <c r="G398" s="21" t="s">
        <v>514</v>
      </c>
      <c r="H398" s="21" t="n">
        <v>0</v>
      </c>
      <c r="I398" s="21" t="s">
        <v>137</v>
      </c>
    </row>
    <row r="399" customFormat="false" ht="15" hidden="false" customHeight="false" outlineLevel="0" collapsed="false">
      <c r="A399" s="21" t="s">
        <v>648</v>
      </c>
      <c r="B399" s="21" t="s">
        <v>511</v>
      </c>
      <c r="C399" s="21"/>
      <c r="D399" s="37" t="s">
        <v>84</v>
      </c>
      <c r="E399" s="37" t="s">
        <v>84</v>
      </c>
      <c r="F399" s="37" t="s">
        <v>153</v>
      </c>
      <c r="G399" s="21" t="s">
        <v>514</v>
      </c>
      <c r="H399" s="21" t="n">
        <v>0</v>
      </c>
      <c r="I399" s="21" t="s">
        <v>137</v>
      </c>
    </row>
    <row r="400" customFormat="false" ht="15" hidden="false" customHeight="false" outlineLevel="0" collapsed="false">
      <c r="A400" s="21" t="s">
        <v>649</v>
      </c>
      <c r="B400" s="21" t="s">
        <v>513</v>
      </c>
      <c r="C400" s="21"/>
      <c r="D400" s="37" t="s">
        <v>84</v>
      </c>
      <c r="E400" s="37" t="s">
        <v>84</v>
      </c>
      <c r="F400" s="37" t="s">
        <v>153</v>
      </c>
      <c r="G400" s="21" t="s">
        <v>514</v>
      </c>
      <c r="H400" s="21" t="n">
        <v>0</v>
      </c>
      <c r="I400" s="21" t="s">
        <v>137</v>
      </c>
    </row>
    <row r="401" customFormat="false" ht="15" hidden="false" customHeight="false" outlineLevel="0" collapsed="false">
      <c r="A401" s="21" t="s">
        <v>650</v>
      </c>
      <c r="B401" s="21" t="s">
        <v>511</v>
      </c>
      <c r="C401" s="21"/>
      <c r="D401" s="37" t="s">
        <v>84</v>
      </c>
      <c r="E401" s="37" t="s">
        <v>84</v>
      </c>
      <c r="F401" s="37" t="s">
        <v>153</v>
      </c>
      <c r="G401" s="21" t="s">
        <v>505</v>
      </c>
      <c r="H401" s="21" t="n">
        <v>0</v>
      </c>
      <c r="I401" s="21" t="s">
        <v>137</v>
      </c>
    </row>
    <row r="402" customFormat="false" ht="15" hidden="false" customHeight="false" outlineLevel="0" collapsed="false">
      <c r="A402" s="21" t="s">
        <v>651</v>
      </c>
      <c r="B402" s="21" t="s">
        <v>511</v>
      </c>
      <c r="C402" s="21"/>
      <c r="D402" s="37" t="s">
        <v>84</v>
      </c>
      <c r="E402" s="37" t="s">
        <v>84</v>
      </c>
      <c r="F402" s="37" t="s">
        <v>153</v>
      </c>
      <c r="G402" s="21" t="s">
        <v>514</v>
      </c>
      <c r="H402" s="21" t="n">
        <v>0</v>
      </c>
      <c r="I402" s="21" t="s">
        <v>137</v>
      </c>
    </row>
    <row r="403" customFormat="false" ht="15" hidden="false" customHeight="false" outlineLevel="0" collapsed="false">
      <c r="A403" s="21" t="s">
        <v>652</v>
      </c>
      <c r="B403" s="21" t="s">
        <v>511</v>
      </c>
      <c r="C403" s="21"/>
      <c r="D403" s="37" t="s">
        <v>84</v>
      </c>
      <c r="E403" s="37" t="s">
        <v>84</v>
      </c>
      <c r="F403" s="37" t="s">
        <v>153</v>
      </c>
      <c r="G403" s="21" t="s">
        <v>505</v>
      </c>
      <c r="H403" s="21" t="n">
        <v>0</v>
      </c>
      <c r="I403" s="21" t="s">
        <v>137</v>
      </c>
    </row>
    <row r="404" customFormat="false" ht="15" hidden="false" customHeight="false" outlineLevel="0" collapsed="false">
      <c r="A404" s="21" t="s">
        <v>653</v>
      </c>
      <c r="B404" s="21" t="s">
        <v>513</v>
      </c>
      <c r="C404" s="21"/>
      <c r="D404" s="37" t="s">
        <v>84</v>
      </c>
      <c r="E404" s="37" t="s">
        <v>84</v>
      </c>
      <c r="F404" s="37" t="s">
        <v>153</v>
      </c>
      <c r="G404" s="21" t="s">
        <v>505</v>
      </c>
      <c r="H404" s="21" t="n">
        <v>0</v>
      </c>
      <c r="I404" s="21" t="s">
        <v>137</v>
      </c>
    </row>
    <row r="405" customFormat="false" ht="15" hidden="false" customHeight="false" outlineLevel="0" collapsed="false">
      <c r="A405" s="21" t="s">
        <v>654</v>
      </c>
      <c r="B405" s="21" t="s">
        <v>513</v>
      </c>
      <c r="C405" s="21"/>
      <c r="D405" s="37" t="s">
        <v>84</v>
      </c>
      <c r="E405" s="37" t="s">
        <v>84</v>
      </c>
      <c r="F405" s="37" t="s">
        <v>153</v>
      </c>
      <c r="G405" s="21" t="s">
        <v>505</v>
      </c>
      <c r="H405" s="21" t="n">
        <v>0</v>
      </c>
      <c r="I405" s="21" t="s">
        <v>137</v>
      </c>
    </row>
    <row r="406" customFormat="false" ht="15" hidden="false" customHeight="false" outlineLevel="0" collapsed="false">
      <c r="A406" s="21" t="s">
        <v>655</v>
      </c>
      <c r="B406" s="21" t="s">
        <v>513</v>
      </c>
      <c r="C406" s="21"/>
      <c r="D406" s="37" t="s">
        <v>84</v>
      </c>
      <c r="E406" s="37" t="s">
        <v>84</v>
      </c>
      <c r="F406" s="37" t="s">
        <v>153</v>
      </c>
      <c r="G406" s="21" t="s">
        <v>514</v>
      </c>
      <c r="H406" s="21" t="n">
        <v>0</v>
      </c>
      <c r="I406" s="21" t="s">
        <v>137</v>
      </c>
    </row>
    <row r="407" customFormat="false" ht="15" hidden="false" customHeight="false" outlineLevel="0" collapsed="false">
      <c r="A407" s="21" t="s">
        <v>656</v>
      </c>
      <c r="B407" s="21" t="s">
        <v>511</v>
      </c>
      <c r="C407" s="21"/>
      <c r="D407" s="37" t="s">
        <v>84</v>
      </c>
      <c r="E407" s="37" t="s">
        <v>84</v>
      </c>
      <c r="F407" s="37" t="s">
        <v>153</v>
      </c>
      <c r="G407" s="21" t="s">
        <v>505</v>
      </c>
      <c r="H407" s="21" t="n">
        <v>0</v>
      </c>
      <c r="I407" s="21" t="s">
        <v>137</v>
      </c>
    </row>
    <row r="408" customFormat="false" ht="15" hidden="false" customHeight="false" outlineLevel="0" collapsed="false">
      <c r="A408" s="21" t="s">
        <v>657</v>
      </c>
      <c r="B408" s="21" t="s">
        <v>513</v>
      </c>
      <c r="C408" s="21"/>
      <c r="D408" s="37" t="s">
        <v>84</v>
      </c>
      <c r="E408" s="37" t="s">
        <v>84</v>
      </c>
      <c r="F408" s="37" t="s">
        <v>153</v>
      </c>
      <c r="G408" s="21" t="s">
        <v>505</v>
      </c>
      <c r="H408" s="21" t="n">
        <v>0</v>
      </c>
      <c r="I408" s="21" t="s">
        <v>137</v>
      </c>
    </row>
    <row r="409" customFormat="false" ht="15" hidden="false" customHeight="false" outlineLevel="0" collapsed="false">
      <c r="A409" s="21" t="s">
        <v>658</v>
      </c>
      <c r="B409" s="21" t="s">
        <v>511</v>
      </c>
      <c r="C409" s="21"/>
      <c r="D409" s="37" t="s">
        <v>84</v>
      </c>
      <c r="E409" s="37" t="s">
        <v>84</v>
      </c>
      <c r="F409" s="37" t="s">
        <v>153</v>
      </c>
      <c r="G409" s="21" t="s">
        <v>505</v>
      </c>
      <c r="H409" s="21" t="n">
        <v>0</v>
      </c>
      <c r="I409" s="21" t="s">
        <v>137</v>
      </c>
    </row>
    <row r="410" customFormat="false" ht="15" hidden="false" customHeight="false" outlineLevel="0" collapsed="false">
      <c r="A410" s="21" t="s">
        <v>659</v>
      </c>
      <c r="B410" s="21" t="s">
        <v>511</v>
      </c>
      <c r="C410" s="21"/>
      <c r="D410" s="37" t="s">
        <v>84</v>
      </c>
      <c r="E410" s="37" t="s">
        <v>84</v>
      </c>
      <c r="F410" s="37" t="s">
        <v>153</v>
      </c>
      <c r="G410" s="21" t="s">
        <v>505</v>
      </c>
      <c r="H410" s="21" t="n">
        <v>0</v>
      </c>
      <c r="I410" s="21" t="s">
        <v>137</v>
      </c>
    </row>
    <row r="411" customFormat="false" ht="15" hidden="false" customHeight="false" outlineLevel="0" collapsed="false">
      <c r="A411" s="21" t="s">
        <v>660</v>
      </c>
      <c r="B411" s="21" t="s">
        <v>513</v>
      </c>
      <c r="C411" s="21"/>
      <c r="D411" s="37" t="s">
        <v>84</v>
      </c>
      <c r="E411" s="37" t="s">
        <v>84</v>
      </c>
      <c r="F411" s="37" t="s">
        <v>153</v>
      </c>
      <c r="G411" s="21" t="s">
        <v>514</v>
      </c>
      <c r="H411" s="21" t="n">
        <v>0</v>
      </c>
      <c r="I411" s="21" t="s">
        <v>137</v>
      </c>
    </row>
    <row r="412" customFormat="false" ht="15" hidden="false" customHeight="false" outlineLevel="0" collapsed="false">
      <c r="A412" s="21" t="s">
        <v>661</v>
      </c>
      <c r="B412" s="21" t="s">
        <v>511</v>
      </c>
      <c r="C412" s="21"/>
      <c r="D412" s="37" t="s">
        <v>84</v>
      </c>
      <c r="E412" s="37" t="s">
        <v>84</v>
      </c>
      <c r="F412" s="37" t="s">
        <v>153</v>
      </c>
      <c r="G412" s="21" t="s">
        <v>514</v>
      </c>
      <c r="H412" s="21" t="n">
        <v>0</v>
      </c>
      <c r="I412" s="21" t="s">
        <v>137</v>
      </c>
    </row>
    <row r="413" customFormat="false" ht="15" hidden="false" customHeight="false" outlineLevel="0" collapsed="false">
      <c r="A413" s="21" t="s">
        <v>662</v>
      </c>
      <c r="B413" s="21" t="s">
        <v>511</v>
      </c>
      <c r="C413" s="21"/>
      <c r="D413" s="37" t="s">
        <v>84</v>
      </c>
      <c r="E413" s="37" t="s">
        <v>84</v>
      </c>
      <c r="F413" s="37" t="s">
        <v>153</v>
      </c>
      <c r="G413" s="21" t="s">
        <v>505</v>
      </c>
      <c r="H413" s="21" t="n">
        <v>0</v>
      </c>
      <c r="I413" s="21" t="s">
        <v>137</v>
      </c>
    </row>
    <row r="414" customFormat="false" ht="15" hidden="false" customHeight="false" outlineLevel="0" collapsed="false">
      <c r="A414" s="21" t="s">
        <v>663</v>
      </c>
      <c r="B414" s="21" t="s">
        <v>511</v>
      </c>
      <c r="C414" s="21"/>
      <c r="D414" s="37" t="s">
        <v>84</v>
      </c>
      <c r="E414" s="37" t="s">
        <v>84</v>
      </c>
      <c r="F414" s="37" t="s">
        <v>153</v>
      </c>
      <c r="G414" s="21" t="s">
        <v>505</v>
      </c>
      <c r="H414" s="21" t="n">
        <v>0</v>
      </c>
      <c r="I414" s="21" t="s">
        <v>137</v>
      </c>
    </row>
    <row r="415" customFormat="false" ht="15" hidden="false" customHeight="false" outlineLevel="0" collapsed="false">
      <c r="A415" s="21" t="s">
        <v>664</v>
      </c>
      <c r="B415" s="21" t="s">
        <v>511</v>
      </c>
      <c r="C415" s="21"/>
      <c r="D415" s="37" t="s">
        <v>84</v>
      </c>
      <c r="E415" s="37" t="s">
        <v>84</v>
      </c>
      <c r="F415" s="37" t="s">
        <v>153</v>
      </c>
      <c r="G415" s="21" t="s">
        <v>514</v>
      </c>
      <c r="H415" s="21" t="n">
        <v>0</v>
      </c>
      <c r="I415" s="21" t="s">
        <v>137</v>
      </c>
    </row>
    <row r="416" customFormat="false" ht="15" hidden="false" customHeight="false" outlineLevel="0" collapsed="false">
      <c r="A416" s="21" t="s">
        <v>665</v>
      </c>
      <c r="B416" s="21" t="s">
        <v>511</v>
      </c>
      <c r="C416" s="21"/>
      <c r="D416" s="37" t="s">
        <v>84</v>
      </c>
      <c r="E416" s="37" t="s">
        <v>84</v>
      </c>
      <c r="F416" s="37" t="s">
        <v>153</v>
      </c>
      <c r="G416" s="21" t="s">
        <v>505</v>
      </c>
      <c r="H416" s="21" t="n">
        <v>0</v>
      </c>
      <c r="I416" s="21" t="s">
        <v>137</v>
      </c>
    </row>
    <row r="417" customFormat="false" ht="15" hidden="false" customHeight="false" outlineLevel="0" collapsed="false">
      <c r="A417" s="21" t="s">
        <v>666</v>
      </c>
      <c r="B417" s="21" t="s">
        <v>511</v>
      </c>
      <c r="C417" s="21"/>
      <c r="D417" s="37" t="s">
        <v>84</v>
      </c>
      <c r="E417" s="37" t="s">
        <v>84</v>
      </c>
      <c r="F417" s="37" t="s">
        <v>153</v>
      </c>
      <c r="G417" s="21" t="s">
        <v>514</v>
      </c>
      <c r="H417" s="21" t="n">
        <v>0</v>
      </c>
      <c r="I417" s="21" t="s">
        <v>137</v>
      </c>
    </row>
    <row r="418" customFormat="false" ht="15" hidden="false" customHeight="false" outlineLevel="0" collapsed="false">
      <c r="A418" s="21" t="s">
        <v>667</v>
      </c>
      <c r="B418" s="21" t="s">
        <v>511</v>
      </c>
      <c r="C418" s="21"/>
      <c r="D418" s="37" t="s">
        <v>84</v>
      </c>
      <c r="E418" s="37" t="s">
        <v>84</v>
      </c>
      <c r="F418" s="37" t="s">
        <v>153</v>
      </c>
      <c r="G418" s="21" t="s">
        <v>505</v>
      </c>
      <c r="H418" s="21" t="n">
        <v>0</v>
      </c>
      <c r="I418" s="21" t="s">
        <v>137</v>
      </c>
    </row>
    <row r="419" customFormat="false" ht="15" hidden="false" customHeight="false" outlineLevel="0" collapsed="false">
      <c r="A419" s="21" t="s">
        <v>668</v>
      </c>
      <c r="B419" s="21" t="s">
        <v>513</v>
      </c>
      <c r="C419" s="21"/>
      <c r="D419" s="37" t="s">
        <v>84</v>
      </c>
      <c r="E419" s="37" t="s">
        <v>84</v>
      </c>
      <c r="F419" s="37" t="s">
        <v>153</v>
      </c>
      <c r="G419" s="21" t="s">
        <v>514</v>
      </c>
      <c r="H419" s="21" t="n">
        <v>0</v>
      </c>
      <c r="I419" s="21" t="s">
        <v>137</v>
      </c>
    </row>
    <row r="420" customFormat="false" ht="15" hidden="false" customHeight="false" outlineLevel="0" collapsed="false">
      <c r="A420" s="21" t="s">
        <v>669</v>
      </c>
      <c r="B420" s="21" t="s">
        <v>513</v>
      </c>
      <c r="C420" s="21"/>
      <c r="D420" s="37" t="s">
        <v>84</v>
      </c>
      <c r="E420" s="37" t="s">
        <v>84</v>
      </c>
      <c r="F420" s="37" t="s">
        <v>153</v>
      </c>
      <c r="G420" s="21" t="s">
        <v>505</v>
      </c>
      <c r="H420" s="21" t="n">
        <v>0</v>
      </c>
      <c r="I420" s="21" t="s">
        <v>137</v>
      </c>
    </row>
    <row r="421" customFormat="false" ht="15" hidden="false" customHeight="false" outlineLevel="0" collapsed="false">
      <c r="A421" s="21" t="s">
        <v>670</v>
      </c>
      <c r="B421" s="21" t="s">
        <v>511</v>
      </c>
      <c r="C421" s="21"/>
      <c r="D421" s="37" t="s">
        <v>84</v>
      </c>
      <c r="E421" s="37" t="s">
        <v>84</v>
      </c>
      <c r="F421" s="37" t="s">
        <v>153</v>
      </c>
      <c r="G421" s="21" t="s">
        <v>505</v>
      </c>
      <c r="H421" s="21" t="n">
        <v>0</v>
      </c>
      <c r="I421" s="21" t="s">
        <v>137</v>
      </c>
    </row>
    <row r="422" customFormat="false" ht="15" hidden="false" customHeight="false" outlineLevel="0" collapsed="false">
      <c r="A422" s="21" t="s">
        <v>671</v>
      </c>
      <c r="B422" s="21" t="s">
        <v>511</v>
      </c>
      <c r="C422" s="21"/>
      <c r="D422" s="37" t="s">
        <v>84</v>
      </c>
      <c r="E422" s="37" t="s">
        <v>84</v>
      </c>
      <c r="F422" s="37" t="s">
        <v>153</v>
      </c>
      <c r="G422" s="21" t="s">
        <v>505</v>
      </c>
      <c r="H422" s="21" t="n">
        <v>0</v>
      </c>
      <c r="I422" s="21" t="s">
        <v>137</v>
      </c>
    </row>
    <row r="423" customFormat="false" ht="15" hidden="false" customHeight="false" outlineLevel="0" collapsed="false">
      <c r="A423" s="21" t="s">
        <v>672</v>
      </c>
      <c r="B423" s="21" t="s">
        <v>511</v>
      </c>
      <c r="C423" s="21"/>
      <c r="D423" s="37" t="s">
        <v>84</v>
      </c>
      <c r="E423" s="37" t="s">
        <v>84</v>
      </c>
      <c r="F423" s="37" t="s">
        <v>153</v>
      </c>
      <c r="G423" s="21" t="s">
        <v>514</v>
      </c>
      <c r="H423" s="21" t="n">
        <v>0</v>
      </c>
      <c r="I423" s="21" t="s">
        <v>137</v>
      </c>
    </row>
    <row r="424" customFormat="false" ht="15" hidden="false" customHeight="false" outlineLevel="0" collapsed="false">
      <c r="A424" s="21" t="s">
        <v>673</v>
      </c>
      <c r="B424" s="21" t="s">
        <v>513</v>
      </c>
      <c r="C424" s="21"/>
      <c r="D424" s="37" t="s">
        <v>84</v>
      </c>
      <c r="E424" s="37" t="s">
        <v>84</v>
      </c>
      <c r="F424" s="37" t="s">
        <v>153</v>
      </c>
      <c r="G424" s="21" t="s">
        <v>505</v>
      </c>
      <c r="H424" s="21" t="n">
        <v>0</v>
      </c>
      <c r="I424" s="21" t="s">
        <v>137</v>
      </c>
    </row>
    <row r="425" customFormat="false" ht="15" hidden="false" customHeight="false" outlineLevel="0" collapsed="false">
      <c r="A425" s="21" t="s">
        <v>674</v>
      </c>
      <c r="B425" s="21" t="s">
        <v>511</v>
      </c>
      <c r="C425" s="21"/>
      <c r="D425" s="37" t="s">
        <v>84</v>
      </c>
      <c r="E425" s="37" t="s">
        <v>84</v>
      </c>
      <c r="F425" s="37" t="s">
        <v>153</v>
      </c>
      <c r="G425" s="21" t="s">
        <v>505</v>
      </c>
      <c r="H425" s="21" t="n">
        <v>0</v>
      </c>
      <c r="I425" s="21" t="s">
        <v>137</v>
      </c>
    </row>
    <row r="426" customFormat="false" ht="15" hidden="false" customHeight="false" outlineLevel="0" collapsed="false">
      <c r="A426" s="21" t="s">
        <v>675</v>
      </c>
      <c r="B426" s="21" t="s">
        <v>511</v>
      </c>
      <c r="C426" s="21"/>
      <c r="D426" s="37" t="s">
        <v>84</v>
      </c>
      <c r="E426" s="37" t="s">
        <v>84</v>
      </c>
      <c r="F426" s="37" t="s">
        <v>153</v>
      </c>
      <c r="G426" s="21" t="s">
        <v>505</v>
      </c>
      <c r="H426" s="21" t="n">
        <v>0</v>
      </c>
      <c r="I426" s="21" t="s">
        <v>137</v>
      </c>
    </row>
    <row r="427" customFormat="false" ht="15" hidden="false" customHeight="false" outlineLevel="0" collapsed="false">
      <c r="A427" s="21" t="s">
        <v>676</v>
      </c>
      <c r="B427" s="21" t="s">
        <v>511</v>
      </c>
      <c r="C427" s="21"/>
      <c r="D427" s="37" t="s">
        <v>84</v>
      </c>
      <c r="E427" s="37" t="s">
        <v>84</v>
      </c>
      <c r="F427" s="37" t="s">
        <v>153</v>
      </c>
      <c r="G427" s="21" t="s">
        <v>505</v>
      </c>
      <c r="H427" s="21" t="n">
        <v>0</v>
      </c>
      <c r="I427" s="21" t="s">
        <v>137</v>
      </c>
    </row>
    <row r="428" customFormat="false" ht="15" hidden="false" customHeight="false" outlineLevel="0" collapsed="false">
      <c r="A428" s="21" t="s">
        <v>677</v>
      </c>
      <c r="B428" s="21" t="s">
        <v>511</v>
      </c>
      <c r="C428" s="21"/>
      <c r="D428" s="37" t="s">
        <v>84</v>
      </c>
      <c r="E428" s="37" t="s">
        <v>84</v>
      </c>
      <c r="F428" s="37" t="s">
        <v>153</v>
      </c>
      <c r="G428" s="21" t="s">
        <v>505</v>
      </c>
      <c r="H428" s="21" t="n">
        <v>0</v>
      </c>
      <c r="I428" s="21" t="s">
        <v>137</v>
      </c>
    </row>
    <row r="429" customFormat="false" ht="15" hidden="false" customHeight="false" outlineLevel="0" collapsed="false">
      <c r="A429" s="21" t="s">
        <v>678</v>
      </c>
      <c r="B429" s="21" t="s">
        <v>511</v>
      </c>
      <c r="C429" s="21"/>
      <c r="D429" s="37" t="s">
        <v>84</v>
      </c>
      <c r="E429" s="37" t="s">
        <v>84</v>
      </c>
      <c r="F429" s="37" t="s">
        <v>153</v>
      </c>
      <c r="G429" s="21" t="s">
        <v>514</v>
      </c>
      <c r="H429" s="21" t="n">
        <v>0</v>
      </c>
      <c r="I429" s="21" t="s">
        <v>137</v>
      </c>
    </row>
    <row r="430" customFormat="false" ht="15" hidden="false" customHeight="false" outlineLevel="0" collapsed="false">
      <c r="A430" s="21" t="s">
        <v>679</v>
      </c>
      <c r="B430" s="21" t="s">
        <v>511</v>
      </c>
      <c r="C430" s="21"/>
      <c r="D430" s="37" t="s">
        <v>84</v>
      </c>
      <c r="E430" s="37" t="s">
        <v>84</v>
      </c>
      <c r="F430" s="37" t="s">
        <v>153</v>
      </c>
      <c r="G430" s="21" t="s">
        <v>505</v>
      </c>
      <c r="H430" s="21" t="n">
        <v>0</v>
      </c>
      <c r="I430" s="21" t="s">
        <v>137</v>
      </c>
    </row>
    <row r="431" customFormat="false" ht="15" hidden="false" customHeight="false" outlineLevel="0" collapsed="false">
      <c r="A431" s="21" t="s">
        <v>680</v>
      </c>
      <c r="B431" s="21" t="s">
        <v>511</v>
      </c>
      <c r="C431" s="21"/>
      <c r="D431" s="37" t="s">
        <v>84</v>
      </c>
      <c r="E431" s="37" t="s">
        <v>84</v>
      </c>
      <c r="F431" s="37" t="s">
        <v>153</v>
      </c>
      <c r="G431" s="21" t="s">
        <v>505</v>
      </c>
      <c r="H431" s="21" t="n">
        <v>0</v>
      </c>
      <c r="I431" s="21" t="s">
        <v>137</v>
      </c>
    </row>
    <row r="432" customFormat="false" ht="15" hidden="false" customHeight="false" outlineLevel="0" collapsed="false">
      <c r="A432" s="21" t="s">
        <v>681</v>
      </c>
      <c r="B432" s="21" t="s">
        <v>511</v>
      </c>
      <c r="C432" s="21"/>
      <c r="D432" s="37" t="s">
        <v>84</v>
      </c>
      <c r="E432" s="37" t="s">
        <v>84</v>
      </c>
      <c r="F432" s="37" t="s">
        <v>153</v>
      </c>
      <c r="G432" s="21" t="s">
        <v>514</v>
      </c>
      <c r="H432" s="21" t="n">
        <v>0</v>
      </c>
      <c r="I432" s="21" t="s">
        <v>137</v>
      </c>
    </row>
    <row r="433" customFormat="false" ht="15" hidden="false" customHeight="false" outlineLevel="0" collapsed="false">
      <c r="A433" s="21" t="s">
        <v>682</v>
      </c>
      <c r="B433" s="21" t="s">
        <v>511</v>
      </c>
      <c r="C433" s="21"/>
      <c r="D433" s="37" t="s">
        <v>84</v>
      </c>
      <c r="E433" s="37" t="s">
        <v>84</v>
      </c>
      <c r="F433" s="37" t="s">
        <v>153</v>
      </c>
      <c r="G433" s="21" t="s">
        <v>505</v>
      </c>
      <c r="H433" s="21" t="n">
        <v>0</v>
      </c>
      <c r="I433" s="21" t="s">
        <v>137</v>
      </c>
    </row>
    <row r="434" customFormat="false" ht="15" hidden="false" customHeight="false" outlineLevel="0" collapsed="false">
      <c r="A434" s="21" t="s">
        <v>683</v>
      </c>
      <c r="B434" s="21" t="s">
        <v>511</v>
      </c>
      <c r="C434" s="21"/>
      <c r="D434" s="37" t="s">
        <v>84</v>
      </c>
      <c r="E434" s="37" t="s">
        <v>84</v>
      </c>
      <c r="F434" s="37" t="s">
        <v>153</v>
      </c>
      <c r="G434" s="21" t="s">
        <v>505</v>
      </c>
      <c r="H434" s="21" t="n">
        <v>0</v>
      </c>
      <c r="I434" s="21" t="s">
        <v>137</v>
      </c>
    </row>
    <row r="435" customFormat="false" ht="15" hidden="false" customHeight="false" outlineLevel="0" collapsed="false">
      <c r="A435" s="21" t="s">
        <v>684</v>
      </c>
      <c r="B435" s="21" t="s">
        <v>513</v>
      </c>
      <c r="C435" s="21"/>
      <c r="D435" s="37" t="s">
        <v>84</v>
      </c>
      <c r="E435" s="37" t="s">
        <v>84</v>
      </c>
      <c r="F435" s="37" t="s">
        <v>153</v>
      </c>
      <c r="G435" s="21" t="s">
        <v>514</v>
      </c>
      <c r="H435" s="21" t="n">
        <v>0</v>
      </c>
      <c r="I435" s="21" t="s">
        <v>137</v>
      </c>
    </row>
    <row r="436" customFormat="false" ht="15" hidden="false" customHeight="false" outlineLevel="0" collapsed="false">
      <c r="A436" s="21" t="s">
        <v>685</v>
      </c>
      <c r="B436" s="21" t="s">
        <v>511</v>
      </c>
      <c r="C436" s="21"/>
      <c r="D436" s="37" t="s">
        <v>84</v>
      </c>
      <c r="E436" s="37" t="s">
        <v>84</v>
      </c>
      <c r="F436" s="37" t="s">
        <v>153</v>
      </c>
      <c r="G436" s="21" t="s">
        <v>505</v>
      </c>
      <c r="H436" s="21" t="n">
        <v>0</v>
      </c>
      <c r="I436" s="21" t="s">
        <v>137</v>
      </c>
    </row>
    <row r="437" customFormat="false" ht="15" hidden="false" customHeight="false" outlineLevel="0" collapsed="false">
      <c r="A437" s="21" t="s">
        <v>686</v>
      </c>
      <c r="B437" s="21" t="s">
        <v>511</v>
      </c>
      <c r="C437" s="21"/>
      <c r="D437" s="37" t="s">
        <v>84</v>
      </c>
      <c r="E437" s="37" t="s">
        <v>84</v>
      </c>
      <c r="F437" s="37" t="s">
        <v>153</v>
      </c>
      <c r="G437" s="21" t="s">
        <v>505</v>
      </c>
      <c r="H437" s="21" t="n">
        <v>0</v>
      </c>
      <c r="I437" s="21" t="s">
        <v>137</v>
      </c>
    </row>
    <row r="438" customFormat="false" ht="15" hidden="false" customHeight="false" outlineLevel="0" collapsed="false">
      <c r="A438" s="21" t="s">
        <v>687</v>
      </c>
      <c r="B438" s="21" t="s">
        <v>511</v>
      </c>
      <c r="C438" s="21"/>
      <c r="D438" s="37" t="s">
        <v>84</v>
      </c>
      <c r="E438" s="37" t="s">
        <v>84</v>
      </c>
      <c r="F438" s="37" t="s">
        <v>153</v>
      </c>
      <c r="G438" s="21" t="s">
        <v>514</v>
      </c>
      <c r="H438" s="21" t="n">
        <v>0</v>
      </c>
      <c r="I438" s="21" t="s">
        <v>137</v>
      </c>
    </row>
    <row r="439" customFormat="false" ht="15" hidden="false" customHeight="false" outlineLevel="0" collapsed="false">
      <c r="A439" s="21" t="s">
        <v>688</v>
      </c>
      <c r="B439" s="21" t="s">
        <v>511</v>
      </c>
      <c r="C439" s="21"/>
      <c r="D439" s="37" t="s">
        <v>84</v>
      </c>
      <c r="E439" s="37" t="s">
        <v>84</v>
      </c>
      <c r="F439" s="37" t="s">
        <v>153</v>
      </c>
      <c r="G439" s="21" t="s">
        <v>514</v>
      </c>
      <c r="H439" s="21" t="n">
        <v>0</v>
      </c>
      <c r="I439" s="21" t="s">
        <v>137</v>
      </c>
    </row>
    <row r="440" customFormat="false" ht="15" hidden="false" customHeight="false" outlineLevel="0" collapsed="false">
      <c r="A440" s="21" t="s">
        <v>689</v>
      </c>
      <c r="B440" s="21" t="s">
        <v>511</v>
      </c>
      <c r="C440" s="21"/>
      <c r="D440" s="37" t="s">
        <v>84</v>
      </c>
      <c r="E440" s="37" t="s">
        <v>84</v>
      </c>
      <c r="F440" s="37" t="s">
        <v>153</v>
      </c>
      <c r="G440" s="21" t="s">
        <v>514</v>
      </c>
      <c r="H440" s="21" t="n">
        <v>0</v>
      </c>
      <c r="I440" s="21" t="s">
        <v>137</v>
      </c>
    </row>
    <row r="441" customFormat="false" ht="15" hidden="false" customHeight="false" outlineLevel="0" collapsed="false">
      <c r="A441" s="21" t="s">
        <v>690</v>
      </c>
      <c r="B441" s="21" t="s">
        <v>513</v>
      </c>
      <c r="C441" s="21"/>
      <c r="D441" s="37" t="s">
        <v>84</v>
      </c>
      <c r="E441" s="37" t="s">
        <v>84</v>
      </c>
      <c r="F441" s="37" t="s">
        <v>153</v>
      </c>
      <c r="G441" s="21" t="s">
        <v>505</v>
      </c>
      <c r="H441" s="21" t="n">
        <v>0</v>
      </c>
      <c r="I441" s="21" t="s">
        <v>137</v>
      </c>
    </row>
    <row r="442" customFormat="false" ht="15" hidden="false" customHeight="false" outlineLevel="0" collapsed="false">
      <c r="A442" s="21" t="s">
        <v>691</v>
      </c>
      <c r="B442" s="21" t="s">
        <v>511</v>
      </c>
      <c r="C442" s="21"/>
      <c r="D442" s="37" t="s">
        <v>84</v>
      </c>
      <c r="E442" s="37" t="s">
        <v>84</v>
      </c>
      <c r="F442" s="37" t="s">
        <v>153</v>
      </c>
      <c r="G442" s="21" t="s">
        <v>505</v>
      </c>
      <c r="H442" s="21" t="n">
        <v>0</v>
      </c>
      <c r="I442" s="21" t="s">
        <v>137</v>
      </c>
    </row>
    <row r="443" customFormat="false" ht="15" hidden="false" customHeight="false" outlineLevel="0" collapsed="false">
      <c r="A443" s="21" t="s">
        <v>692</v>
      </c>
      <c r="B443" s="21" t="s">
        <v>511</v>
      </c>
      <c r="C443" s="21"/>
      <c r="D443" s="37" t="s">
        <v>84</v>
      </c>
      <c r="E443" s="37" t="s">
        <v>84</v>
      </c>
      <c r="F443" s="37" t="s">
        <v>153</v>
      </c>
      <c r="G443" s="21" t="s">
        <v>514</v>
      </c>
      <c r="H443" s="21" t="n">
        <v>0</v>
      </c>
      <c r="I443" s="21" t="s">
        <v>137</v>
      </c>
    </row>
    <row r="444" customFormat="false" ht="15" hidden="false" customHeight="false" outlineLevel="0" collapsed="false">
      <c r="A444" s="21" t="s">
        <v>693</v>
      </c>
      <c r="B444" s="21" t="s">
        <v>513</v>
      </c>
      <c r="C444" s="21"/>
      <c r="D444" s="37" t="s">
        <v>84</v>
      </c>
      <c r="E444" s="37" t="s">
        <v>84</v>
      </c>
      <c r="F444" s="37" t="s">
        <v>153</v>
      </c>
      <c r="G444" s="21" t="s">
        <v>514</v>
      </c>
      <c r="H444" s="21" t="n">
        <v>0</v>
      </c>
      <c r="I444" s="21" t="s">
        <v>137</v>
      </c>
    </row>
    <row r="445" customFormat="false" ht="15" hidden="false" customHeight="false" outlineLevel="0" collapsed="false">
      <c r="A445" s="21" t="s">
        <v>694</v>
      </c>
      <c r="B445" s="21" t="s">
        <v>511</v>
      </c>
      <c r="C445" s="21"/>
      <c r="D445" s="37" t="s">
        <v>84</v>
      </c>
      <c r="E445" s="37" t="s">
        <v>84</v>
      </c>
      <c r="F445" s="37" t="s">
        <v>153</v>
      </c>
      <c r="G445" s="21" t="s">
        <v>505</v>
      </c>
      <c r="H445" s="21" t="n">
        <v>0</v>
      </c>
      <c r="I445" s="21" t="s">
        <v>137</v>
      </c>
    </row>
    <row r="446" customFormat="false" ht="15" hidden="false" customHeight="false" outlineLevel="0" collapsed="false">
      <c r="A446" s="21" t="s">
        <v>695</v>
      </c>
      <c r="B446" s="21" t="s">
        <v>513</v>
      </c>
      <c r="C446" s="21"/>
      <c r="D446" s="37" t="s">
        <v>84</v>
      </c>
      <c r="E446" s="37" t="s">
        <v>84</v>
      </c>
      <c r="F446" s="37" t="s">
        <v>153</v>
      </c>
      <c r="G446" s="21" t="s">
        <v>505</v>
      </c>
      <c r="H446" s="21" t="n">
        <v>0</v>
      </c>
      <c r="I446" s="21" t="s">
        <v>137</v>
      </c>
    </row>
    <row r="447" customFormat="false" ht="15" hidden="false" customHeight="false" outlineLevel="0" collapsed="false">
      <c r="A447" s="21" t="s">
        <v>696</v>
      </c>
      <c r="B447" s="21" t="s">
        <v>511</v>
      </c>
      <c r="C447" s="21"/>
      <c r="D447" s="37" t="s">
        <v>84</v>
      </c>
      <c r="E447" s="37" t="s">
        <v>84</v>
      </c>
      <c r="F447" s="37" t="s">
        <v>153</v>
      </c>
      <c r="G447" s="21" t="s">
        <v>505</v>
      </c>
      <c r="H447" s="21" t="n">
        <v>0</v>
      </c>
      <c r="I447" s="21" t="s">
        <v>137</v>
      </c>
    </row>
    <row r="448" customFormat="false" ht="15" hidden="false" customHeight="false" outlineLevel="0" collapsed="false">
      <c r="A448" s="21" t="s">
        <v>697</v>
      </c>
      <c r="B448" s="21" t="s">
        <v>511</v>
      </c>
      <c r="C448" s="21"/>
      <c r="D448" s="37" t="s">
        <v>84</v>
      </c>
      <c r="E448" s="37" t="s">
        <v>84</v>
      </c>
      <c r="F448" s="37" t="s">
        <v>153</v>
      </c>
      <c r="G448" s="21" t="s">
        <v>514</v>
      </c>
      <c r="H448" s="21" t="n">
        <v>0</v>
      </c>
      <c r="I448" s="21" t="s">
        <v>137</v>
      </c>
    </row>
    <row r="449" customFormat="false" ht="15" hidden="false" customHeight="false" outlineLevel="0" collapsed="false">
      <c r="A449" s="21" t="s">
        <v>698</v>
      </c>
      <c r="B449" s="21" t="s">
        <v>511</v>
      </c>
      <c r="C449" s="21"/>
      <c r="D449" s="37" t="s">
        <v>84</v>
      </c>
      <c r="E449" s="37" t="s">
        <v>84</v>
      </c>
      <c r="F449" s="37" t="s">
        <v>153</v>
      </c>
      <c r="G449" s="21" t="s">
        <v>505</v>
      </c>
      <c r="H449" s="21" t="n">
        <v>0</v>
      </c>
      <c r="I449" s="21" t="s">
        <v>137</v>
      </c>
    </row>
    <row r="450" customFormat="false" ht="15" hidden="false" customHeight="false" outlineLevel="0" collapsed="false">
      <c r="A450" s="21" t="s">
        <v>699</v>
      </c>
      <c r="B450" s="21" t="s">
        <v>511</v>
      </c>
      <c r="C450" s="21"/>
      <c r="D450" s="37" t="s">
        <v>84</v>
      </c>
      <c r="E450" s="37" t="s">
        <v>84</v>
      </c>
      <c r="F450" s="37" t="s">
        <v>153</v>
      </c>
      <c r="G450" s="21" t="s">
        <v>514</v>
      </c>
      <c r="H450" s="21" t="n">
        <v>0</v>
      </c>
      <c r="I450" s="21" t="s">
        <v>137</v>
      </c>
    </row>
    <row r="451" customFormat="false" ht="15" hidden="false" customHeight="false" outlineLevel="0" collapsed="false">
      <c r="A451" s="21" t="s">
        <v>700</v>
      </c>
      <c r="B451" s="21" t="s">
        <v>511</v>
      </c>
      <c r="C451" s="21"/>
      <c r="D451" s="37" t="s">
        <v>84</v>
      </c>
      <c r="E451" s="37" t="s">
        <v>84</v>
      </c>
      <c r="F451" s="37" t="s">
        <v>153</v>
      </c>
      <c r="G451" s="21" t="s">
        <v>514</v>
      </c>
      <c r="H451" s="21" t="n">
        <v>0</v>
      </c>
      <c r="I451" s="21" t="s">
        <v>137</v>
      </c>
    </row>
    <row r="452" customFormat="false" ht="15" hidden="false" customHeight="false" outlineLevel="0" collapsed="false">
      <c r="A452" s="21" t="s">
        <v>701</v>
      </c>
      <c r="B452" s="21" t="s">
        <v>511</v>
      </c>
      <c r="C452" s="21"/>
      <c r="D452" s="37" t="s">
        <v>84</v>
      </c>
      <c r="E452" s="37" t="s">
        <v>84</v>
      </c>
      <c r="F452" s="37" t="s">
        <v>153</v>
      </c>
      <c r="G452" s="21" t="s">
        <v>514</v>
      </c>
      <c r="H452" s="21" t="n">
        <v>0</v>
      </c>
      <c r="I452" s="21" t="s">
        <v>137</v>
      </c>
    </row>
    <row r="453" customFormat="false" ht="15" hidden="false" customHeight="false" outlineLevel="0" collapsed="false">
      <c r="A453" s="21" t="s">
        <v>702</v>
      </c>
      <c r="B453" s="21" t="s">
        <v>513</v>
      </c>
      <c r="C453" s="21"/>
      <c r="D453" s="37" t="s">
        <v>84</v>
      </c>
      <c r="E453" s="37" t="s">
        <v>84</v>
      </c>
      <c r="F453" s="37" t="s">
        <v>153</v>
      </c>
      <c r="G453" s="21" t="s">
        <v>514</v>
      </c>
      <c r="H453" s="21" t="n">
        <v>0</v>
      </c>
      <c r="I453" s="21" t="s">
        <v>137</v>
      </c>
    </row>
    <row r="454" customFormat="false" ht="15" hidden="false" customHeight="false" outlineLevel="0" collapsed="false">
      <c r="A454" s="21" t="s">
        <v>703</v>
      </c>
      <c r="B454" s="21" t="s">
        <v>511</v>
      </c>
      <c r="C454" s="21"/>
      <c r="D454" s="37" t="s">
        <v>84</v>
      </c>
      <c r="E454" s="37" t="s">
        <v>84</v>
      </c>
      <c r="F454" s="37" t="s">
        <v>153</v>
      </c>
      <c r="G454" s="21" t="s">
        <v>505</v>
      </c>
      <c r="H454" s="21" t="n">
        <v>0</v>
      </c>
      <c r="I454" s="21" t="s">
        <v>137</v>
      </c>
    </row>
    <row r="455" customFormat="false" ht="15" hidden="false" customHeight="false" outlineLevel="0" collapsed="false">
      <c r="A455" s="21" t="s">
        <v>704</v>
      </c>
      <c r="B455" s="21" t="s">
        <v>511</v>
      </c>
      <c r="C455" s="21"/>
      <c r="D455" s="37" t="s">
        <v>84</v>
      </c>
      <c r="E455" s="37" t="s">
        <v>84</v>
      </c>
      <c r="F455" s="37" t="s">
        <v>153</v>
      </c>
      <c r="G455" s="21" t="s">
        <v>505</v>
      </c>
      <c r="H455" s="21" t="n">
        <v>0</v>
      </c>
      <c r="I455" s="21" t="s">
        <v>137</v>
      </c>
    </row>
    <row r="456" customFormat="false" ht="15" hidden="false" customHeight="false" outlineLevel="0" collapsed="false">
      <c r="A456" s="21" t="s">
        <v>705</v>
      </c>
      <c r="B456" s="21" t="s">
        <v>511</v>
      </c>
      <c r="C456" s="21"/>
      <c r="D456" s="37" t="s">
        <v>84</v>
      </c>
      <c r="E456" s="37" t="s">
        <v>84</v>
      </c>
      <c r="F456" s="37" t="s">
        <v>153</v>
      </c>
      <c r="G456" s="21" t="s">
        <v>505</v>
      </c>
      <c r="H456" s="21" t="n">
        <v>0</v>
      </c>
      <c r="I456" s="21" t="s">
        <v>137</v>
      </c>
    </row>
    <row r="457" customFormat="false" ht="15" hidden="false" customHeight="false" outlineLevel="0" collapsed="false">
      <c r="A457" s="21" t="s">
        <v>706</v>
      </c>
      <c r="B457" s="21" t="s">
        <v>511</v>
      </c>
      <c r="C457" s="21"/>
      <c r="D457" s="37" t="s">
        <v>84</v>
      </c>
      <c r="E457" s="37" t="s">
        <v>84</v>
      </c>
      <c r="F457" s="37" t="s">
        <v>153</v>
      </c>
      <c r="G457" s="21" t="s">
        <v>505</v>
      </c>
      <c r="H457" s="21" t="n">
        <v>0</v>
      </c>
      <c r="I457" s="21" t="s">
        <v>137</v>
      </c>
    </row>
    <row r="458" customFormat="false" ht="15" hidden="false" customHeight="false" outlineLevel="0" collapsed="false">
      <c r="A458" s="21" t="s">
        <v>707</v>
      </c>
      <c r="B458" s="21" t="s">
        <v>511</v>
      </c>
      <c r="C458" s="21"/>
      <c r="D458" s="37" t="s">
        <v>84</v>
      </c>
      <c r="E458" s="37" t="s">
        <v>84</v>
      </c>
      <c r="F458" s="37" t="s">
        <v>153</v>
      </c>
      <c r="G458" s="21" t="s">
        <v>505</v>
      </c>
      <c r="H458" s="21" t="n">
        <v>0</v>
      </c>
      <c r="I458" s="21" t="s">
        <v>137</v>
      </c>
    </row>
    <row r="459" customFormat="false" ht="15" hidden="false" customHeight="false" outlineLevel="0" collapsed="false">
      <c r="A459" s="21" t="s">
        <v>708</v>
      </c>
      <c r="B459" s="21" t="s">
        <v>511</v>
      </c>
      <c r="C459" s="21"/>
      <c r="D459" s="37" t="s">
        <v>84</v>
      </c>
      <c r="E459" s="37" t="s">
        <v>84</v>
      </c>
      <c r="F459" s="37" t="s">
        <v>153</v>
      </c>
      <c r="G459" s="21" t="s">
        <v>514</v>
      </c>
      <c r="H459" s="21" t="n">
        <v>0</v>
      </c>
      <c r="I459" s="21" t="s">
        <v>137</v>
      </c>
    </row>
    <row r="460" customFormat="false" ht="15" hidden="false" customHeight="false" outlineLevel="0" collapsed="false">
      <c r="A460" s="21" t="s">
        <v>709</v>
      </c>
      <c r="B460" s="21" t="s">
        <v>511</v>
      </c>
      <c r="C460" s="21"/>
      <c r="D460" s="37" t="s">
        <v>84</v>
      </c>
      <c r="E460" s="37" t="s">
        <v>84</v>
      </c>
      <c r="F460" s="37" t="s">
        <v>153</v>
      </c>
      <c r="G460" s="21" t="s">
        <v>514</v>
      </c>
      <c r="H460" s="21" t="n">
        <v>0</v>
      </c>
      <c r="I460" s="21" t="s">
        <v>137</v>
      </c>
    </row>
    <row r="461" customFormat="false" ht="15" hidden="false" customHeight="false" outlineLevel="0" collapsed="false">
      <c r="A461" s="21" t="s">
        <v>710</v>
      </c>
      <c r="B461" s="21" t="s">
        <v>511</v>
      </c>
      <c r="C461" s="21"/>
      <c r="D461" s="37" t="s">
        <v>84</v>
      </c>
      <c r="E461" s="37" t="s">
        <v>84</v>
      </c>
      <c r="F461" s="37" t="s">
        <v>153</v>
      </c>
      <c r="G461" s="21" t="s">
        <v>514</v>
      </c>
      <c r="H461" s="21" t="n">
        <v>0</v>
      </c>
      <c r="I461" s="21" t="s">
        <v>137</v>
      </c>
    </row>
    <row r="462" customFormat="false" ht="15" hidden="false" customHeight="false" outlineLevel="0" collapsed="false">
      <c r="A462" s="21" t="s">
        <v>711</v>
      </c>
      <c r="B462" s="21" t="s">
        <v>511</v>
      </c>
      <c r="C462" s="21"/>
      <c r="D462" s="37" t="s">
        <v>84</v>
      </c>
      <c r="E462" s="37" t="s">
        <v>84</v>
      </c>
      <c r="F462" s="37" t="s">
        <v>153</v>
      </c>
      <c r="G462" s="21" t="s">
        <v>505</v>
      </c>
      <c r="H462" s="21" t="n">
        <v>0</v>
      </c>
      <c r="I462" s="21" t="s">
        <v>137</v>
      </c>
    </row>
    <row r="463" customFormat="false" ht="15" hidden="false" customHeight="false" outlineLevel="0" collapsed="false">
      <c r="A463" s="21" t="s">
        <v>712</v>
      </c>
      <c r="B463" s="21" t="s">
        <v>513</v>
      </c>
      <c r="C463" s="21"/>
      <c r="D463" s="37" t="s">
        <v>84</v>
      </c>
      <c r="E463" s="37" t="s">
        <v>84</v>
      </c>
      <c r="F463" s="37" t="s">
        <v>153</v>
      </c>
      <c r="G463" s="21" t="s">
        <v>514</v>
      </c>
      <c r="H463" s="21" t="n">
        <v>0</v>
      </c>
      <c r="I463" s="21" t="s">
        <v>137</v>
      </c>
    </row>
    <row r="464" customFormat="false" ht="15" hidden="false" customHeight="false" outlineLevel="0" collapsed="false">
      <c r="A464" s="21" t="s">
        <v>713</v>
      </c>
      <c r="B464" s="21" t="s">
        <v>513</v>
      </c>
      <c r="C464" s="21"/>
      <c r="D464" s="37" t="s">
        <v>84</v>
      </c>
      <c r="E464" s="37" t="s">
        <v>84</v>
      </c>
      <c r="F464" s="37" t="s">
        <v>153</v>
      </c>
      <c r="G464" s="21" t="s">
        <v>505</v>
      </c>
      <c r="H464" s="21" t="n">
        <v>0</v>
      </c>
      <c r="I464" s="21" t="s">
        <v>137</v>
      </c>
    </row>
    <row r="465" customFormat="false" ht="15" hidden="false" customHeight="false" outlineLevel="0" collapsed="false">
      <c r="A465" s="21" t="s">
        <v>714</v>
      </c>
      <c r="B465" s="21" t="s">
        <v>511</v>
      </c>
      <c r="C465" s="21"/>
      <c r="D465" s="37" t="s">
        <v>84</v>
      </c>
      <c r="E465" s="37" t="s">
        <v>84</v>
      </c>
      <c r="F465" s="37" t="s">
        <v>153</v>
      </c>
      <c r="G465" s="21" t="s">
        <v>514</v>
      </c>
      <c r="H465" s="21" t="n">
        <v>0</v>
      </c>
      <c r="I465" s="21" t="s">
        <v>137</v>
      </c>
    </row>
    <row r="466" customFormat="false" ht="15" hidden="false" customHeight="false" outlineLevel="0" collapsed="false">
      <c r="A466" s="21" t="s">
        <v>715</v>
      </c>
      <c r="B466" s="21" t="s">
        <v>513</v>
      </c>
      <c r="C466" s="21"/>
      <c r="D466" s="37" t="s">
        <v>84</v>
      </c>
      <c r="E466" s="37" t="s">
        <v>84</v>
      </c>
      <c r="F466" s="37" t="s">
        <v>153</v>
      </c>
      <c r="G466" s="21" t="s">
        <v>514</v>
      </c>
      <c r="H466" s="21" t="n">
        <v>0</v>
      </c>
      <c r="I466" s="21" t="s">
        <v>137</v>
      </c>
    </row>
    <row r="467" customFormat="false" ht="15" hidden="false" customHeight="false" outlineLevel="0" collapsed="false">
      <c r="A467" s="21" t="s">
        <v>716</v>
      </c>
      <c r="B467" s="21" t="s">
        <v>513</v>
      </c>
      <c r="C467" s="21"/>
      <c r="D467" s="37" t="s">
        <v>84</v>
      </c>
      <c r="E467" s="37" t="s">
        <v>84</v>
      </c>
      <c r="F467" s="37" t="s">
        <v>153</v>
      </c>
      <c r="G467" s="21" t="s">
        <v>505</v>
      </c>
      <c r="H467" s="21" t="n">
        <v>0</v>
      </c>
      <c r="I467" s="21" t="s">
        <v>137</v>
      </c>
    </row>
    <row r="468" customFormat="false" ht="15" hidden="false" customHeight="false" outlineLevel="0" collapsed="false">
      <c r="A468" s="21" t="s">
        <v>717</v>
      </c>
      <c r="B468" s="21" t="s">
        <v>569</v>
      </c>
      <c r="C468" s="21"/>
      <c r="D468" s="37" t="s">
        <v>84</v>
      </c>
      <c r="E468" s="37" t="s">
        <v>84</v>
      </c>
      <c r="F468" s="37" t="s">
        <v>153</v>
      </c>
      <c r="G468" s="21" t="s">
        <v>514</v>
      </c>
      <c r="H468" s="21" t="n">
        <v>0</v>
      </c>
      <c r="I468" s="21" t="s">
        <v>137</v>
      </c>
    </row>
    <row r="469" customFormat="false" ht="15" hidden="false" customHeight="false" outlineLevel="0" collapsed="false">
      <c r="A469" s="21" t="s">
        <v>718</v>
      </c>
      <c r="B469" s="21" t="s">
        <v>511</v>
      </c>
      <c r="C469" s="21"/>
      <c r="D469" s="37" t="s">
        <v>84</v>
      </c>
      <c r="E469" s="37" t="s">
        <v>84</v>
      </c>
      <c r="F469" s="37" t="s">
        <v>153</v>
      </c>
      <c r="G469" s="21" t="s">
        <v>514</v>
      </c>
      <c r="H469" s="21" t="n">
        <v>0</v>
      </c>
      <c r="I469" s="21" t="s">
        <v>137</v>
      </c>
    </row>
    <row r="470" customFormat="false" ht="15" hidden="false" customHeight="false" outlineLevel="0" collapsed="false">
      <c r="A470" s="21" t="s">
        <v>719</v>
      </c>
      <c r="B470" s="21" t="s">
        <v>513</v>
      </c>
      <c r="C470" s="21"/>
      <c r="D470" s="37" t="s">
        <v>84</v>
      </c>
      <c r="E470" s="37" t="s">
        <v>84</v>
      </c>
      <c r="F470" s="37" t="s">
        <v>153</v>
      </c>
      <c r="G470" s="21" t="s">
        <v>505</v>
      </c>
      <c r="H470" s="21" t="n">
        <v>0</v>
      </c>
      <c r="I470" s="21" t="s">
        <v>137</v>
      </c>
    </row>
    <row r="471" customFormat="false" ht="15" hidden="false" customHeight="false" outlineLevel="0" collapsed="false">
      <c r="A471" s="21" t="s">
        <v>720</v>
      </c>
      <c r="B471" s="21" t="s">
        <v>513</v>
      </c>
      <c r="C471" s="21"/>
      <c r="D471" s="37" t="s">
        <v>84</v>
      </c>
      <c r="E471" s="37" t="s">
        <v>84</v>
      </c>
      <c r="F471" s="37" t="s">
        <v>153</v>
      </c>
      <c r="G471" s="21" t="s">
        <v>505</v>
      </c>
      <c r="H471" s="21" t="n">
        <v>0</v>
      </c>
      <c r="I471" s="21" t="s">
        <v>137</v>
      </c>
    </row>
    <row r="472" customFormat="false" ht="15" hidden="false" customHeight="false" outlineLevel="0" collapsed="false">
      <c r="A472" s="21" t="s">
        <v>721</v>
      </c>
      <c r="B472" s="21" t="s">
        <v>511</v>
      </c>
      <c r="C472" s="21"/>
      <c r="D472" s="37" t="s">
        <v>84</v>
      </c>
      <c r="E472" s="37" t="s">
        <v>84</v>
      </c>
      <c r="F472" s="37" t="s">
        <v>153</v>
      </c>
      <c r="G472" s="21" t="s">
        <v>514</v>
      </c>
      <c r="H472" s="21" t="n">
        <v>0</v>
      </c>
      <c r="I472" s="21" t="s">
        <v>137</v>
      </c>
    </row>
    <row r="473" customFormat="false" ht="15" hidden="false" customHeight="false" outlineLevel="0" collapsed="false">
      <c r="A473" s="21" t="s">
        <v>722</v>
      </c>
      <c r="B473" s="21" t="s">
        <v>511</v>
      </c>
      <c r="C473" s="21"/>
      <c r="D473" s="37" t="s">
        <v>84</v>
      </c>
      <c r="E473" s="37" t="s">
        <v>84</v>
      </c>
      <c r="F473" s="37" t="s">
        <v>153</v>
      </c>
      <c r="G473" s="21" t="s">
        <v>514</v>
      </c>
      <c r="H473" s="21" t="n">
        <v>0</v>
      </c>
      <c r="I473" s="21" t="s">
        <v>137</v>
      </c>
    </row>
    <row r="474" customFormat="false" ht="15" hidden="false" customHeight="false" outlineLevel="0" collapsed="false">
      <c r="A474" s="21" t="s">
        <v>723</v>
      </c>
      <c r="B474" s="21" t="s">
        <v>513</v>
      </c>
      <c r="C474" s="21"/>
      <c r="D474" s="37" t="s">
        <v>84</v>
      </c>
      <c r="E474" s="37" t="s">
        <v>84</v>
      </c>
      <c r="F474" s="37" t="s">
        <v>153</v>
      </c>
      <c r="G474" s="21" t="s">
        <v>505</v>
      </c>
      <c r="H474" s="21" t="n">
        <v>0</v>
      </c>
      <c r="I474" s="21" t="s">
        <v>137</v>
      </c>
    </row>
    <row r="475" customFormat="false" ht="15" hidden="false" customHeight="false" outlineLevel="0" collapsed="false">
      <c r="A475" s="21" t="s">
        <v>724</v>
      </c>
      <c r="B475" s="21" t="s">
        <v>511</v>
      </c>
      <c r="C475" s="21"/>
      <c r="D475" s="37" t="s">
        <v>84</v>
      </c>
      <c r="E475" s="37" t="s">
        <v>84</v>
      </c>
      <c r="F475" s="37" t="s">
        <v>153</v>
      </c>
      <c r="G475" s="21" t="s">
        <v>505</v>
      </c>
      <c r="H475" s="21" t="n">
        <v>0</v>
      </c>
      <c r="I475" s="21" t="s">
        <v>137</v>
      </c>
    </row>
    <row r="476" customFormat="false" ht="15" hidden="false" customHeight="false" outlineLevel="0" collapsed="false">
      <c r="A476" s="21" t="s">
        <v>725</v>
      </c>
      <c r="B476" s="21" t="s">
        <v>511</v>
      </c>
      <c r="C476" s="21"/>
      <c r="D476" s="37" t="s">
        <v>84</v>
      </c>
      <c r="E476" s="37" t="s">
        <v>84</v>
      </c>
      <c r="F476" s="37" t="s">
        <v>153</v>
      </c>
      <c r="G476" s="21" t="s">
        <v>505</v>
      </c>
      <c r="H476" s="21" t="n">
        <v>0</v>
      </c>
      <c r="I476" s="21" t="s">
        <v>137</v>
      </c>
    </row>
    <row r="477" customFormat="false" ht="15" hidden="false" customHeight="false" outlineLevel="0" collapsed="false">
      <c r="A477" s="21" t="s">
        <v>726</v>
      </c>
      <c r="B477" s="21" t="s">
        <v>511</v>
      </c>
      <c r="C477" s="21"/>
      <c r="D477" s="37" t="s">
        <v>84</v>
      </c>
      <c r="E477" s="37" t="s">
        <v>84</v>
      </c>
      <c r="F477" s="37" t="s">
        <v>153</v>
      </c>
      <c r="G477" s="21" t="s">
        <v>514</v>
      </c>
      <c r="H477" s="21" t="n">
        <v>0</v>
      </c>
      <c r="I477" s="21" t="s">
        <v>137</v>
      </c>
    </row>
    <row r="478" customFormat="false" ht="15" hidden="false" customHeight="false" outlineLevel="0" collapsed="false">
      <c r="A478" s="21" t="s">
        <v>727</v>
      </c>
      <c r="B478" s="21" t="s">
        <v>513</v>
      </c>
      <c r="C478" s="21"/>
      <c r="D478" s="37" t="s">
        <v>84</v>
      </c>
      <c r="E478" s="37" t="s">
        <v>84</v>
      </c>
      <c r="F478" s="37" t="s">
        <v>153</v>
      </c>
      <c r="G478" s="21" t="s">
        <v>505</v>
      </c>
      <c r="H478" s="21" t="n">
        <v>0</v>
      </c>
      <c r="I478" s="21" t="s">
        <v>137</v>
      </c>
    </row>
    <row r="479" customFormat="false" ht="15" hidden="false" customHeight="false" outlineLevel="0" collapsed="false">
      <c r="A479" s="21" t="s">
        <v>728</v>
      </c>
      <c r="B479" s="21" t="s">
        <v>511</v>
      </c>
      <c r="C479" s="21"/>
      <c r="D479" s="37" t="s">
        <v>84</v>
      </c>
      <c r="E479" s="37" t="s">
        <v>84</v>
      </c>
      <c r="F479" s="37" t="s">
        <v>153</v>
      </c>
      <c r="G479" s="21" t="s">
        <v>505</v>
      </c>
      <c r="H479" s="21" t="n">
        <v>0</v>
      </c>
      <c r="I479" s="21" t="s">
        <v>137</v>
      </c>
    </row>
    <row r="480" customFormat="false" ht="15" hidden="false" customHeight="false" outlineLevel="0" collapsed="false">
      <c r="A480" s="21" t="s">
        <v>729</v>
      </c>
      <c r="B480" s="21" t="s">
        <v>569</v>
      </c>
      <c r="C480" s="21"/>
      <c r="D480" s="37" t="s">
        <v>84</v>
      </c>
      <c r="E480" s="37" t="s">
        <v>84</v>
      </c>
      <c r="F480" s="37" t="s">
        <v>153</v>
      </c>
      <c r="G480" s="21" t="s">
        <v>505</v>
      </c>
      <c r="H480" s="21" t="n">
        <v>0</v>
      </c>
      <c r="I480" s="21" t="s">
        <v>137</v>
      </c>
    </row>
    <row r="481" customFormat="false" ht="15" hidden="false" customHeight="false" outlineLevel="0" collapsed="false">
      <c r="A481" s="21" t="s">
        <v>730</v>
      </c>
      <c r="B481" s="21" t="s">
        <v>511</v>
      </c>
      <c r="C481" s="21"/>
      <c r="D481" s="37" t="s">
        <v>84</v>
      </c>
      <c r="E481" s="37" t="s">
        <v>84</v>
      </c>
      <c r="F481" s="37" t="s">
        <v>153</v>
      </c>
      <c r="G481" s="21" t="s">
        <v>514</v>
      </c>
      <c r="H481" s="21" t="n">
        <v>0</v>
      </c>
      <c r="I481" s="21" t="s">
        <v>137</v>
      </c>
    </row>
    <row r="482" customFormat="false" ht="15" hidden="false" customHeight="false" outlineLevel="0" collapsed="false">
      <c r="A482" s="21" t="s">
        <v>731</v>
      </c>
      <c r="B482" s="21" t="s">
        <v>511</v>
      </c>
      <c r="C482" s="21"/>
      <c r="D482" s="37" t="s">
        <v>84</v>
      </c>
      <c r="E482" s="37" t="s">
        <v>84</v>
      </c>
      <c r="F482" s="37" t="s">
        <v>153</v>
      </c>
      <c r="G482" s="21" t="s">
        <v>514</v>
      </c>
      <c r="H482" s="21" t="n">
        <v>0</v>
      </c>
      <c r="I482" s="21" t="s">
        <v>137</v>
      </c>
    </row>
    <row r="483" customFormat="false" ht="15" hidden="false" customHeight="false" outlineLevel="0" collapsed="false">
      <c r="A483" s="21" t="s">
        <v>732</v>
      </c>
      <c r="B483" s="21" t="s">
        <v>511</v>
      </c>
      <c r="C483" s="21"/>
      <c r="D483" s="37" t="s">
        <v>84</v>
      </c>
      <c r="E483" s="37" t="s">
        <v>84</v>
      </c>
      <c r="F483" s="37" t="s">
        <v>153</v>
      </c>
      <c r="G483" s="21" t="s">
        <v>505</v>
      </c>
      <c r="H483" s="21" t="n">
        <v>0</v>
      </c>
      <c r="I483" s="21" t="s">
        <v>137</v>
      </c>
    </row>
    <row r="484" customFormat="false" ht="15" hidden="false" customHeight="false" outlineLevel="0" collapsed="false">
      <c r="A484" s="21" t="s">
        <v>733</v>
      </c>
      <c r="B484" s="21" t="s">
        <v>511</v>
      </c>
      <c r="C484" s="21"/>
      <c r="D484" s="37" t="s">
        <v>84</v>
      </c>
      <c r="E484" s="37" t="s">
        <v>84</v>
      </c>
      <c r="F484" s="37" t="s">
        <v>153</v>
      </c>
      <c r="G484" s="21" t="s">
        <v>505</v>
      </c>
      <c r="H484" s="21" t="n">
        <v>0</v>
      </c>
      <c r="I484" s="21" t="s">
        <v>137</v>
      </c>
    </row>
    <row r="485" customFormat="false" ht="15" hidden="false" customHeight="false" outlineLevel="0" collapsed="false">
      <c r="A485" s="21" t="s">
        <v>734</v>
      </c>
      <c r="B485" s="21" t="s">
        <v>511</v>
      </c>
      <c r="C485" s="21"/>
      <c r="D485" s="37" t="s">
        <v>84</v>
      </c>
      <c r="E485" s="37" t="s">
        <v>84</v>
      </c>
      <c r="F485" s="37" t="s">
        <v>153</v>
      </c>
      <c r="G485" s="21" t="s">
        <v>505</v>
      </c>
      <c r="H485" s="21" t="n">
        <v>0</v>
      </c>
      <c r="I485" s="21" t="s">
        <v>137</v>
      </c>
    </row>
    <row r="486" customFormat="false" ht="15" hidden="false" customHeight="false" outlineLevel="0" collapsed="false">
      <c r="A486" s="21" t="s">
        <v>735</v>
      </c>
      <c r="B486" s="21" t="s">
        <v>513</v>
      </c>
      <c r="C486" s="21"/>
      <c r="D486" s="37" t="s">
        <v>84</v>
      </c>
      <c r="E486" s="37" t="s">
        <v>84</v>
      </c>
      <c r="F486" s="37" t="s">
        <v>153</v>
      </c>
      <c r="G486" s="21" t="s">
        <v>514</v>
      </c>
      <c r="H486" s="21" t="n">
        <v>0</v>
      </c>
      <c r="I486" s="21" t="s">
        <v>137</v>
      </c>
    </row>
    <row r="487" customFormat="false" ht="15" hidden="false" customHeight="false" outlineLevel="0" collapsed="false">
      <c r="A487" s="21" t="s">
        <v>736</v>
      </c>
      <c r="B487" s="21" t="s">
        <v>511</v>
      </c>
      <c r="C487" s="21"/>
      <c r="D487" s="37" t="s">
        <v>84</v>
      </c>
      <c r="E487" s="37" t="s">
        <v>84</v>
      </c>
      <c r="F487" s="37" t="s">
        <v>153</v>
      </c>
      <c r="G487" s="21" t="s">
        <v>505</v>
      </c>
      <c r="H487" s="21" t="n">
        <v>0</v>
      </c>
      <c r="I487" s="21" t="s">
        <v>137</v>
      </c>
    </row>
    <row r="488" customFormat="false" ht="15" hidden="false" customHeight="false" outlineLevel="0" collapsed="false">
      <c r="A488" s="21" t="s">
        <v>737</v>
      </c>
      <c r="B488" s="21" t="s">
        <v>513</v>
      </c>
      <c r="C488" s="21"/>
      <c r="D488" s="37" t="s">
        <v>84</v>
      </c>
      <c r="E488" s="37" t="s">
        <v>84</v>
      </c>
      <c r="F488" s="37" t="s">
        <v>153</v>
      </c>
      <c r="G488" s="21" t="s">
        <v>514</v>
      </c>
      <c r="H488" s="21" t="n">
        <v>0</v>
      </c>
      <c r="I488" s="21" t="s">
        <v>137</v>
      </c>
    </row>
    <row r="489" customFormat="false" ht="15" hidden="false" customHeight="false" outlineLevel="0" collapsed="false">
      <c r="A489" s="21" t="s">
        <v>738</v>
      </c>
      <c r="B489" s="21" t="s">
        <v>513</v>
      </c>
      <c r="C489" s="21"/>
      <c r="D489" s="37" t="s">
        <v>84</v>
      </c>
      <c r="E489" s="37" t="s">
        <v>84</v>
      </c>
      <c r="F489" s="37" t="s">
        <v>153</v>
      </c>
      <c r="G489" s="21" t="s">
        <v>514</v>
      </c>
      <c r="H489" s="21" t="n">
        <v>0</v>
      </c>
      <c r="I489" s="21" t="s">
        <v>137</v>
      </c>
    </row>
    <row r="490" customFormat="false" ht="15" hidden="false" customHeight="false" outlineLevel="0" collapsed="false">
      <c r="A490" s="21" t="s">
        <v>739</v>
      </c>
      <c r="B490" s="21" t="s">
        <v>513</v>
      </c>
      <c r="C490" s="21"/>
      <c r="D490" s="37" t="s">
        <v>84</v>
      </c>
      <c r="E490" s="37" t="s">
        <v>84</v>
      </c>
      <c r="F490" s="37" t="s">
        <v>153</v>
      </c>
      <c r="G490" s="21" t="s">
        <v>505</v>
      </c>
      <c r="H490" s="21" t="n">
        <v>0</v>
      </c>
      <c r="I490" s="21" t="s">
        <v>137</v>
      </c>
    </row>
    <row r="491" customFormat="false" ht="15" hidden="false" customHeight="false" outlineLevel="0" collapsed="false">
      <c r="A491" s="21" t="s">
        <v>740</v>
      </c>
      <c r="B491" s="21" t="s">
        <v>511</v>
      </c>
      <c r="C491" s="21"/>
      <c r="D491" s="37" t="s">
        <v>84</v>
      </c>
      <c r="E491" s="37" t="s">
        <v>84</v>
      </c>
      <c r="F491" s="37" t="s">
        <v>153</v>
      </c>
      <c r="G491" s="21" t="s">
        <v>514</v>
      </c>
      <c r="H491" s="21" t="n">
        <v>0</v>
      </c>
      <c r="I491" s="21" t="s">
        <v>137</v>
      </c>
    </row>
    <row r="492" customFormat="false" ht="15" hidden="false" customHeight="false" outlineLevel="0" collapsed="false">
      <c r="A492" s="21" t="s">
        <v>741</v>
      </c>
      <c r="B492" s="21" t="s">
        <v>513</v>
      </c>
      <c r="C492" s="21"/>
      <c r="D492" s="37" t="s">
        <v>84</v>
      </c>
      <c r="E492" s="37" t="s">
        <v>84</v>
      </c>
      <c r="F492" s="37" t="s">
        <v>153</v>
      </c>
      <c r="G492" s="21" t="s">
        <v>505</v>
      </c>
      <c r="H492" s="21" t="n">
        <v>0</v>
      </c>
      <c r="I492" s="21" t="s">
        <v>137</v>
      </c>
    </row>
    <row r="493" customFormat="false" ht="15" hidden="false" customHeight="false" outlineLevel="0" collapsed="false">
      <c r="A493" s="21" t="s">
        <v>742</v>
      </c>
      <c r="B493" s="21" t="s">
        <v>511</v>
      </c>
      <c r="C493" s="21"/>
      <c r="D493" s="37" t="s">
        <v>84</v>
      </c>
      <c r="E493" s="37" t="s">
        <v>84</v>
      </c>
      <c r="F493" s="37" t="s">
        <v>153</v>
      </c>
      <c r="G493" s="21" t="s">
        <v>505</v>
      </c>
      <c r="H493" s="21" t="n">
        <v>0</v>
      </c>
      <c r="I493" s="21" t="s">
        <v>137</v>
      </c>
    </row>
    <row r="494" customFormat="false" ht="15" hidden="false" customHeight="false" outlineLevel="0" collapsed="false">
      <c r="A494" s="21" t="s">
        <v>743</v>
      </c>
      <c r="B494" s="21" t="s">
        <v>513</v>
      </c>
      <c r="C494" s="21"/>
      <c r="D494" s="37" t="s">
        <v>84</v>
      </c>
      <c r="E494" s="37" t="s">
        <v>84</v>
      </c>
      <c r="F494" s="37" t="s">
        <v>153</v>
      </c>
      <c r="G494" s="21" t="s">
        <v>514</v>
      </c>
      <c r="H494" s="21" t="n">
        <v>0</v>
      </c>
      <c r="I494" s="21" t="s">
        <v>137</v>
      </c>
    </row>
    <row r="495" customFormat="false" ht="15" hidden="false" customHeight="false" outlineLevel="0" collapsed="false">
      <c r="A495" s="21" t="s">
        <v>744</v>
      </c>
      <c r="B495" s="21" t="s">
        <v>513</v>
      </c>
      <c r="C495" s="21"/>
      <c r="D495" s="37" t="s">
        <v>84</v>
      </c>
      <c r="E495" s="37" t="s">
        <v>84</v>
      </c>
      <c r="F495" s="37" t="s">
        <v>153</v>
      </c>
      <c r="G495" s="21" t="s">
        <v>505</v>
      </c>
      <c r="H495" s="21" t="n">
        <v>0</v>
      </c>
      <c r="I495" s="21" t="s">
        <v>137</v>
      </c>
    </row>
    <row r="496" customFormat="false" ht="15" hidden="false" customHeight="false" outlineLevel="0" collapsed="false">
      <c r="A496" s="21" t="s">
        <v>745</v>
      </c>
      <c r="B496" s="21" t="s">
        <v>511</v>
      </c>
      <c r="C496" s="21"/>
      <c r="D496" s="37" t="s">
        <v>84</v>
      </c>
      <c r="E496" s="37" t="s">
        <v>84</v>
      </c>
      <c r="F496" s="37" t="s">
        <v>153</v>
      </c>
      <c r="G496" s="21" t="s">
        <v>505</v>
      </c>
      <c r="H496" s="21" t="n">
        <v>0</v>
      </c>
      <c r="I496" s="21" t="s">
        <v>137</v>
      </c>
    </row>
    <row r="497" customFormat="false" ht="15" hidden="false" customHeight="false" outlineLevel="0" collapsed="false">
      <c r="A497" s="21" t="s">
        <v>746</v>
      </c>
      <c r="B497" s="21" t="s">
        <v>513</v>
      </c>
      <c r="C497" s="21"/>
      <c r="D497" s="37" t="s">
        <v>84</v>
      </c>
      <c r="E497" s="37" t="s">
        <v>84</v>
      </c>
      <c r="F497" s="37" t="s">
        <v>153</v>
      </c>
      <c r="G497" s="21" t="s">
        <v>505</v>
      </c>
      <c r="H497" s="21" t="n">
        <v>0</v>
      </c>
      <c r="I497" s="21" t="s">
        <v>137</v>
      </c>
    </row>
    <row r="498" customFormat="false" ht="15" hidden="false" customHeight="false" outlineLevel="0" collapsed="false">
      <c r="A498" s="21" t="s">
        <v>747</v>
      </c>
      <c r="B498" s="21" t="s">
        <v>569</v>
      </c>
      <c r="C498" s="21"/>
      <c r="D498" s="37" t="s">
        <v>84</v>
      </c>
      <c r="E498" s="37" t="s">
        <v>84</v>
      </c>
      <c r="F498" s="37" t="s">
        <v>153</v>
      </c>
      <c r="G498" s="21" t="s">
        <v>505</v>
      </c>
      <c r="H498" s="21" t="n">
        <v>0</v>
      </c>
      <c r="I498" s="21" t="s">
        <v>137</v>
      </c>
    </row>
    <row r="499" customFormat="false" ht="15" hidden="false" customHeight="false" outlineLevel="0" collapsed="false">
      <c r="A499" s="21" t="s">
        <v>748</v>
      </c>
      <c r="B499" s="21" t="s">
        <v>511</v>
      </c>
      <c r="C499" s="21"/>
      <c r="D499" s="37" t="s">
        <v>84</v>
      </c>
      <c r="E499" s="37" t="s">
        <v>84</v>
      </c>
      <c r="F499" s="37" t="s">
        <v>153</v>
      </c>
      <c r="G499" s="21" t="s">
        <v>514</v>
      </c>
      <c r="H499" s="21" t="n">
        <v>0</v>
      </c>
      <c r="I499" s="21" t="s">
        <v>137</v>
      </c>
    </row>
    <row r="500" customFormat="false" ht="15" hidden="false" customHeight="false" outlineLevel="0" collapsed="false">
      <c r="A500" s="21" t="s">
        <v>749</v>
      </c>
      <c r="B500" s="21" t="s">
        <v>511</v>
      </c>
      <c r="C500" s="21"/>
      <c r="D500" s="37" t="s">
        <v>84</v>
      </c>
      <c r="E500" s="37" t="s">
        <v>84</v>
      </c>
      <c r="F500" s="37" t="s">
        <v>153</v>
      </c>
      <c r="G500" s="21" t="s">
        <v>514</v>
      </c>
      <c r="H500" s="21" t="n">
        <v>0</v>
      </c>
      <c r="I500" s="21" t="s">
        <v>137</v>
      </c>
    </row>
    <row r="501" customFormat="false" ht="15" hidden="false" customHeight="false" outlineLevel="0" collapsed="false">
      <c r="A501" s="21" t="s">
        <v>750</v>
      </c>
      <c r="B501" s="21" t="s">
        <v>513</v>
      </c>
      <c r="C501" s="21"/>
      <c r="D501" s="37" t="s">
        <v>84</v>
      </c>
      <c r="E501" s="37" t="s">
        <v>84</v>
      </c>
      <c r="F501" s="37" t="s">
        <v>153</v>
      </c>
      <c r="G501" s="21" t="s">
        <v>505</v>
      </c>
      <c r="H501" s="21" t="n">
        <v>0</v>
      </c>
      <c r="I501" s="21" t="s">
        <v>137</v>
      </c>
    </row>
    <row r="502" customFormat="false" ht="15" hidden="false" customHeight="false" outlineLevel="0" collapsed="false">
      <c r="A502" s="21" t="s">
        <v>751</v>
      </c>
      <c r="B502" s="21" t="s">
        <v>513</v>
      </c>
      <c r="C502" s="21"/>
      <c r="D502" s="37" t="s">
        <v>84</v>
      </c>
      <c r="E502" s="37" t="s">
        <v>84</v>
      </c>
      <c r="F502" s="37" t="s">
        <v>153</v>
      </c>
      <c r="G502" s="21" t="s">
        <v>514</v>
      </c>
      <c r="H502" s="21" t="n">
        <v>0</v>
      </c>
      <c r="I502" s="21" t="s">
        <v>137</v>
      </c>
    </row>
    <row r="503" customFormat="false" ht="15" hidden="false" customHeight="false" outlineLevel="0" collapsed="false">
      <c r="A503" s="21" t="s">
        <v>752</v>
      </c>
      <c r="B503" s="21" t="s">
        <v>513</v>
      </c>
      <c r="C503" s="21"/>
      <c r="D503" s="37" t="s">
        <v>84</v>
      </c>
      <c r="E503" s="37" t="s">
        <v>84</v>
      </c>
      <c r="F503" s="37" t="s">
        <v>153</v>
      </c>
      <c r="G503" s="21" t="s">
        <v>505</v>
      </c>
      <c r="H503" s="21" t="n">
        <v>0</v>
      </c>
      <c r="I503" s="21" t="s">
        <v>137</v>
      </c>
    </row>
    <row r="504" customFormat="false" ht="15" hidden="false" customHeight="false" outlineLevel="0" collapsed="false">
      <c r="A504" s="21" t="s">
        <v>753</v>
      </c>
      <c r="B504" s="21" t="s">
        <v>511</v>
      </c>
      <c r="C504" s="21"/>
      <c r="D504" s="37" t="s">
        <v>84</v>
      </c>
      <c r="E504" s="37" t="s">
        <v>84</v>
      </c>
      <c r="F504" s="37" t="s">
        <v>153</v>
      </c>
      <c r="G504" s="21" t="s">
        <v>505</v>
      </c>
      <c r="H504" s="21" t="n">
        <v>0</v>
      </c>
      <c r="I504" s="21" t="s">
        <v>137</v>
      </c>
    </row>
    <row r="505" customFormat="false" ht="15" hidden="false" customHeight="false" outlineLevel="0" collapsed="false">
      <c r="A505" s="21" t="s">
        <v>754</v>
      </c>
      <c r="B505" s="21" t="s">
        <v>511</v>
      </c>
      <c r="C505" s="21"/>
      <c r="D505" s="37" t="s">
        <v>84</v>
      </c>
      <c r="E505" s="37" t="s">
        <v>84</v>
      </c>
      <c r="F505" s="37" t="s">
        <v>153</v>
      </c>
      <c r="G505" s="21" t="s">
        <v>514</v>
      </c>
      <c r="H505" s="21" t="n">
        <v>0</v>
      </c>
      <c r="I505" s="21" t="s">
        <v>137</v>
      </c>
    </row>
    <row r="506" customFormat="false" ht="15" hidden="false" customHeight="false" outlineLevel="0" collapsed="false">
      <c r="A506" s="21" t="s">
        <v>755</v>
      </c>
      <c r="B506" s="21" t="s">
        <v>511</v>
      </c>
      <c r="C506" s="21"/>
      <c r="D506" s="37" t="s">
        <v>84</v>
      </c>
      <c r="E506" s="37" t="s">
        <v>84</v>
      </c>
      <c r="F506" s="37" t="s">
        <v>153</v>
      </c>
      <c r="G506" s="21" t="s">
        <v>514</v>
      </c>
      <c r="H506" s="21" t="n">
        <v>0</v>
      </c>
      <c r="I506" s="21" t="s">
        <v>137</v>
      </c>
    </row>
    <row r="507" customFormat="false" ht="15" hidden="false" customHeight="false" outlineLevel="0" collapsed="false">
      <c r="A507" s="21" t="s">
        <v>756</v>
      </c>
      <c r="B507" s="21" t="s">
        <v>511</v>
      </c>
      <c r="C507" s="21"/>
      <c r="D507" s="37" t="s">
        <v>84</v>
      </c>
      <c r="E507" s="37" t="s">
        <v>84</v>
      </c>
      <c r="F507" s="37" t="s">
        <v>153</v>
      </c>
      <c r="G507" s="21" t="s">
        <v>505</v>
      </c>
      <c r="H507" s="21" t="n">
        <v>0</v>
      </c>
      <c r="I507" s="21" t="s">
        <v>137</v>
      </c>
    </row>
    <row r="508" customFormat="false" ht="15" hidden="false" customHeight="false" outlineLevel="0" collapsed="false">
      <c r="A508" s="21" t="s">
        <v>757</v>
      </c>
      <c r="B508" s="21" t="s">
        <v>511</v>
      </c>
      <c r="C508" s="21"/>
      <c r="D508" s="37" t="s">
        <v>84</v>
      </c>
      <c r="E508" s="37" t="s">
        <v>84</v>
      </c>
      <c r="F508" s="37" t="s">
        <v>153</v>
      </c>
      <c r="G508" s="21" t="s">
        <v>514</v>
      </c>
      <c r="H508" s="21" t="n">
        <v>0</v>
      </c>
      <c r="I508" s="21" t="s">
        <v>137</v>
      </c>
    </row>
    <row r="509" customFormat="false" ht="15" hidden="false" customHeight="false" outlineLevel="0" collapsed="false">
      <c r="A509" s="21" t="s">
        <v>758</v>
      </c>
      <c r="B509" s="21" t="s">
        <v>513</v>
      </c>
      <c r="C509" s="21"/>
      <c r="D509" s="37" t="s">
        <v>84</v>
      </c>
      <c r="E509" s="37" t="s">
        <v>84</v>
      </c>
      <c r="F509" s="37" t="s">
        <v>153</v>
      </c>
      <c r="G509" s="21" t="s">
        <v>514</v>
      </c>
      <c r="H509" s="21" t="n">
        <v>0</v>
      </c>
      <c r="I509" s="21" t="s">
        <v>137</v>
      </c>
    </row>
    <row r="510" customFormat="false" ht="15" hidden="false" customHeight="false" outlineLevel="0" collapsed="false">
      <c r="A510" s="21" t="s">
        <v>759</v>
      </c>
      <c r="B510" s="21" t="s">
        <v>513</v>
      </c>
      <c r="C510" s="21"/>
      <c r="D510" s="37" t="s">
        <v>84</v>
      </c>
      <c r="E510" s="37" t="s">
        <v>84</v>
      </c>
      <c r="F510" s="37" t="s">
        <v>153</v>
      </c>
      <c r="G510" s="21" t="s">
        <v>514</v>
      </c>
      <c r="H510" s="21" t="n">
        <v>0</v>
      </c>
      <c r="I510" s="21" t="s">
        <v>137</v>
      </c>
    </row>
    <row r="511" customFormat="false" ht="15" hidden="false" customHeight="false" outlineLevel="0" collapsed="false">
      <c r="A511" s="21" t="s">
        <v>760</v>
      </c>
      <c r="B511" s="21" t="s">
        <v>511</v>
      </c>
      <c r="C511" s="21"/>
      <c r="D511" s="37" t="s">
        <v>84</v>
      </c>
      <c r="E511" s="37" t="s">
        <v>84</v>
      </c>
      <c r="F511" s="37" t="s">
        <v>153</v>
      </c>
      <c r="G511" s="21" t="s">
        <v>514</v>
      </c>
      <c r="H511" s="21" t="n">
        <v>0</v>
      </c>
      <c r="I511" s="21" t="s">
        <v>137</v>
      </c>
    </row>
    <row r="512" customFormat="false" ht="15" hidden="false" customHeight="false" outlineLevel="0" collapsed="false">
      <c r="A512" s="21" t="s">
        <v>761</v>
      </c>
      <c r="B512" s="21" t="s">
        <v>513</v>
      </c>
      <c r="C512" s="21"/>
      <c r="D512" s="37" t="s">
        <v>84</v>
      </c>
      <c r="E512" s="37" t="s">
        <v>84</v>
      </c>
      <c r="F512" s="37" t="s">
        <v>153</v>
      </c>
      <c r="G512" s="21" t="s">
        <v>514</v>
      </c>
      <c r="H512" s="21" t="n">
        <v>0</v>
      </c>
      <c r="I512" s="21" t="s">
        <v>137</v>
      </c>
    </row>
    <row r="513" customFormat="false" ht="15" hidden="false" customHeight="false" outlineLevel="0" collapsed="false">
      <c r="A513" s="21" t="s">
        <v>762</v>
      </c>
      <c r="B513" s="21" t="s">
        <v>511</v>
      </c>
      <c r="C513" s="21"/>
      <c r="D513" s="37" t="s">
        <v>84</v>
      </c>
      <c r="E513" s="37" t="s">
        <v>84</v>
      </c>
      <c r="F513" s="37" t="s">
        <v>153</v>
      </c>
      <c r="G513" s="21" t="s">
        <v>505</v>
      </c>
      <c r="H513" s="21" t="n">
        <v>0</v>
      </c>
      <c r="I513" s="21" t="s">
        <v>137</v>
      </c>
    </row>
    <row r="514" customFormat="false" ht="15" hidden="false" customHeight="false" outlineLevel="0" collapsed="false">
      <c r="A514" s="21" t="s">
        <v>763</v>
      </c>
      <c r="B514" s="21" t="s">
        <v>513</v>
      </c>
      <c r="C514" s="21"/>
      <c r="D514" s="37" t="s">
        <v>84</v>
      </c>
      <c r="E514" s="37" t="s">
        <v>84</v>
      </c>
      <c r="F514" s="37" t="s">
        <v>153</v>
      </c>
      <c r="G514" s="21" t="s">
        <v>505</v>
      </c>
      <c r="H514" s="21" t="n">
        <v>0</v>
      </c>
      <c r="I514" s="21" t="s">
        <v>137</v>
      </c>
    </row>
    <row r="515" customFormat="false" ht="15" hidden="false" customHeight="false" outlineLevel="0" collapsed="false">
      <c r="A515" s="21" t="s">
        <v>764</v>
      </c>
      <c r="B515" s="21" t="s">
        <v>511</v>
      </c>
      <c r="C515" s="21"/>
      <c r="D515" s="37" t="s">
        <v>84</v>
      </c>
      <c r="E515" s="37" t="s">
        <v>84</v>
      </c>
      <c r="F515" s="37" t="s">
        <v>153</v>
      </c>
      <c r="G515" s="21" t="s">
        <v>514</v>
      </c>
      <c r="H515" s="21" t="n">
        <v>0</v>
      </c>
      <c r="I515" s="21" t="s">
        <v>137</v>
      </c>
    </row>
    <row r="516" customFormat="false" ht="15" hidden="false" customHeight="false" outlineLevel="0" collapsed="false">
      <c r="A516" s="21" t="s">
        <v>765</v>
      </c>
      <c r="B516" s="21" t="s">
        <v>511</v>
      </c>
      <c r="C516" s="21"/>
      <c r="D516" s="37" t="s">
        <v>84</v>
      </c>
      <c r="E516" s="37" t="s">
        <v>84</v>
      </c>
      <c r="F516" s="37" t="s">
        <v>153</v>
      </c>
      <c r="G516" s="21" t="s">
        <v>505</v>
      </c>
      <c r="H516" s="21" t="n">
        <v>0</v>
      </c>
      <c r="I516" s="21" t="s">
        <v>137</v>
      </c>
    </row>
    <row r="517" customFormat="false" ht="15" hidden="false" customHeight="false" outlineLevel="0" collapsed="false">
      <c r="A517" s="21" t="s">
        <v>766</v>
      </c>
      <c r="B517" s="21" t="s">
        <v>511</v>
      </c>
      <c r="C517" s="21"/>
      <c r="D517" s="37" t="s">
        <v>84</v>
      </c>
      <c r="E517" s="37" t="s">
        <v>84</v>
      </c>
      <c r="F517" s="37" t="s">
        <v>153</v>
      </c>
      <c r="G517" s="21" t="s">
        <v>514</v>
      </c>
      <c r="H517" s="21" t="n">
        <v>0</v>
      </c>
      <c r="I517" s="21" t="s">
        <v>137</v>
      </c>
    </row>
    <row r="518" customFormat="false" ht="15" hidden="false" customHeight="false" outlineLevel="0" collapsed="false">
      <c r="A518" s="21" t="s">
        <v>767</v>
      </c>
      <c r="B518" s="21" t="s">
        <v>513</v>
      </c>
      <c r="C518" s="21"/>
      <c r="D518" s="37" t="s">
        <v>84</v>
      </c>
      <c r="E518" s="37" t="s">
        <v>84</v>
      </c>
      <c r="F518" s="37" t="s">
        <v>153</v>
      </c>
      <c r="G518" s="21" t="s">
        <v>514</v>
      </c>
      <c r="H518" s="21" t="n">
        <v>0</v>
      </c>
      <c r="I518" s="21" t="s">
        <v>137</v>
      </c>
    </row>
    <row r="519" customFormat="false" ht="15" hidden="false" customHeight="false" outlineLevel="0" collapsed="false">
      <c r="A519" s="21" t="s">
        <v>768</v>
      </c>
      <c r="B519" s="21" t="s">
        <v>511</v>
      </c>
      <c r="C519" s="21"/>
      <c r="D519" s="37" t="s">
        <v>84</v>
      </c>
      <c r="E519" s="37" t="s">
        <v>84</v>
      </c>
      <c r="F519" s="37" t="s">
        <v>153</v>
      </c>
      <c r="G519" s="21" t="s">
        <v>505</v>
      </c>
      <c r="H519" s="21" t="n">
        <v>0</v>
      </c>
      <c r="I519" s="21" t="s">
        <v>137</v>
      </c>
    </row>
    <row r="520" customFormat="false" ht="15" hidden="false" customHeight="false" outlineLevel="0" collapsed="false">
      <c r="A520" s="21" t="s">
        <v>769</v>
      </c>
      <c r="B520" s="21" t="s">
        <v>511</v>
      </c>
      <c r="C520" s="21"/>
      <c r="D520" s="37" t="s">
        <v>84</v>
      </c>
      <c r="E520" s="37" t="s">
        <v>84</v>
      </c>
      <c r="F520" s="37" t="s">
        <v>153</v>
      </c>
      <c r="G520" s="21" t="s">
        <v>514</v>
      </c>
      <c r="H520" s="21" t="n">
        <v>0</v>
      </c>
      <c r="I520" s="21" t="s">
        <v>137</v>
      </c>
    </row>
    <row r="521" customFormat="false" ht="15" hidden="false" customHeight="false" outlineLevel="0" collapsed="false">
      <c r="A521" s="21" t="s">
        <v>770</v>
      </c>
      <c r="B521" s="21" t="s">
        <v>511</v>
      </c>
      <c r="C521" s="21"/>
      <c r="D521" s="37" t="s">
        <v>84</v>
      </c>
      <c r="E521" s="37" t="s">
        <v>84</v>
      </c>
      <c r="F521" s="37" t="s">
        <v>153</v>
      </c>
      <c r="G521" s="21" t="s">
        <v>505</v>
      </c>
      <c r="H521" s="21" t="n">
        <v>0</v>
      </c>
      <c r="I521" s="21" t="s">
        <v>137</v>
      </c>
    </row>
    <row r="522" customFormat="false" ht="15" hidden="false" customHeight="false" outlineLevel="0" collapsed="false">
      <c r="A522" s="21" t="s">
        <v>771</v>
      </c>
      <c r="B522" s="21" t="s">
        <v>513</v>
      </c>
      <c r="C522" s="21"/>
      <c r="D522" s="37" t="s">
        <v>84</v>
      </c>
      <c r="E522" s="37" t="s">
        <v>84</v>
      </c>
      <c r="F522" s="37" t="s">
        <v>153</v>
      </c>
      <c r="G522" s="21" t="s">
        <v>514</v>
      </c>
      <c r="H522" s="21" t="n">
        <v>0</v>
      </c>
      <c r="I522" s="21" t="s">
        <v>137</v>
      </c>
    </row>
    <row r="523" customFormat="false" ht="15" hidden="false" customHeight="false" outlineLevel="0" collapsed="false">
      <c r="A523" s="21" t="s">
        <v>772</v>
      </c>
      <c r="B523" s="21" t="s">
        <v>513</v>
      </c>
      <c r="C523" s="21"/>
      <c r="D523" s="37" t="s">
        <v>84</v>
      </c>
      <c r="E523" s="37" t="s">
        <v>84</v>
      </c>
      <c r="F523" s="37" t="s">
        <v>153</v>
      </c>
      <c r="G523" s="21" t="s">
        <v>505</v>
      </c>
      <c r="H523" s="21" t="n">
        <v>0</v>
      </c>
      <c r="I523" s="21" t="s">
        <v>137</v>
      </c>
    </row>
    <row r="524" customFormat="false" ht="15" hidden="false" customHeight="false" outlineLevel="0" collapsed="false">
      <c r="A524" s="21" t="s">
        <v>773</v>
      </c>
      <c r="B524" s="21" t="s">
        <v>513</v>
      </c>
      <c r="C524" s="21"/>
      <c r="D524" s="37" t="s">
        <v>84</v>
      </c>
      <c r="E524" s="37" t="s">
        <v>84</v>
      </c>
      <c r="F524" s="37" t="s">
        <v>153</v>
      </c>
      <c r="G524" s="21" t="s">
        <v>514</v>
      </c>
      <c r="H524" s="21" t="n">
        <v>0</v>
      </c>
      <c r="I524" s="21" t="s">
        <v>137</v>
      </c>
    </row>
    <row r="525" customFormat="false" ht="15" hidden="false" customHeight="false" outlineLevel="0" collapsed="false">
      <c r="A525" s="21" t="s">
        <v>774</v>
      </c>
      <c r="B525" s="21" t="s">
        <v>511</v>
      </c>
      <c r="C525" s="21"/>
      <c r="D525" s="37" t="s">
        <v>84</v>
      </c>
      <c r="E525" s="37" t="s">
        <v>84</v>
      </c>
      <c r="F525" s="37" t="s">
        <v>153</v>
      </c>
      <c r="G525" s="21" t="s">
        <v>514</v>
      </c>
      <c r="H525" s="21" t="n">
        <v>0</v>
      </c>
      <c r="I525" s="21" t="s">
        <v>137</v>
      </c>
    </row>
    <row r="526" customFormat="false" ht="15" hidden="false" customHeight="false" outlineLevel="0" collapsed="false">
      <c r="A526" s="21" t="s">
        <v>775</v>
      </c>
      <c r="B526" s="21" t="s">
        <v>511</v>
      </c>
      <c r="C526" s="21"/>
      <c r="D526" s="37" t="s">
        <v>84</v>
      </c>
      <c r="E526" s="37" t="s">
        <v>84</v>
      </c>
      <c r="F526" s="37" t="s">
        <v>153</v>
      </c>
      <c r="G526" s="21" t="s">
        <v>514</v>
      </c>
      <c r="H526" s="21" t="n">
        <v>0</v>
      </c>
      <c r="I526" s="21" t="s">
        <v>137</v>
      </c>
    </row>
    <row r="527" customFormat="false" ht="15" hidden="false" customHeight="false" outlineLevel="0" collapsed="false">
      <c r="A527" s="21" t="s">
        <v>776</v>
      </c>
      <c r="B527" s="21" t="s">
        <v>513</v>
      </c>
      <c r="C527" s="21"/>
      <c r="D527" s="37" t="s">
        <v>84</v>
      </c>
      <c r="E527" s="37" t="s">
        <v>84</v>
      </c>
      <c r="F527" s="37" t="s">
        <v>153</v>
      </c>
      <c r="G527" s="21" t="s">
        <v>505</v>
      </c>
      <c r="H527" s="21" t="n">
        <v>0</v>
      </c>
      <c r="I527" s="21" t="s">
        <v>137</v>
      </c>
    </row>
    <row r="528" customFormat="false" ht="15" hidden="false" customHeight="false" outlineLevel="0" collapsed="false">
      <c r="A528" s="21" t="s">
        <v>777</v>
      </c>
      <c r="B528" s="21" t="s">
        <v>511</v>
      </c>
      <c r="C528" s="21"/>
      <c r="D528" s="37" t="s">
        <v>84</v>
      </c>
      <c r="E528" s="37" t="s">
        <v>84</v>
      </c>
      <c r="F528" s="37" t="s">
        <v>153</v>
      </c>
      <c r="G528" s="21" t="s">
        <v>505</v>
      </c>
      <c r="H528" s="21" t="n">
        <v>0</v>
      </c>
      <c r="I528" s="21" t="s">
        <v>137</v>
      </c>
    </row>
    <row r="529" customFormat="false" ht="15" hidden="false" customHeight="false" outlineLevel="0" collapsed="false">
      <c r="A529" s="21" t="s">
        <v>778</v>
      </c>
      <c r="B529" s="21" t="s">
        <v>511</v>
      </c>
      <c r="C529" s="21"/>
      <c r="D529" s="37" t="s">
        <v>84</v>
      </c>
      <c r="E529" s="37" t="s">
        <v>84</v>
      </c>
      <c r="F529" s="37" t="s">
        <v>153</v>
      </c>
      <c r="G529" s="21" t="s">
        <v>514</v>
      </c>
      <c r="H529" s="21" t="n">
        <v>0</v>
      </c>
      <c r="I529" s="21" t="s">
        <v>137</v>
      </c>
    </row>
    <row r="530" customFormat="false" ht="15" hidden="false" customHeight="false" outlineLevel="0" collapsed="false">
      <c r="A530" s="21" t="s">
        <v>779</v>
      </c>
      <c r="B530" s="21" t="s">
        <v>511</v>
      </c>
      <c r="C530" s="21"/>
      <c r="D530" s="37" t="s">
        <v>84</v>
      </c>
      <c r="E530" s="37" t="s">
        <v>84</v>
      </c>
      <c r="F530" s="37" t="s">
        <v>153</v>
      </c>
      <c r="G530" s="21" t="s">
        <v>514</v>
      </c>
      <c r="H530" s="21" t="n">
        <v>0</v>
      </c>
      <c r="I530" s="21" t="s">
        <v>137</v>
      </c>
    </row>
    <row r="531" customFormat="false" ht="15" hidden="false" customHeight="false" outlineLevel="0" collapsed="false">
      <c r="A531" s="21" t="s">
        <v>780</v>
      </c>
      <c r="B531" s="21" t="s">
        <v>511</v>
      </c>
      <c r="C531" s="21"/>
      <c r="D531" s="37" t="s">
        <v>84</v>
      </c>
      <c r="E531" s="37" t="s">
        <v>84</v>
      </c>
      <c r="F531" s="37" t="s">
        <v>153</v>
      </c>
      <c r="G531" s="21" t="s">
        <v>505</v>
      </c>
      <c r="H531" s="21" t="n">
        <v>0</v>
      </c>
      <c r="I531" s="21" t="s">
        <v>137</v>
      </c>
    </row>
    <row r="532" customFormat="false" ht="15" hidden="false" customHeight="false" outlineLevel="0" collapsed="false">
      <c r="A532" s="21" t="s">
        <v>781</v>
      </c>
      <c r="B532" s="21" t="s">
        <v>511</v>
      </c>
      <c r="C532" s="21"/>
      <c r="D532" s="37" t="s">
        <v>84</v>
      </c>
      <c r="E532" s="37" t="s">
        <v>84</v>
      </c>
      <c r="F532" s="37" t="s">
        <v>153</v>
      </c>
      <c r="G532" s="21" t="s">
        <v>505</v>
      </c>
      <c r="H532" s="21" t="n">
        <v>0</v>
      </c>
      <c r="I532" s="21" t="s">
        <v>137</v>
      </c>
    </row>
    <row r="533" customFormat="false" ht="15" hidden="false" customHeight="false" outlineLevel="0" collapsed="false">
      <c r="A533" s="21" t="s">
        <v>782</v>
      </c>
      <c r="B533" s="21" t="s">
        <v>511</v>
      </c>
      <c r="C533" s="21"/>
      <c r="D533" s="37" t="s">
        <v>84</v>
      </c>
      <c r="E533" s="37" t="s">
        <v>84</v>
      </c>
      <c r="F533" s="37" t="s">
        <v>153</v>
      </c>
      <c r="G533" s="21" t="s">
        <v>505</v>
      </c>
      <c r="H533" s="21" t="n">
        <v>0</v>
      </c>
      <c r="I533" s="21" t="s">
        <v>137</v>
      </c>
    </row>
    <row r="534" customFormat="false" ht="15" hidden="false" customHeight="false" outlineLevel="0" collapsed="false">
      <c r="A534" s="21" t="s">
        <v>783</v>
      </c>
      <c r="B534" s="21" t="s">
        <v>511</v>
      </c>
      <c r="C534" s="21"/>
      <c r="D534" s="37" t="s">
        <v>84</v>
      </c>
      <c r="E534" s="37" t="s">
        <v>84</v>
      </c>
      <c r="F534" s="37" t="s">
        <v>153</v>
      </c>
      <c r="G534" s="21" t="s">
        <v>505</v>
      </c>
      <c r="H534" s="21" t="n">
        <v>0</v>
      </c>
      <c r="I534" s="21" t="s">
        <v>137</v>
      </c>
    </row>
    <row r="535" customFormat="false" ht="15" hidden="false" customHeight="false" outlineLevel="0" collapsed="false">
      <c r="A535" s="21" t="s">
        <v>784</v>
      </c>
      <c r="B535" s="21" t="s">
        <v>511</v>
      </c>
      <c r="C535" s="21"/>
      <c r="D535" s="37" t="s">
        <v>84</v>
      </c>
      <c r="E535" s="37" t="s">
        <v>84</v>
      </c>
      <c r="F535" s="37" t="s">
        <v>153</v>
      </c>
      <c r="G535" s="21" t="s">
        <v>505</v>
      </c>
      <c r="H535" s="21" t="n">
        <v>0</v>
      </c>
      <c r="I535" s="21" t="s">
        <v>137</v>
      </c>
    </row>
    <row r="536" customFormat="false" ht="15" hidden="false" customHeight="false" outlineLevel="0" collapsed="false">
      <c r="A536" s="21" t="s">
        <v>785</v>
      </c>
      <c r="B536" s="21" t="s">
        <v>511</v>
      </c>
      <c r="C536" s="21"/>
      <c r="D536" s="37" t="s">
        <v>84</v>
      </c>
      <c r="E536" s="37" t="s">
        <v>84</v>
      </c>
      <c r="F536" s="37" t="s">
        <v>153</v>
      </c>
      <c r="G536" s="21" t="s">
        <v>514</v>
      </c>
      <c r="H536" s="21" t="n">
        <v>0</v>
      </c>
      <c r="I536" s="21" t="s">
        <v>137</v>
      </c>
    </row>
    <row r="537" customFormat="false" ht="15" hidden="false" customHeight="false" outlineLevel="0" collapsed="false">
      <c r="A537" s="21" t="s">
        <v>786</v>
      </c>
      <c r="B537" s="21" t="s">
        <v>511</v>
      </c>
      <c r="C537" s="21"/>
      <c r="D537" s="37" t="s">
        <v>84</v>
      </c>
      <c r="E537" s="37" t="s">
        <v>84</v>
      </c>
      <c r="F537" s="37" t="s">
        <v>153</v>
      </c>
      <c r="G537" s="21" t="s">
        <v>505</v>
      </c>
      <c r="H537" s="21" t="n">
        <v>0</v>
      </c>
      <c r="I537" s="21" t="s">
        <v>137</v>
      </c>
    </row>
    <row r="538" customFormat="false" ht="15" hidden="false" customHeight="false" outlineLevel="0" collapsed="false">
      <c r="A538" s="21" t="s">
        <v>787</v>
      </c>
      <c r="B538" s="21" t="s">
        <v>511</v>
      </c>
      <c r="C538" s="21"/>
      <c r="D538" s="37" t="s">
        <v>84</v>
      </c>
      <c r="E538" s="37" t="s">
        <v>84</v>
      </c>
      <c r="F538" s="37" t="s">
        <v>153</v>
      </c>
      <c r="G538" s="21" t="s">
        <v>505</v>
      </c>
      <c r="H538" s="21" t="n">
        <v>0</v>
      </c>
      <c r="I538" s="21" t="s">
        <v>137</v>
      </c>
    </row>
    <row r="539" customFormat="false" ht="15" hidden="false" customHeight="false" outlineLevel="0" collapsed="false">
      <c r="A539" s="21" t="s">
        <v>788</v>
      </c>
      <c r="B539" s="21" t="s">
        <v>511</v>
      </c>
      <c r="C539" s="21"/>
      <c r="D539" s="37" t="s">
        <v>84</v>
      </c>
      <c r="E539" s="37" t="s">
        <v>84</v>
      </c>
      <c r="F539" s="37" t="s">
        <v>153</v>
      </c>
      <c r="G539" s="21" t="s">
        <v>514</v>
      </c>
      <c r="H539" s="21" t="n">
        <v>0</v>
      </c>
      <c r="I539" s="21" t="s">
        <v>137</v>
      </c>
    </row>
    <row r="540" customFormat="false" ht="15" hidden="false" customHeight="false" outlineLevel="0" collapsed="false">
      <c r="A540" s="21" t="s">
        <v>789</v>
      </c>
      <c r="B540" s="21" t="s">
        <v>511</v>
      </c>
      <c r="C540" s="21"/>
      <c r="D540" s="37" t="s">
        <v>84</v>
      </c>
      <c r="E540" s="37" t="s">
        <v>84</v>
      </c>
      <c r="F540" s="37" t="s">
        <v>153</v>
      </c>
      <c r="G540" s="21" t="s">
        <v>505</v>
      </c>
      <c r="H540" s="21" t="n">
        <v>0</v>
      </c>
      <c r="I540" s="21" t="s">
        <v>137</v>
      </c>
    </row>
    <row r="541" customFormat="false" ht="15" hidden="false" customHeight="false" outlineLevel="0" collapsed="false">
      <c r="A541" s="21" t="s">
        <v>790</v>
      </c>
      <c r="B541" s="21" t="s">
        <v>511</v>
      </c>
      <c r="C541" s="21"/>
      <c r="D541" s="37" t="s">
        <v>84</v>
      </c>
      <c r="E541" s="37" t="s">
        <v>84</v>
      </c>
      <c r="F541" s="37" t="s">
        <v>153</v>
      </c>
      <c r="G541" s="21" t="s">
        <v>514</v>
      </c>
      <c r="H541" s="21" t="n">
        <v>0</v>
      </c>
      <c r="I541" s="21" t="s">
        <v>137</v>
      </c>
    </row>
    <row r="542" customFormat="false" ht="15" hidden="false" customHeight="false" outlineLevel="0" collapsed="false">
      <c r="A542" s="21" t="s">
        <v>791</v>
      </c>
      <c r="B542" s="21" t="s">
        <v>511</v>
      </c>
      <c r="C542" s="21"/>
      <c r="D542" s="37" t="s">
        <v>84</v>
      </c>
      <c r="E542" s="37" t="s">
        <v>84</v>
      </c>
      <c r="F542" s="37" t="s">
        <v>153</v>
      </c>
      <c r="G542" s="21" t="s">
        <v>505</v>
      </c>
      <c r="H542" s="21" t="n">
        <v>0</v>
      </c>
      <c r="I542" s="21" t="s">
        <v>137</v>
      </c>
    </row>
    <row r="543" customFormat="false" ht="15" hidden="false" customHeight="false" outlineLevel="0" collapsed="false">
      <c r="A543" s="21" t="s">
        <v>792</v>
      </c>
      <c r="B543" s="21" t="s">
        <v>511</v>
      </c>
      <c r="C543" s="21"/>
      <c r="D543" s="37" t="s">
        <v>84</v>
      </c>
      <c r="E543" s="37" t="s">
        <v>84</v>
      </c>
      <c r="F543" s="37" t="s">
        <v>153</v>
      </c>
      <c r="G543" s="21" t="s">
        <v>505</v>
      </c>
      <c r="H543" s="21" t="n">
        <v>0</v>
      </c>
      <c r="I543" s="21" t="s">
        <v>137</v>
      </c>
    </row>
    <row r="544" customFormat="false" ht="15" hidden="false" customHeight="false" outlineLevel="0" collapsed="false">
      <c r="A544" s="21" t="s">
        <v>793</v>
      </c>
      <c r="B544" s="21" t="s">
        <v>513</v>
      </c>
      <c r="C544" s="21"/>
      <c r="D544" s="37" t="s">
        <v>84</v>
      </c>
      <c r="E544" s="37" t="s">
        <v>84</v>
      </c>
      <c r="F544" s="37" t="s">
        <v>153</v>
      </c>
      <c r="G544" s="21" t="s">
        <v>505</v>
      </c>
      <c r="H544" s="21" t="n">
        <v>0</v>
      </c>
      <c r="I544" s="21" t="s">
        <v>137</v>
      </c>
    </row>
    <row r="545" customFormat="false" ht="15" hidden="false" customHeight="false" outlineLevel="0" collapsed="false">
      <c r="A545" s="21" t="s">
        <v>794</v>
      </c>
      <c r="B545" s="21" t="s">
        <v>511</v>
      </c>
      <c r="C545" s="21"/>
      <c r="D545" s="37" t="s">
        <v>84</v>
      </c>
      <c r="E545" s="37" t="s">
        <v>84</v>
      </c>
      <c r="F545" s="37" t="s">
        <v>153</v>
      </c>
      <c r="G545" s="21" t="s">
        <v>514</v>
      </c>
      <c r="H545" s="21" t="n">
        <v>0</v>
      </c>
      <c r="I545" s="21" t="s">
        <v>137</v>
      </c>
    </row>
    <row r="546" customFormat="false" ht="15" hidden="false" customHeight="false" outlineLevel="0" collapsed="false">
      <c r="A546" s="21" t="s">
        <v>795</v>
      </c>
      <c r="B546" s="21" t="s">
        <v>511</v>
      </c>
      <c r="C546" s="21"/>
      <c r="D546" s="37" t="s">
        <v>84</v>
      </c>
      <c r="E546" s="37" t="s">
        <v>84</v>
      </c>
      <c r="F546" s="37" t="s">
        <v>153</v>
      </c>
      <c r="G546" s="21" t="s">
        <v>514</v>
      </c>
      <c r="H546" s="21" t="n">
        <v>0</v>
      </c>
      <c r="I546" s="21" t="s">
        <v>137</v>
      </c>
    </row>
    <row r="547" customFormat="false" ht="15" hidden="false" customHeight="false" outlineLevel="0" collapsed="false">
      <c r="A547" s="21" t="s">
        <v>796</v>
      </c>
      <c r="B547" s="21" t="s">
        <v>513</v>
      </c>
      <c r="C547" s="21"/>
      <c r="D547" s="37" t="s">
        <v>84</v>
      </c>
      <c r="E547" s="37" t="s">
        <v>84</v>
      </c>
      <c r="F547" s="37" t="s">
        <v>153</v>
      </c>
      <c r="G547" s="21" t="s">
        <v>514</v>
      </c>
      <c r="H547" s="21" t="n">
        <v>0</v>
      </c>
      <c r="I547" s="21" t="s">
        <v>137</v>
      </c>
    </row>
    <row r="548" customFormat="false" ht="15" hidden="false" customHeight="false" outlineLevel="0" collapsed="false">
      <c r="A548" s="21" t="s">
        <v>797</v>
      </c>
      <c r="B548" s="21" t="s">
        <v>511</v>
      </c>
      <c r="C548" s="21"/>
      <c r="D548" s="37" t="s">
        <v>84</v>
      </c>
      <c r="E548" s="37" t="s">
        <v>84</v>
      </c>
      <c r="F548" s="37" t="s">
        <v>153</v>
      </c>
      <c r="G548" s="21" t="s">
        <v>505</v>
      </c>
      <c r="H548" s="21" t="n">
        <v>0</v>
      </c>
      <c r="I548" s="21" t="s">
        <v>137</v>
      </c>
    </row>
    <row r="549" customFormat="false" ht="15" hidden="false" customHeight="false" outlineLevel="0" collapsed="false">
      <c r="A549" s="21" t="s">
        <v>798</v>
      </c>
      <c r="B549" s="21" t="s">
        <v>513</v>
      </c>
      <c r="C549" s="21"/>
      <c r="D549" s="37" t="s">
        <v>84</v>
      </c>
      <c r="E549" s="37" t="s">
        <v>84</v>
      </c>
      <c r="F549" s="37" t="s">
        <v>153</v>
      </c>
      <c r="G549" s="21" t="s">
        <v>505</v>
      </c>
      <c r="H549" s="21" t="n">
        <v>0</v>
      </c>
      <c r="I549" s="21" t="s">
        <v>137</v>
      </c>
    </row>
    <row r="550" customFormat="false" ht="15" hidden="false" customHeight="false" outlineLevel="0" collapsed="false">
      <c r="A550" s="21" t="s">
        <v>799</v>
      </c>
      <c r="B550" s="21" t="s">
        <v>511</v>
      </c>
      <c r="C550" s="21"/>
      <c r="D550" s="37" t="s">
        <v>84</v>
      </c>
      <c r="E550" s="37" t="s">
        <v>84</v>
      </c>
      <c r="F550" s="37" t="s">
        <v>153</v>
      </c>
      <c r="G550" s="21" t="s">
        <v>514</v>
      </c>
      <c r="H550" s="21" t="n">
        <v>0</v>
      </c>
      <c r="I550" s="21" t="s">
        <v>137</v>
      </c>
    </row>
    <row r="551" customFormat="false" ht="15" hidden="false" customHeight="false" outlineLevel="0" collapsed="false">
      <c r="A551" s="21" t="s">
        <v>800</v>
      </c>
      <c r="B551" s="21" t="s">
        <v>511</v>
      </c>
      <c r="C551" s="21"/>
      <c r="D551" s="37" t="s">
        <v>84</v>
      </c>
      <c r="E551" s="37" t="s">
        <v>84</v>
      </c>
      <c r="F551" s="37" t="s">
        <v>153</v>
      </c>
      <c r="G551" s="21" t="s">
        <v>505</v>
      </c>
      <c r="H551" s="21" t="n">
        <v>0</v>
      </c>
      <c r="I551" s="21" t="s">
        <v>137</v>
      </c>
    </row>
    <row r="552" customFormat="false" ht="15" hidden="false" customHeight="false" outlineLevel="0" collapsed="false">
      <c r="A552" s="21" t="s">
        <v>801</v>
      </c>
      <c r="B552" s="21" t="s">
        <v>511</v>
      </c>
      <c r="C552" s="21"/>
      <c r="D552" s="37" t="s">
        <v>84</v>
      </c>
      <c r="E552" s="37" t="s">
        <v>84</v>
      </c>
      <c r="F552" s="37" t="s">
        <v>153</v>
      </c>
      <c r="G552" s="21" t="s">
        <v>505</v>
      </c>
      <c r="H552" s="21" t="n">
        <v>0</v>
      </c>
      <c r="I552" s="21" t="s">
        <v>137</v>
      </c>
    </row>
    <row r="553" customFormat="false" ht="15" hidden="false" customHeight="false" outlineLevel="0" collapsed="false">
      <c r="A553" s="21" t="s">
        <v>802</v>
      </c>
      <c r="B553" s="21" t="s">
        <v>511</v>
      </c>
      <c r="C553" s="21"/>
      <c r="D553" s="37" t="s">
        <v>84</v>
      </c>
      <c r="E553" s="37" t="s">
        <v>84</v>
      </c>
      <c r="F553" s="37" t="s">
        <v>153</v>
      </c>
      <c r="G553" s="21" t="s">
        <v>505</v>
      </c>
      <c r="H553" s="21" t="n">
        <v>0</v>
      </c>
      <c r="I553" s="21" t="s">
        <v>137</v>
      </c>
    </row>
    <row r="554" customFormat="false" ht="15" hidden="false" customHeight="false" outlineLevel="0" collapsed="false">
      <c r="A554" s="21" t="s">
        <v>803</v>
      </c>
      <c r="B554" s="21" t="s">
        <v>511</v>
      </c>
      <c r="C554" s="21"/>
      <c r="D554" s="37" t="s">
        <v>84</v>
      </c>
      <c r="E554" s="37" t="s">
        <v>84</v>
      </c>
      <c r="F554" s="37" t="s">
        <v>153</v>
      </c>
      <c r="G554" s="21" t="s">
        <v>505</v>
      </c>
      <c r="H554" s="21" t="n">
        <v>0</v>
      </c>
      <c r="I554" s="21" t="s">
        <v>137</v>
      </c>
    </row>
    <row r="555" customFormat="false" ht="15" hidden="false" customHeight="false" outlineLevel="0" collapsed="false">
      <c r="A555" s="21" t="s">
        <v>804</v>
      </c>
      <c r="B555" s="21" t="s">
        <v>513</v>
      </c>
      <c r="C555" s="21"/>
      <c r="D555" s="37" t="s">
        <v>84</v>
      </c>
      <c r="E555" s="37" t="s">
        <v>84</v>
      </c>
      <c r="F555" s="37" t="s">
        <v>153</v>
      </c>
      <c r="G555" s="21" t="s">
        <v>514</v>
      </c>
      <c r="H555" s="21" t="n">
        <v>0</v>
      </c>
      <c r="I555" s="21" t="s">
        <v>137</v>
      </c>
    </row>
    <row r="556" customFormat="false" ht="15" hidden="false" customHeight="false" outlineLevel="0" collapsed="false">
      <c r="A556" s="21" t="s">
        <v>805</v>
      </c>
      <c r="B556" s="21" t="s">
        <v>511</v>
      </c>
      <c r="C556" s="21"/>
      <c r="D556" s="37" t="s">
        <v>84</v>
      </c>
      <c r="E556" s="37" t="s">
        <v>84</v>
      </c>
      <c r="F556" s="37" t="s">
        <v>153</v>
      </c>
      <c r="G556" s="21" t="s">
        <v>505</v>
      </c>
      <c r="H556" s="21" t="n">
        <v>0</v>
      </c>
      <c r="I556" s="21" t="s">
        <v>137</v>
      </c>
    </row>
    <row r="557" customFormat="false" ht="15" hidden="false" customHeight="false" outlineLevel="0" collapsed="false">
      <c r="A557" s="21" t="s">
        <v>806</v>
      </c>
      <c r="B557" s="21" t="s">
        <v>511</v>
      </c>
      <c r="C557" s="21"/>
      <c r="D557" s="37" t="s">
        <v>84</v>
      </c>
      <c r="E557" s="37" t="s">
        <v>84</v>
      </c>
      <c r="F557" s="37" t="s">
        <v>153</v>
      </c>
      <c r="G557" s="21" t="s">
        <v>505</v>
      </c>
      <c r="H557" s="21" t="n">
        <v>0</v>
      </c>
      <c r="I557" s="21" t="s">
        <v>137</v>
      </c>
    </row>
    <row r="558" customFormat="false" ht="15" hidden="false" customHeight="false" outlineLevel="0" collapsed="false">
      <c r="A558" s="21" t="s">
        <v>807</v>
      </c>
      <c r="B558" s="21" t="s">
        <v>511</v>
      </c>
      <c r="C558" s="21"/>
      <c r="D558" s="37" t="s">
        <v>84</v>
      </c>
      <c r="E558" s="37" t="s">
        <v>84</v>
      </c>
      <c r="F558" s="37" t="s">
        <v>153</v>
      </c>
      <c r="G558" s="21" t="s">
        <v>514</v>
      </c>
      <c r="H558" s="21" t="n">
        <v>0</v>
      </c>
      <c r="I558" s="21" t="s">
        <v>137</v>
      </c>
    </row>
    <row r="559" customFormat="false" ht="15" hidden="false" customHeight="false" outlineLevel="0" collapsed="false">
      <c r="A559" s="21" t="s">
        <v>808</v>
      </c>
      <c r="B559" s="21" t="s">
        <v>513</v>
      </c>
      <c r="C559" s="21"/>
      <c r="D559" s="37" t="s">
        <v>84</v>
      </c>
      <c r="E559" s="37" t="s">
        <v>84</v>
      </c>
      <c r="F559" s="37" t="s">
        <v>153</v>
      </c>
      <c r="G559" s="21" t="s">
        <v>514</v>
      </c>
      <c r="H559" s="21" t="n">
        <v>0</v>
      </c>
      <c r="I559" s="21" t="s">
        <v>137</v>
      </c>
    </row>
    <row r="560" customFormat="false" ht="15" hidden="false" customHeight="false" outlineLevel="0" collapsed="false">
      <c r="A560" s="21" t="s">
        <v>809</v>
      </c>
      <c r="B560" s="21" t="s">
        <v>511</v>
      </c>
      <c r="C560" s="21"/>
      <c r="D560" s="37" t="s">
        <v>84</v>
      </c>
      <c r="E560" s="37" t="s">
        <v>84</v>
      </c>
      <c r="F560" s="37" t="s">
        <v>153</v>
      </c>
      <c r="G560" s="21" t="s">
        <v>505</v>
      </c>
      <c r="H560" s="21" t="n">
        <v>0</v>
      </c>
      <c r="I560" s="21" t="s">
        <v>137</v>
      </c>
    </row>
    <row r="561" customFormat="false" ht="15" hidden="false" customHeight="false" outlineLevel="0" collapsed="false">
      <c r="A561" s="21" t="s">
        <v>810</v>
      </c>
      <c r="B561" s="21" t="s">
        <v>513</v>
      </c>
      <c r="C561" s="21"/>
      <c r="D561" s="37" t="s">
        <v>84</v>
      </c>
      <c r="E561" s="37" t="s">
        <v>84</v>
      </c>
      <c r="F561" s="37" t="s">
        <v>153</v>
      </c>
      <c r="G561" s="21" t="s">
        <v>505</v>
      </c>
      <c r="H561" s="21" t="n">
        <v>0</v>
      </c>
      <c r="I561" s="21" t="s">
        <v>137</v>
      </c>
    </row>
    <row r="562" customFormat="false" ht="15" hidden="false" customHeight="false" outlineLevel="0" collapsed="false">
      <c r="A562" s="21" t="s">
        <v>811</v>
      </c>
      <c r="B562" s="21" t="s">
        <v>511</v>
      </c>
      <c r="C562" s="21"/>
      <c r="D562" s="37" t="s">
        <v>84</v>
      </c>
      <c r="E562" s="37" t="s">
        <v>84</v>
      </c>
      <c r="F562" s="37" t="s">
        <v>153</v>
      </c>
      <c r="G562" s="21" t="s">
        <v>505</v>
      </c>
      <c r="H562" s="21" t="n">
        <v>0</v>
      </c>
      <c r="I562" s="21" t="s">
        <v>137</v>
      </c>
    </row>
    <row r="563" customFormat="false" ht="15" hidden="false" customHeight="false" outlineLevel="0" collapsed="false">
      <c r="A563" s="21" t="s">
        <v>812</v>
      </c>
      <c r="B563" s="21"/>
      <c r="C563" s="21"/>
      <c r="D563" s="37" t="s">
        <v>84</v>
      </c>
      <c r="E563" s="37" t="s">
        <v>84</v>
      </c>
      <c r="F563" s="37" t="s">
        <v>153</v>
      </c>
      <c r="G563" s="21" t="s">
        <v>450</v>
      </c>
      <c r="H563" s="21" t="n">
        <v>0</v>
      </c>
      <c r="I563" s="21" t="s">
        <v>137</v>
      </c>
    </row>
    <row r="564" customFormat="false" ht="15" hidden="false" customHeight="false" outlineLevel="0" collapsed="false">
      <c r="A564" s="21" t="s">
        <v>813</v>
      </c>
      <c r="B564" s="21"/>
      <c r="C564" s="21"/>
      <c r="D564" s="37" t="s">
        <v>84</v>
      </c>
      <c r="E564" s="37" t="s">
        <v>84</v>
      </c>
      <c r="F564" s="37" t="s">
        <v>153</v>
      </c>
      <c r="G564" s="21" t="s">
        <v>450</v>
      </c>
      <c r="H564" s="21" t="n">
        <v>0</v>
      </c>
      <c r="I564" s="21" t="s">
        <v>137</v>
      </c>
    </row>
    <row r="565" customFormat="false" ht="15" hidden="false" customHeight="false" outlineLevel="0" collapsed="false">
      <c r="A565" s="21" t="s">
        <v>814</v>
      </c>
      <c r="B565" s="21"/>
      <c r="C565" s="21"/>
      <c r="D565" s="37" t="s">
        <v>84</v>
      </c>
      <c r="E565" s="37" t="s">
        <v>84</v>
      </c>
      <c r="F565" s="37" t="s">
        <v>153</v>
      </c>
      <c r="G565" s="21" t="s">
        <v>450</v>
      </c>
      <c r="H565" s="21" t="n">
        <v>0</v>
      </c>
      <c r="I565" s="21" t="s">
        <v>137</v>
      </c>
    </row>
    <row r="566" customFormat="false" ht="15" hidden="false" customHeight="false" outlineLevel="0" collapsed="false">
      <c r="A566" s="21" t="s">
        <v>815</v>
      </c>
      <c r="B566" s="21"/>
      <c r="C566" s="21"/>
      <c r="D566" s="37" t="s">
        <v>84</v>
      </c>
      <c r="E566" s="37" t="s">
        <v>84</v>
      </c>
      <c r="F566" s="37" t="s">
        <v>153</v>
      </c>
      <c r="G566" s="21" t="s">
        <v>450</v>
      </c>
      <c r="H566" s="21" t="n">
        <v>0</v>
      </c>
      <c r="I566" s="21" t="s">
        <v>137</v>
      </c>
    </row>
    <row r="567" customFormat="false" ht="15" hidden="false" customHeight="false" outlineLevel="0" collapsed="false">
      <c r="A567" s="21" t="s">
        <v>816</v>
      </c>
      <c r="B567" s="21"/>
      <c r="C567" s="21"/>
      <c r="D567" s="37" t="s">
        <v>84</v>
      </c>
      <c r="E567" s="37" t="s">
        <v>84</v>
      </c>
      <c r="F567" s="37" t="s">
        <v>153</v>
      </c>
      <c r="G567" s="21" t="s">
        <v>450</v>
      </c>
      <c r="H567" s="21" t="n">
        <v>0</v>
      </c>
      <c r="I567" s="21" t="s">
        <v>137</v>
      </c>
    </row>
    <row r="568" customFormat="false" ht="15" hidden="false" customHeight="false" outlineLevel="0" collapsed="false">
      <c r="A568" s="21" t="s">
        <v>817</v>
      </c>
      <c r="B568" s="21"/>
      <c r="C568" s="21"/>
      <c r="D568" s="37" t="s">
        <v>84</v>
      </c>
      <c r="E568" s="37" t="s">
        <v>84</v>
      </c>
      <c r="F568" s="37" t="s">
        <v>153</v>
      </c>
      <c r="G568" s="21" t="s">
        <v>450</v>
      </c>
      <c r="H568" s="21" t="n">
        <v>0</v>
      </c>
      <c r="I568" s="21" t="s">
        <v>137</v>
      </c>
    </row>
    <row r="569" customFormat="false" ht="15" hidden="false" customHeight="false" outlineLevel="0" collapsed="false">
      <c r="A569" s="21" t="s">
        <v>818</v>
      </c>
      <c r="B569" s="21"/>
      <c r="C569" s="21"/>
      <c r="D569" s="37" t="s">
        <v>84</v>
      </c>
      <c r="E569" s="37" t="s">
        <v>84</v>
      </c>
      <c r="F569" s="37" t="s">
        <v>153</v>
      </c>
      <c r="G569" s="21" t="s">
        <v>450</v>
      </c>
      <c r="H569" s="21" t="n">
        <v>0</v>
      </c>
      <c r="I569" s="21" t="s">
        <v>137</v>
      </c>
    </row>
    <row r="570" customFormat="false" ht="15" hidden="false" customHeight="false" outlineLevel="0" collapsed="false">
      <c r="A570" s="21" t="s">
        <v>819</v>
      </c>
      <c r="B570" s="21"/>
      <c r="C570" s="21"/>
      <c r="D570" s="37" t="s">
        <v>84</v>
      </c>
      <c r="E570" s="37" t="s">
        <v>84</v>
      </c>
      <c r="F570" s="37" t="s">
        <v>153</v>
      </c>
      <c r="G570" s="21" t="s">
        <v>450</v>
      </c>
      <c r="H570" s="21" t="n">
        <v>0</v>
      </c>
      <c r="I570" s="21" t="s">
        <v>137</v>
      </c>
    </row>
    <row r="571" customFormat="false" ht="15" hidden="false" customHeight="false" outlineLevel="0" collapsed="false">
      <c r="A571" s="21" t="s">
        <v>820</v>
      </c>
      <c r="B571" s="21"/>
      <c r="C571" s="21"/>
      <c r="D571" s="37" t="s">
        <v>84</v>
      </c>
      <c r="E571" s="37" t="s">
        <v>84</v>
      </c>
      <c r="F571" s="37" t="s">
        <v>153</v>
      </c>
      <c r="G571" s="21" t="s">
        <v>450</v>
      </c>
      <c r="H571" s="21" t="n">
        <v>0</v>
      </c>
      <c r="I571" s="21" t="s">
        <v>137</v>
      </c>
    </row>
    <row r="572" customFormat="false" ht="15" hidden="false" customHeight="false" outlineLevel="0" collapsed="false">
      <c r="A572" s="21" t="s">
        <v>821</v>
      </c>
      <c r="B572" s="21"/>
      <c r="C572" s="21"/>
      <c r="D572" s="37" t="s">
        <v>84</v>
      </c>
      <c r="E572" s="37" t="s">
        <v>84</v>
      </c>
      <c r="F572" s="37" t="s">
        <v>153</v>
      </c>
      <c r="G572" s="21" t="s">
        <v>450</v>
      </c>
      <c r="H572" s="21" t="n">
        <v>0</v>
      </c>
      <c r="I572" s="21" t="s">
        <v>137</v>
      </c>
    </row>
    <row r="573" customFormat="false" ht="15" hidden="false" customHeight="false" outlineLevel="0" collapsed="false">
      <c r="A573" s="21" t="s">
        <v>822</v>
      </c>
      <c r="B573" s="21" t="s">
        <v>823</v>
      </c>
      <c r="C573" s="21"/>
      <c r="D573" s="37" t="s">
        <v>84</v>
      </c>
      <c r="E573" s="37" t="s">
        <v>84</v>
      </c>
      <c r="F573" s="37" t="s">
        <v>153</v>
      </c>
      <c r="G573" s="21" t="s">
        <v>505</v>
      </c>
      <c r="H573" s="21" t="n">
        <v>0</v>
      </c>
      <c r="I573" s="21" t="s">
        <v>137</v>
      </c>
    </row>
    <row r="574" customFormat="false" ht="15" hidden="false" customHeight="false" outlineLevel="0" collapsed="false">
      <c r="A574" s="21" t="s">
        <v>824</v>
      </c>
      <c r="B574" s="21" t="s">
        <v>825</v>
      </c>
      <c r="C574" s="21"/>
      <c r="D574" s="37" t="s">
        <v>84</v>
      </c>
      <c r="E574" s="37" t="s">
        <v>84</v>
      </c>
      <c r="F574" s="37" t="s">
        <v>36</v>
      </c>
      <c r="G574" s="21" t="s">
        <v>505</v>
      </c>
      <c r="H574" s="21" t="n">
        <v>0</v>
      </c>
      <c r="I574" s="21" t="s">
        <v>137</v>
      </c>
    </row>
    <row r="575" customFormat="false" ht="15" hidden="false" customHeight="false" outlineLevel="0" collapsed="false">
      <c r="A575" s="21" t="s">
        <v>826</v>
      </c>
      <c r="B575" s="21" t="s">
        <v>827</v>
      </c>
      <c r="C575" s="21"/>
      <c r="D575" s="37" t="s">
        <v>84</v>
      </c>
      <c r="E575" s="37" t="s">
        <v>84</v>
      </c>
      <c r="F575" s="37" t="s">
        <v>153</v>
      </c>
      <c r="G575" s="21" t="s">
        <v>505</v>
      </c>
      <c r="H575" s="21" t="n">
        <v>0</v>
      </c>
      <c r="I575" s="21" t="s">
        <v>137</v>
      </c>
    </row>
    <row r="576" customFormat="false" ht="15" hidden="false" customHeight="false" outlineLevel="0" collapsed="false">
      <c r="A576" s="21" t="s">
        <v>828</v>
      </c>
      <c r="B576" s="21" t="s">
        <v>823</v>
      </c>
      <c r="C576" s="21"/>
      <c r="D576" s="37" t="s">
        <v>84</v>
      </c>
      <c r="E576" s="37" t="s">
        <v>84</v>
      </c>
      <c r="F576" s="37" t="s">
        <v>153</v>
      </c>
      <c r="G576" s="21" t="s">
        <v>505</v>
      </c>
      <c r="H576" s="21" t="n">
        <v>0</v>
      </c>
      <c r="I576" s="21" t="s">
        <v>137</v>
      </c>
    </row>
    <row r="577" customFormat="false" ht="15" hidden="false" customHeight="false" outlineLevel="0" collapsed="false">
      <c r="A577" s="21" t="s">
        <v>829</v>
      </c>
      <c r="B577" s="21" t="s">
        <v>823</v>
      </c>
      <c r="C577" s="21"/>
      <c r="D577" s="37" t="s">
        <v>84</v>
      </c>
      <c r="E577" s="37" t="s">
        <v>84</v>
      </c>
      <c r="F577" s="37" t="s">
        <v>153</v>
      </c>
      <c r="G577" s="21" t="s">
        <v>505</v>
      </c>
      <c r="H577" s="21" t="n">
        <v>0</v>
      </c>
      <c r="I577" s="21" t="s">
        <v>137</v>
      </c>
    </row>
    <row r="578" customFormat="false" ht="15" hidden="false" customHeight="false" outlineLevel="0" collapsed="false">
      <c r="A578" s="21" t="s">
        <v>830</v>
      </c>
      <c r="B578" s="21" t="s">
        <v>825</v>
      </c>
      <c r="C578" s="21"/>
      <c r="D578" s="37" t="s">
        <v>84</v>
      </c>
      <c r="E578" s="37" t="s">
        <v>84</v>
      </c>
      <c r="F578" s="37" t="s">
        <v>36</v>
      </c>
      <c r="G578" s="21" t="s">
        <v>505</v>
      </c>
      <c r="H578" s="21" t="n">
        <v>0</v>
      </c>
      <c r="I578" s="21" t="s">
        <v>137</v>
      </c>
    </row>
    <row r="579" customFormat="false" ht="15" hidden="false" customHeight="false" outlineLevel="0" collapsed="false">
      <c r="A579" s="21" t="s">
        <v>831</v>
      </c>
      <c r="B579" s="21" t="s">
        <v>823</v>
      </c>
      <c r="C579" s="21"/>
      <c r="D579" s="37" t="s">
        <v>84</v>
      </c>
      <c r="E579" s="37" t="s">
        <v>84</v>
      </c>
      <c r="F579" s="37" t="s">
        <v>153</v>
      </c>
      <c r="G579" s="21" t="s">
        <v>514</v>
      </c>
      <c r="H579" s="21" t="n">
        <v>0</v>
      </c>
      <c r="I579" s="21" t="s">
        <v>137</v>
      </c>
    </row>
    <row r="580" customFormat="false" ht="15" hidden="false" customHeight="false" outlineLevel="0" collapsed="false">
      <c r="A580" s="21" t="s">
        <v>832</v>
      </c>
      <c r="B580" s="21" t="s">
        <v>825</v>
      </c>
      <c r="C580" s="21"/>
      <c r="D580" s="37" t="s">
        <v>84</v>
      </c>
      <c r="E580" s="37" t="s">
        <v>84</v>
      </c>
      <c r="F580" s="37" t="s">
        <v>36</v>
      </c>
      <c r="G580" s="21" t="s">
        <v>505</v>
      </c>
      <c r="H580" s="21" t="n">
        <v>0</v>
      </c>
      <c r="I580" s="21" t="s">
        <v>137</v>
      </c>
    </row>
    <row r="581" customFormat="false" ht="15" hidden="false" customHeight="false" outlineLevel="0" collapsed="false">
      <c r="A581" s="21" t="s">
        <v>833</v>
      </c>
      <c r="B581" s="21" t="s">
        <v>823</v>
      </c>
      <c r="C581" s="21"/>
      <c r="D581" s="37" t="s">
        <v>84</v>
      </c>
      <c r="E581" s="37" t="s">
        <v>84</v>
      </c>
      <c r="F581" s="37" t="s">
        <v>153</v>
      </c>
      <c r="G581" s="21" t="s">
        <v>505</v>
      </c>
      <c r="H581" s="21" t="n">
        <v>0</v>
      </c>
      <c r="I581" s="21" t="s">
        <v>137</v>
      </c>
    </row>
    <row r="582" customFormat="false" ht="15" hidden="false" customHeight="false" outlineLevel="0" collapsed="false">
      <c r="A582" s="21" t="s">
        <v>834</v>
      </c>
      <c r="B582" s="21" t="s">
        <v>823</v>
      </c>
      <c r="C582" s="21"/>
      <c r="D582" s="37" t="s">
        <v>84</v>
      </c>
      <c r="E582" s="37" t="s">
        <v>84</v>
      </c>
      <c r="F582" s="37" t="s">
        <v>153</v>
      </c>
      <c r="G582" s="21" t="s">
        <v>505</v>
      </c>
      <c r="H582" s="21" t="n">
        <v>0</v>
      </c>
      <c r="I582" s="21" t="s">
        <v>137</v>
      </c>
    </row>
    <row r="583" customFormat="false" ht="15" hidden="false" customHeight="false" outlineLevel="0" collapsed="false">
      <c r="A583" s="21" t="s">
        <v>835</v>
      </c>
      <c r="B583" s="21" t="s">
        <v>827</v>
      </c>
      <c r="C583" s="21"/>
      <c r="D583" s="37" t="s">
        <v>84</v>
      </c>
      <c r="E583" s="37" t="s">
        <v>84</v>
      </c>
      <c r="F583" s="37" t="s">
        <v>153</v>
      </c>
      <c r="G583" s="21" t="s">
        <v>505</v>
      </c>
      <c r="H583" s="21" t="n">
        <v>0</v>
      </c>
      <c r="I583" s="21" t="s">
        <v>137</v>
      </c>
    </row>
    <row r="584" customFormat="false" ht="15" hidden="false" customHeight="false" outlineLevel="0" collapsed="false">
      <c r="A584" s="21" t="s">
        <v>836</v>
      </c>
      <c r="B584" s="21" t="s">
        <v>823</v>
      </c>
      <c r="C584" s="21"/>
      <c r="D584" s="37" t="s">
        <v>84</v>
      </c>
      <c r="E584" s="37" t="s">
        <v>84</v>
      </c>
      <c r="F584" s="37" t="s">
        <v>153</v>
      </c>
      <c r="G584" s="21" t="s">
        <v>514</v>
      </c>
      <c r="H584" s="21" t="n">
        <v>0</v>
      </c>
      <c r="I584" s="21" t="s">
        <v>137</v>
      </c>
    </row>
    <row r="585" customFormat="false" ht="15" hidden="false" customHeight="false" outlineLevel="0" collapsed="false">
      <c r="A585" s="21" t="s">
        <v>837</v>
      </c>
      <c r="B585" s="21" t="s">
        <v>823</v>
      </c>
      <c r="C585" s="21"/>
      <c r="D585" s="37" t="s">
        <v>84</v>
      </c>
      <c r="E585" s="37" t="s">
        <v>84</v>
      </c>
      <c r="F585" s="37" t="s">
        <v>153</v>
      </c>
      <c r="G585" s="21" t="s">
        <v>505</v>
      </c>
      <c r="H585" s="21" t="n">
        <v>0</v>
      </c>
      <c r="I585" s="21" t="s">
        <v>137</v>
      </c>
    </row>
    <row r="586" customFormat="false" ht="15" hidden="false" customHeight="false" outlineLevel="0" collapsed="false">
      <c r="A586" s="21" t="s">
        <v>838</v>
      </c>
      <c r="B586" s="21" t="s">
        <v>827</v>
      </c>
      <c r="C586" s="21"/>
      <c r="D586" s="37" t="s">
        <v>84</v>
      </c>
      <c r="E586" s="37" t="s">
        <v>84</v>
      </c>
      <c r="F586" s="37" t="s">
        <v>153</v>
      </c>
      <c r="G586" s="21" t="s">
        <v>505</v>
      </c>
      <c r="H586" s="21" t="n">
        <v>0</v>
      </c>
      <c r="I586" s="21" t="s">
        <v>137</v>
      </c>
    </row>
    <row r="587" customFormat="false" ht="15" hidden="false" customHeight="false" outlineLevel="0" collapsed="false">
      <c r="A587" s="21" t="s">
        <v>839</v>
      </c>
      <c r="B587" s="21" t="s">
        <v>823</v>
      </c>
      <c r="C587" s="21"/>
      <c r="D587" s="37" t="s">
        <v>84</v>
      </c>
      <c r="E587" s="37" t="s">
        <v>84</v>
      </c>
      <c r="F587" s="37" t="s">
        <v>153</v>
      </c>
      <c r="G587" s="21" t="s">
        <v>505</v>
      </c>
      <c r="H587" s="21" t="n">
        <v>0</v>
      </c>
      <c r="I587" s="21" t="s">
        <v>137</v>
      </c>
    </row>
    <row r="588" customFormat="false" ht="15" hidden="false" customHeight="false" outlineLevel="0" collapsed="false">
      <c r="A588" s="21" t="s">
        <v>840</v>
      </c>
      <c r="B588" s="21" t="s">
        <v>825</v>
      </c>
      <c r="C588" s="21"/>
      <c r="D588" s="37" t="s">
        <v>84</v>
      </c>
      <c r="E588" s="37" t="s">
        <v>84</v>
      </c>
      <c r="F588" s="37" t="s">
        <v>36</v>
      </c>
      <c r="G588" s="21" t="s">
        <v>505</v>
      </c>
      <c r="H588" s="21" t="n">
        <v>0</v>
      </c>
      <c r="I588" s="21" t="s">
        <v>137</v>
      </c>
    </row>
    <row r="589" customFormat="false" ht="15" hidden="false" customHeight="false" outlineLevel="0" collapsed="false">
      <c r="A589" s="21" t="s">
        <v>841</v>
      </c>
      <c r="B589" s="21" t="s">
        <v>823</v>
      </c>
      <c r="C589" s="21"/>
      <c r="D589" s="37" t="s">
        <v>84</v>
      </c>
      <c r="E589" s="37" t="s">
        <v>84</v>
      </c>
      <c r="F589" s="37" t="s">
        <v>153</v>
      </c>
      <c r="G589" s="21" t="s">
        <v>514</v>
      </c>
      <c r="H589" s="21" t="n">
        <v>0</v>
      </c>
      <c r="I589" s="21" t="s">
        <v>137</v>
      </c>
    </row>
    <row r="590" customFormat="false" ht="15" hidden="false" customHeight="false" outlineLevel="0" collapsed="false">
      <c r="A590" s="21" t="s">
        <v>842</v>
      </c>
      <c r="B590" s="21" t="s">
        <v>823</v>
      </c>
      <c r="C590" s="21"/>
      <c r="D590" s="37" t="s">
        <v>84</v>
      </c>
      <c r="E590" s="37" t="s">
        <v>84</v>
      </c>
      <c r="F590" s="37" t="s">
        <v>153</v>
      </c>
      <c r="G590" s="21" t="s">
        <v>505</v>
      </c>
      <c r="H590" s="21" t="n">
        <v>0</v>
      </c>
      <c r="I590" s="21" t="s">
        <v>137</v>
      </c>
    </row>
    <row r="591" customFormat="false" ht="15" hidden="false" customHeight="false" outlineLevel="0" collapsed="false">
      <c r="A591" s="21" t="s">
        <v>843</v>
      </c>
      <c r="B591" s="21" t="s">
        <v>823</v>
      </c>
      <c r="C591" s="21"/>
      <c r="D591" s="37" t="s">
        <v>84</v>
      </c>
      <c r="E591" s="37" t="s">
        <v>84</v>
      </c>
      <c r="F591" s="37" t="s">
        <v>153</v>
      </c>
      <c r="G591" s="21" t="s">
        <v>505</v>
      </c>
      <c r="H591" s="21" t="n">
        <v>0</v>
      </c>
      <c r="I591" s="21" t="s">
        <v>137</v>
      </c>
    </row>
    <row r="592" customFormat="false" ht="15" hidden="false" customHeight="false" outlineLevel="0" collapsed="false">
      <c r="A592" s="21" t="s">
        <v>844</v>
      </c>
      <c r="B592" s="21" t="s">
        <v>827</v>
      </c>
      <c r="C592" s="21"/>
      <c r="D592" s="37" t="s">
        <v>84</v>
      </c>
      <c r="E592" s="37" t="s">
        <v>84</v>
      </c>
      <c r="F592" s="37" t="s">
        <v>153</v>
      </c>
      <c r="G592" s="21" t="s">
        <v>505</v>
      </c>
      <c r="H592" s="21" t="n">
        <v>0</v>
      </c>
      <c r="I592" s="21" t="s">
        <v>137</v>
      </c>
    </row>
    <row r="593" customFormat="false" ht="15" hidden="false" customHeight="false" outlineLevel="0" collapsed="false">
      <c r="A593" s="21" t="s">
        <v>845</v>
      </c>
      <c r="B593" s="21" t="s">
        <v>827</v>
      </c>
      <c r="C593" s="21"/>
      <c r="D593" s="37" t="s">
        <v>84</v>
      </c>
      <c r="E593" s="37" t="s">
        <v>84</v>
      </c>
      <c r="F593" s="37" t="s">
        <v>153</v>
      </c>
      <c r="G593" s="21" t="s">
        <v>514</v>
      </c>
      <c r="H593" s="21" t="n">
        <v>0</v>
      </c>
      <c r="I593" s="21" t="s">
        <v>137</v>
      </c>
    </row>
    <row r="594" customFormat="false" ht="15" hidden="false" customHeight="false" outlineLevel="0" collapsed="false">
      <c r="A594" s="21" t="s">
        <v>846</v>
      </c>
      <c r="B594" s="21" t="s">
        <v>825</v>
      </c>
      <c r="C594" s="21"/>
      <c r="D594" s="37" t="s">
        <v>84</v>
      </c>
      <c r="E594" s="37" t="s">
        <v>84</v>
      </c>
      <c r="F594" s="37" t="s">
        <v>36</v>
      </c>
      <c r="G594" s="21" t="s">
        <v>505</v>
      </c>
      <c r="H594" s="21" t="n">
        <v>0</v>
      </c>
      <c r="I594" s="21" t="s">
        <v>137</v>
      </c>
    </row>
    <row r="595" customFormat="false" ht="15" hidden="false" customHeight="false" outlineLevel="0" collapsed="false">
      <c r="A595" s="21" t="s">
        <v>847</v>
      </c>
      <c r="B595" s="21" t="s">
        <v>825</v>
      </c>
      <c r="C595" s="21"/>
      <c r="D595" s="37" t="s">
        <v>84</v>
      </c>
      <c r="E595" s="37" t="s">
        <v>84</v>
      </c>
      <c r="F595" s="37" t="s">
        <v>36</v>
      </c>
      <c r="G595" s="21" t="s">
        <v>505</v>
      </c>
      <c r="H595" s="21" t="n">
        <v>0</v>
      </c>
      <c r="I595" s="21" t="s">
        <v>137</v>
      </c>
    </row>
    <row r="596" customFormat="false" ht="15" hidden="false" customHeight="false" outlineLevel="0" collapsed="false">
      <c r="A596" s="21" t="s">
        <v>848</v>
      </c>
      <c r="B596" s="21" t="s">
        <v>823</v>
      </c>
      <c r="C596" s="21"/>
      <c r="D596" s="37" t="s">
        <v>84</v>
      </c>
      <c r="E596" s="37" t="s">
        <v>84</v>
      </c>
      <c r="F596" s="37" t="s">
        <v>153</v>
      </c>
      <c r="G596" s="21" t="s">
        <v>505</v>
      </c>
      <c r="H596" s="21" t="n">
        <v>0</v>
      </c>
      <c r="I596" s="21" t="s">
        <v>137</v>
      </c>
    </row>
    <row r="597" customFormat="false" ht="15" hidden="false" customHeight="false" outlineLevel="0" collapsed="false">
      <c r="A597" s="21" t="s">
        <v>849</v>
      </c>
      <c r="B597" s="21" t="s">
        <v>825</v>
      </c>
      <c r="C597" s="21"/>
      <c r="D597" s="37" t="s">
        <v>84</v>
      </c>
      <c r="E597" s="37" t="s">
        <v>84</v>
      </c>
      <c r="F597" s="37" t="s">
        <v>36</v>
      </c>
      <c r="G597" s="21" t="s">
        <v>505</v>
      </c>
      <c r="H597" s="21" t="n">
        <v>0</v>
      </c>
      <c r="I597" s="21" t="s">
        <v>137</v>
      </c>
    </row>
    <row r="598" customFormat="false" ht="15" hidden="false" customHeight="false" outlineLevel="0" collapsed="false">
      <c r="A598" s="21" t="s">
        <v>850</v>
      </c>
      <c r="B598" s="21" t="s">
        <v>827</v>
      </c>
      <c r="C598" s="21"/>
      <c r="D598" s="37" t="s">
        <v>84</v>
      </c>
      <c r="E598" s="37" t="s">
        <v>84</v>
      </c>
      <c r="F598" s="37" t="s">
        <v>153</v>
      </c>
      <c r="G598" s="21" t="s">
        <v>505</v>
      </c>
      <c r="H598" s="21" t="n">
        <v>0</v>
      </c>
      <c r="I598" s="21" t="s">
        <v>137</v>
      </c>
    </row>
    <row r="599" customFormat="false" ht="15" hidden="false" customHeight="false" outlineLevel="0" collapsed="false">
      <c r="A599" s="21" t="s">
        <v>851</v>
      </c>
      <c r="B599" s="21" t="s">
        <v>825</v>
      </c>
      <c r="C599" s="21"/>
      <c r="D599" s="37" t="s">
        <v>84</v>
      </c>
      <c r="E599" s="37" t="s">
        <v>84</v>
      </c>
      <c r="F599" s="37" t="s">
        <v>36</v>
      </c>
      <c r="G599" s="21" t="s">
        <v>505</v>
      </c>
      <c r="H599" s="21" t="n">
        <v>0</v>
      </c>
      <c r="I599" s="21" t="s">
        <v>137</v>
      </c>
    </row>
    <row r="600" customFormat="false" ht="15" hidden="false" customHeight="false" outlineLevel="0" collapsed="false">
      <c r="A600" s="21" t="s">
        <v>852</v>
      </c>
      <c r="B600" s="21" t="s">
        <v>823</v>
      </c>
      <c r="C600" s="21"/>
      <c r="D600" s="37" t="s">
        <v>84</v>
      </c>
      <c r="E600" s="37" t="s">
        <v>84</v>
      </c>
      <c r="F600" s="37" t="s">
        <v>153</v>
      </c>
      <c r="G600" s="21" t="s">
        <v>505</v>
      </c>
      <c r="H600" s="21" t="n">
        <v>0</v>
      </c>
      <c r="I600" s="21" t="s">
        <v>137</v>
      </c>
    </row>
    <row r="601" customFormat="false" ht="15" hidden="false" customHeight="false" outlineLevel="0" collapsed="false">
      <c r="A601" s="21" t="s">
        <v>853</v>
      </c>
      <c r="B601" s="21" t="s">
        <v>825</v>
      </c>
      <c r="C601" s="21"/>
      <c r="D601" s="37" t="s">
        <v>84</v>
      </c>
      <c r="E601" s="37" t="s">
        <v>84</v>
      </c>
      <c r="F601" s="37" t="s">
        <v>36</v>
      </c>
      <c r="G601" s="21" t="s">
        <v>505</v>
      </c>
      <c r="H601" s="21" t="n">
        <v>0</v>
      </c>
      <c r="I601" s="21" t="s">
        <v>137</v>
      </c>
    </row>
    <row r="602" customFormat="false" ht="15" hidden="false" customHeight="false" outlineLevel="0" collapsed="false">
      <c r="A602" s="21" t="s">
        <v>854</v>
      </c>
      <c r="B602" s="21" t="s">
        <v>825</v>
      </c>
      <c r="C602" s="21"/>
      <c r="D602" s="37" t="s">
        <v>84</v>
      </c>
      <c r="E602" s="37" t="s">
        <v>84</v>
      </c>
      <c r="F602" s="37" t="s">
        <v>36</v>
      </c>
      <c r="G602" s="21" t="s">
        <v>505</v>
      </c>
      <c r="H602" s="21" t="n">
        <v>0</v>
      </c>
      <c r="I602" s="21" t="s">
        <v>137</v>
      </c>
    </row>
    <row r="603" customFormat="false" ht="15" hidden="false" customHeight="false" outlineLevel="0" collapsed="false">
      <c r="A603" s="21" t="s">
        <v>855</v>
      </c>
      <c r="B603" s="21" t="s">
        <v>827</v>
      </c>
      <c r="C603" s="21"/>
      <c r="D603" s="37" t="s">
        <v>84</v>
      </c>
      <c r="E603" s="37" t="s">
        <v>84</v>
      </c>
      <c r="F603" s="37" t="s">
        <v>153</v>
      </c>
      <c r="G603" s="21" t="s">
        <v>505</v>
      </c>
      <c r="H603" s="21" t="n">
        <v>0</v>
      </c>
      <c r="I603" s="21" t="s">
        <v>137</v>
      </c>
    </row>
    <row r="604" customFormat="false" ht="15" hidden="false" customHeight="false" outlineLevel="0" collapsed="false">
      <c r="A604" s="21" t="s">
        <v>856</v>
      </c>
      <c r="B604" s="21" t="s">
        <v>823</v>
      </c>
      <c r="C604" s="21"/>
      <c r="D604" s="37" t="s">
        <v>84</v>
      </c>
      <c r="E604" s="37" t="s">
        <v>84</v>
      </c>
      <c r="F604" s="37" t="s">
        <v>153</v>
      </c>
      <c r="G604" s="21" t="s">
        <v>505</v>
      </c>
      <c r="H604" s="21" t="n">
        <v>0</v>
      </c>
      <c r="I604" s="21" t="s">
        <v>137</v>
      </c>
    </row>
    <row r="605" customFormat="false" ht="15" hidden="false" customHeight="false" outlineLevel="0" collapsed="false">
      <c r="A605" s="21" t="s">
        <v>857</v>
      </c>
      <c r="B605" s="21" t="s">
        <v>823</v>
      </c>
      <c r="C605" s="21"/>
      <c r="D605" s="37" t="s">
        <v>84</v>
      </c>
      <c r="E605" s="37" t="s">
        <v>84</v>
      </c>
      <c r="F605" s="37" t="s">
        <v>153</v>
      </c>
      <c r="G605" s="21" t="s">
        <v>514</v>
      </c>
      <c r="H605" s="21" t="n">
        <v>0</v>
      </c>
      <c r="I605" s="21" t="s">
        <v>137</v>
      </c>
    </row>
    <row r="606" customFormat="false" ht="15" hidden="false" customHeight="false" outlineLevel="0" collapsed="false">
      <c r="A606" s="21" t="s">
        <v>858</v>
      </c>
      <c r="B606" s="21" t="s">
        <v>825</v>
      </c>
      <c r="C606" s="21"/>
      <c r="D606" s="37" t="s">
        <v>84</v>
      </c>
      <c r="E606" s="37" t="s">
        <v>84</v>
      </c>
      <c r="F606" s="37" t="s">
        <v>36</v>
      </c>
      <c r="G606" s="21" t="s">
        <v>505</v>
      </c>
      <c r="H606" s="21" t="n">
        <v>0</v>
      </c>
      <c r="I606" s="21" t="s">
        <v>137</v>
      </c>
    </row>
    <row r="607" customFormat="false" ht="15" hidden="false" customHeight="false" outlineLevel="0" collapsed="false">
      <c r="A607" s="21" t="s">
        <v>859</v>
      </c>
      <c r="B607" s="21" t="s">
        <v>827</v>
      </c>
      <c r="C607" s="21"/>
      <c r="D607" s="37" t="s">
        <v>84</v>
      </c>
      <c r="E607" s="37" t="s">
        <v>84</v>
      </c>
      <c r="F607" s="37" t="s">
        <v>153</v>
      </c>
      <c r="G607" s="21" t="s">
        <v>505</v>
      </c>
      <c r="H607" s="21" t="n">
        <v>0</v>
      </c>
      <c r="I607" s="21" t="s">
        <v>137</v>
      </c>
    </row>
    <row r="608" customFormat="false" ht="15" hidden="false" customHeight="false" outlineLevel="0" collapsed="false">
      <c r="A608" s="21" t="s">
        <v>860</v>
      </c>
      <c r="B608" s="21" t="s">
        <v>825</v>
      </c>
      <c r="C608" s="21"/>
      <c r="D608" s="37" t="s">
        <v>84</v>
      </c>
      <c r="E608" s="37" t="s">
        <v>84</v>
      </c>
      <c r="F608" s="37" t="s">
        <v>36</v>
      </c>
      <c r="G608" s="21" t="s">
        <v>505</v>
      </c>
      <c r="H608" s="21" t="n">
        <v>0</v>
      </c>
      <c r="I608" s="21" t="s">
        <v>137</v>
      </c>
    </row>
    <row r="609" customFormat="false" ht="15" hidden="false" customHeight="false" outlineLevel="0" collapsed="false">
      <c r="A609" s="21" t="s">
        <v>861</v>
      </c>
      <c r="B609" s="21" t="s">
        <v>825</v>
      </c>
      <c r="C609" s="21"/>
      <c r="D609" s="37" t="s">
        <v>84</v>
      </c>
      <c r="E609" s="37" t="s">
        <v>84</v>
      </c>
      <c r="F609" s="37" t="s">
        <v>36</v>
      </c>
      <c r="G609" s="21" t="s">
        <v>505</v>
      </c>
      <c r="H609" s="21" t="n">
        <v>0</v>
      </c>
      <c r="I609" s="21" t="s">
        <v>137</v>
      </c>
    </row>
    <row r="610" customFormat="false" ht="15" hidden="false" customHeight="false" outlineLevel="0" collapsed="false">
      <c r="A610" s="21" t="s">
        <v>862</v>
      </c>
      <c r="B610" s="21" t="s">
        <v>823</v>
      </c>
      <c r="C610" s="21"/>
      <c r="D610" s="37" t="s">
        <v>84</v>
      </c>
      <c r="E610" s="37" t="s">
        <v>84</v>
      </c>
      <c r="F610" s="37" t="s">
        <v>153</v>
      </c>
      <c r="G610" s="21" t="s">
        <v>505</v>
      </c>
      <c r="H610" s="21" t="n">
        <v>0</v>
      </c>
      <c r="I610" s="21" t="s">
        <v>137</v>
      </c>
    </row>
    <row r="611" customFormat="false" ht="15" hidden="false" customHeight="false" outlineLevel="0" collapsed="false">
      <c r="A611" s="21" t="s">
        <v>863</v>
      </c>
      <c r="B611" s="21" t="s">
        <v>825</v>
      </c>
      <c r="C611" s="21"/>
      <c r="D611" s="37" t="s">
        <v>84</v>
      </c>
      <c r="E611" s="37" t="s">
        <v>84</v>
      </c>
      <c r="F611" s="37" t="s">
        <v>36</v>
      </c>
      <c r="G611" s="21" t="s">
        <v>505</v>
      </c>
      <c r="H611" s="21" t="n">
        <v>0</v>
      </c>
      <c r="I611" s="21" t="s">
        <v>137</v>
      </c>
    </row>
    <row r="612" customFormat="false" ht="15" hidden="false" customHeight="false" outlineLevel="0" collapsed="false">
      <c r="A612" s="21" t="s">
        <v>864</v>
      </c>
      <c r="B612" s="21" t="s">
        <v>827</v>
      </c>
      <c r="C612" s="21"/>
      <c r="D612" s="37" t="s">
        <v>84</v>
      </c>
      <c r="E612" s="37" t="s">
        <v>84</v>
      </c>
      <c r="F612" s="37" t="s">
        <v>153</v>
      </c>
      <c r="G612" s="21" t="s">
        <v>514</v>
      </c>
      <c r="H612" s="21" t="n">
        <v>0</v>
      </c>
      <c r="I612" s="21" t="s">
        <v>137</v>
      </c>
    </row>
    <row r="613" customFormat="false" ht="15" hidden="false" customHeight="false" outlineLevel="0" collapsed="false">
      <c r="A613" s="21" t="s">
        <v>865</v>
      </c>
      <c r="B613" s="21" t="s">
        <v>823</v>
      </c>
      <c r="C613" s="21"/>
      <c r="D613" s="37" t="s">
        <v>84</v>
      </c>
      <c r="E613" s="37" t="s">
        <v>84</v>
      </c>
      <c r="F613" s="37" t="s">
        <v>153</v>
      </c>
      <c r="G613" s="21" t="s">
        <v>505</v>
      </c>
      <c r="H613" s="21" t="n">
        <v>0</v>
      </c>
      <c r="I613" s="21" t="s">
        <v>137</v>
      </c>
    </row>
    <row r="614" customFormat="false" ht="15" hidden="false" customHeight="false" outlineLevel="0" collapsed="false">
      <c r="A614" s="21" t="s">
        <v>866</v>
      </c>
      <c r="B614" s="21" t="s">
        <v>827</v>
      </c>
      <c r="C614" s="21"/>
      <c r="D614" s="37" t="s">
        <v>84</v>
      </c>
      <c r="E614" s="37" t="s">
        <v>84</v>
      </c>
      <c r="F614" s="37" t="s">
        <v>153</v>
      </c>
      <c r="G614" s="21" t="s">
        <v>514</v>
      </c>
      <c r="H614" s="21" t="n">
        <v>0</v>
      </c>
      <c r="I614" s="21" t="s">
        <v>137</v>
      </c>
    </row>
    <row r="615" customFormat="false" ht="15" hidden="false" customHeight="false" outlineLevel="0" collapsed="false">
      <c r="A615" s="21" t="s">
        <v>867</v>
      </c>
      <c r="B615" s="21" t="s">
        <v>825</v>
      </c>
      <c r="C615" s="21"/>
      <c r="D615" s="37" t="s">
        <v>84</v>
      </c>
      <c r="E615" s="37" t="s">
        <v>84</v>
      </c>
      <c r="F615" s="37" t="s">
        <v>36</v>
      </c>
      <c r="G615" s="21" t="s">
        <v>505</v>
      </c>
      <c r="H615" s="21" t="n">
        <v>0</v>
      </c>
      <c r="I615" s="21" t="s">
        <v>137</v>
      </c>
    </row>
    <row r="616" customFormat="false" ht="15" hidden="false" customHeight="false" outlineLevel="0" collapsed="false">
      <c r="A616" s="21" t="s">
        <v>868</v>
      </c>
      <c r="B616" s="21" t="s">
        <v>827</v>
      </c>
      <c r="C616" s="21"/>
      <c r="D616" s="37" t="s">
        <v>84</v>
      </c>
      <c r="E616" s="37" t="s">
        <v>84</v>
      </c>
      <c r="F616" s="37" t="s">
        <v>153</v>
      </c>
      <c r="G616" s="21" t="s">
        <v>514</v>
      </c>
      <c r="H616" s="21" t="n">
        <v>0</v>
      </c>
      <c r="I616" s="21" t="s">
        <v>137</v>
      </c>
    </row>
    <row r="617" customFormat="false" ht="15" hidden="false" customHeight="false" outlineLevel="0" collapsed="false">
      <c r="A617" s="21" t="s">
        <v>869</v>
      </c>
      <c r="B617" s="21" t="s">
        <v>823</v>
      </c>
      <c r="C617" s="21"/>
      <c r="D617" s="37" t="s">
        <v>84</v>
      </c>
      <c r="E617" s="37" t="s">
        <v>84</v>
      </c>
      <c r="F617" s="37" t="s">
        <v>153</v>
      </c>
      <c r="G617" s="21" t="s">
        <v>514</v>
      </c>
      <c r="H617" s="21" t="n">
        <v>0</v>
      </c>
      <c r="I617" s="21" t="s">
        <v>137</v>
      </c>
    </row>
    <row r="618" customFormat="false" ht="15" hidden="false" customHeight="false" outlineLevel="0" collapsed="false">
      <c r="A618" s="21" t="s">
        <v>870</v>
      </c>
      <c r="B618" s="21" t="s">
        <v>871</v>
      </c>
      <c r="C618" s="21"/>
      <c r="D618" s="37" t="s">
        <v>211</v>
      </c>
      <c r="E618" s="37" t="s">
        <v>26</v>
      </c>
      <c r="F618" s="37" t="s">
        <v>153</v>
      </c>
      <c r="G618" s="21" t="s">
        <v>505</v>
      </c>
      <c r="H618" s="21" t="n">
        <v>0</v>
      </c>
      <c r="I618" s="21" t="s">
        <v>137</v>
      </c>
    </row>
    <row r="619" customFormat="false" ht="15" hidden="false" customHeight="false" outlineLevel="0" collapsed="false">
      <c r="A619" s="21" t="s">
        <v>872</v>
      </c>
      <c r="B619" s="21" t="s">
        <v>825</v>
      </c>
      <c r="C619" s="21"/>
      <c r="D619" s="37" t="s">
        <v>84</v>
      </c>
      <c r="E619" s="37" t="s">
        <v>84</v>
      </c>
      <c r="F619" s="37" t="s">
        <v>36</v>
      </c>
      <c r="G619" s="21" t="s">
        <v>505</v>
      </c>
      <c r="H619" s="21" t="n">
        <v>0</v>
      </c>
      <c r="I619" s="21" t="s">
        <v>137</v>
      </c>
    </row>
    <row r="620" customFormat="false" ht="15" hidden="false" customHeight="false" outlineLevel="0" collapsed="false">
      <c r="A620" s="21" t="s">
        <v>873</v>
      </c>
      <c r="B620" s="21" t="s">
        <v>825</v>
      </c>
      <c r="C620" s="21"/>
      <c r="D620" s="37" t="s">
        <v>84</v>
      </c>
      <c r="E620" s="37" t="s">
        <v>84</v>
      </c>
      <c r="F620" s="37" t="s">
        <v>36</v>
      </c>
      <c r="G620" s="21" t="s">
        <v>505</v>
      </c>
      <c r="H620" s="21" t="n">
        <v>0</v>
      </c>
      <c r="I620" s="21" t="s">
        <v>137</v>
      </c>
    </row>
    <row r="621" customFormat="false" ht="15" hidden="false" customHeight="false" outlineLevel="0" collapsed="false">
      <c r="A621" s="21" t="s">
        <v>874</v>
      </c>
      <c r="B621" s="21" t="s">
        <v>825</v>
      </c>
      <c r="C621" s="21"/>
      <c r="D621" s="37" t="s">
        <v>84</v>
      </c>
      <c r="E621" s="37" t="s">
        <v>84</v>
      </c>
      <c r="F621" s="37" t="s">
        <v>36</v>
      </c>
      <c r="G621" s="21" t="s">
        <v>505</v>
      </c>
      <c r="H621" s="21" t="n">
        <v>0</v>
      </c>
      <c r="I621" s="21" t="s">
        <v>137</v>
      </c>
    </row>
    <row r="622" customFormat="false" ht="15" hidden="false" customHeight="false" outlineLevel="0" collapsed="false">
      <c r="A622" s="21" t="s">
        <v>875</v>
      </c>
      <c r="B622" s="21" t="s">
        <v>823</v>
      </c>
      <c r="C622" s="21"/>
      <c r="D622" s="37" t="s">
        <v>84</v>
      </c>
      <c r="E622" s="37" t="s">
        <v>84</v>
      </c>
      <c r="F622" s="37" t="s">
        <v>153</v>
      </c>
      <c r="G622" s="21" t="s">
        <v>514</v>
      </c>
      <c r="H622" s="21" t="n">
        <v>0</v>
      </c>
      <c r="I622" s="21" t="s">
        <v>137</v>
      </c>
    </row>
    <row r="623" customFormat="false" ht="15" hidden="false" customHeight="false" outlineLevel="0" collapsed="false">
      <c r="A623" s="21" t="s">
        <v>876</v>
      </c>
      <c r="B623" s="21" t="s">
        <v>825</v>
      </c>
      <c r="C623" s="21"/>
      <c r="D623" s="37" t="s">
        <v>84</v>
      </c>
      <c r="E623" s="37" t="s">
        <v>84</v>
      </c>
      <c r="F623" s="37" t="s">
        <v>36</v>
      </c>
      <c r="G623" s="21" t="s">
        <v>505</v>
      </c>
      <c r="H623" s="21" t="n">
        <v>0</v>
      </c>
      <c r="I623" s="21" t="s">
        <v>137</v>
      </c>
    </row>
    <row r="624" customFormat="false" ht="15" hidden="false" customHeight="false" outlineLevel="0" collapsed="false">
      <c r="A624" s="21" t="s">
        <v>877</v>
      </c>
      <c r="B624" s="21" t="s">
        <v>825</v>
      </c>
      <c r="C624" s="21"/>
      <c r="D624" s="37" t="s">
        <v>84</v>
      </c>
      <c r="E624" s="37" t="s">
        <v>84</v>
      </c>
      <c r="F624" s="37" t="s">
        <v>36</v>
      </c>
      <c r="G624" s="21" t="s">
        <v>505</v>
      </c>
      <c r="H624" s="21" t="n">
        <v>0</v>
      </c>
      <c r="I624" s="21" t="s">
        <v>137</v>
      </c>
    </row>
    <row r="625" customFormat="false" ht="15" hidden="false" customHeight="false" outlineLevel="0" collapsed="false">
      <c r="A625" s="21" t="s">
        <v>878</v>
      </c>
      <c r="B625" s="21" t="s">
        <v>825</v>
      </c>
      <c r="C625" s="21"/>
      <c r="D625" s="37" t="s">
        <v>84</v>
      </c>
      <c r="E625" s="37" t="s">
        <v>84</v>
      </c>
      <c r="F625" s="37" t="s">
        <v>36</v>
      </c>
      <c r="G625" s="21" t="s">
        <v>505</v>
      </c>
      <c r="H625" s="21" t="n">
        <v>0</v>
      </c>
      <c r="I625" s="21" t="s">
        <v>137</v>
      </c>
    </row>
    <row r="626" customFormat="false" ht="15" hidden="false" customHeight="false" outlineLevel="0" collapsed="false">
      <c r="A626" s="21" t="s">
        <v>879</v>
      </c>
      <c r="B626" s="21" t="s">
        <v>823</v>
      </c>
      <c r="C626" s="21"/>
      <c r="D626" s="37" t="s">
        <v>84</v>
      </c>
      <c r="E626" s="37" t="s">
        <v>84</v>
      </c>
      <c r="F626" s="37" t="s">
        <v>153</v>
      </c>
      <c r="G626" s="21" t="s">
        <v>505</v>
      </c>
      <c r="H626" s="21" t="n">
        <v>0</v>
      </c>
      <c r="I626" s="21" t="s">
        <v>137</v>
      </c>
    </row>
    <row r="627" customFormat="false" ht="15" hidden="false" customHeight="false" outlineLevel="0" collapsed="false">
      <c r="A627" s="21" t="s">
        <v>880</v>
      </c>
      <c r="B627" s="21" t="s">
        <v>825</v>
      </c>
      <c r="C627" s="21"/>
      <c r="D627" s="37" t="s">
        <v>84</v>
      </c>
      <c r="E627" s="37" t="s">
        <v>84</v>
      </c>
      <c r="F627" s="37" t="s">
        <v>36</v>
      </c>
      <c r="G627" s="21" t="s">
        <v>505</v>
      </c>
      <c r="H627" s="21" t="n">
        <v>0</v>
      </c>
      <c r="I627" s="21" t="s">
        <v>137</v>
      </c>
    </row>
    <row r="628" customFormat="false" ht="15" hidden="false" customHeight="false" outlineLevel="0" collapsed="false">
      <c r="A628" s="21" t="s">
        <v>881</v>
      </c>
      <c r="B628" s="21" t="s">
        <v>823</v>
      </c>
      <c r="C628" s="21"/>
      <c r="D628" s="37" t="s">
        <v>84</v>
      </c>
      <c r="E628" s="37" t="s">
        <v>84</v>
      </c>
      <c r="F628" s="37" t="s">
        <v>153</v>
      </c>
      <c r="G628" s="21" t="s">
        <v>505</v>
      </c>
      <c r="H628" s="21" t="n">
        <v>0</v>
      </c>
      <c r="I628" s="21" t="s">
        <v>137</v>
      </c>
    </row>
    <row r="629" customFormat="false" ht="15" hidden="false" customHeight="false" outlineLevel="0" collapsed="false">
      <c r="A629" s="21" t="s">
        <v>882</v>
      </c>
      <c r="B629" s="21" t="s">
        <v>823</v>
      </c>
      <c r="C629" s="21"/>
      <c r="D629" s="37" t="s">
        <v>84</v>
      </c>
      <c r="E629" s="37" t="s">
        <v>84</v>
      </c>
      <c r="F629" s="37" t="s">
        <v>153</v>
      </c>
      <c r="G629" s="21" t="s">
        <v>505</v>
      </c>
      <c r="H629" s="21" t="n">
        <v>0</v>
      </c>
      <c r="I629" s="21" t="s">
        <v>137</v>
      </c>
    </row>
    <row r="630" customFormat="false" ht="15" hidden="false" customHeight="false" outlineLevel="0" collapsed="false">
      <c r="A630" s="21" t="s">
        <v>883</v>
      </c>
      <c r="B630" s="21" t="s">
        <v>825</v>
      </c>
      <c r="C630" s="21"/>
      <c r="D630" s="37" t="s">
        <v>84</v>
      </c>
      <c r="E630" s="37" t="s">
        <v>84</v>
      </c>
      <c r="F630" s="37" t="s">
        <v>36</v>
      </c>
      <c r="G630" s="21" t="s">
        <v>505</v>
      </c>
      <c r="H630" s="21" t="n">
        <v>0</v>
      </c>
      <c r="I630" s="21" t="s">
        <v>137</v>
      </c>
    </row>
    <row r="631" customFormat="false" ht="15" hidden="false" customHeight="false" outlineLevel="0" collapsed="false">
      <c r="A631" s="21" t="s">
        <v>884</v>
      </c>
      <c r="B631" s="21" t="s">
        <v>823</v>
      </c>
      <c r="C631" s="21"/>
      <c r="D631" s="37" t="s">
        <v>84</v>
      </c>
      <c r="E631" s="37" t="s">
        <v>84</v>
      </c>
      <c r="F631" s="37" t="s">
        <v>153</v>
      </c>
      <c r="G631" s="21" t="s">
        <v>505</v>
      </c>
      <c r="H631" s="21" t="n">
        <v>0</v>
      </c>
      <c r="I631" s="21" t="s">
        <v>137</v>
      </c>
    </row>
    <row r="632" customFormat="false" ht="15" hidden="false" customHeight="false" outlineLevel="0" collapsed="false">
      <c r="A632" s="21" t="s">
        <v>885</v>
      </c>
      <c r="B632" s="21" t="s">
        <v>823</v>
      </c>
      <c r="C632" s="21"/>
      <c r="D632" s="37" t="s">
        <v>84</v>
      </c>
      <c r="E632" s="37" t="s">
        <v>84</v>
      </c>
      <c r="F632" s="37" t="s">
        <v>153</v>
      </c>
      <c r="G632" s="21" t="s">
        <v>514</v>
      </c>
      <c r="H632" s="21" t="n">
        <v>0</v>
      </c>
      <c r="I632" s="21" t="s">
        <v>137</v>
      </c>
    </row>
    <row r="633" customFormat="false" ht="15" hidden="false" customHeight="false" outlineLevel="0" collapsed="false">
      <c r="A633" s="21" t="s">
        <v>886</v>
      </c>
      <c r="B633" s="21" t="s">
        <v>827</v>
      </c>
      <c r="C633" s="21"/>
      <c r="D633" s="37" t="s">
        <v>84</v>
      </c>
      <c r="E633" s="37" t="s">
        <v>84</v>
      </c>
      <c r="F633" s="37" t="s">
        <v>153</v>
      </c>
      <c r="G633" s="21" t="s">
        <v>514</v>
      </c>
      <c r="H633" s="21" t="n">
        <v>0</v>
      </c>
      <c r="I633" s="21" t="s">
        <v>137</v>
      </c>
    </row>
    <row r="634" customFormat="false" ht="15" hidden="false" customHeight="false" outlineLevel="0" collapsed="false">
      <c r="A634" s="21" t="s">
        <v>887</v>
      </c>
      <c r="B634" s="21" t="s">
        <v>823</v>
      </c>
      <c r="C634" s="21"/>
      <c r="D634" s="37" t="s">
        <v>84</v>
      </c>
      <c r="E634" s="37" t="s">
        <v>84</v>
      </c>
      <c r="F634" s="37" t="s">
        <v>153</v>
      </c>
      <c r="G634" s="21" t="s">
        <v>505</v>
      </c>
      <c r="H634" s="21" t="n">
        <v>0</v>
      </c>
      <c r="I634" s="21" t="s">
        <v>137</v>
      </c>
    </row>
    <row r="635" customFormat="false" ht="15" hidden="false" customHeight="false" outlineLevel="0" collapsed="false">
      <c r="A635" s="21" t="s">
        <v>888</v>
      </c>
      <c r="B635" s="21" t="s">
        <v>825</v>
      </c>
      <c r="C635" s="21"/>
      <c r="D635" s="37" t="s">
        <v>84</v>
      </c>
      <c r="E635" s="37" t="s">
        <v>84</v>
      </c>
      <c r="F635" s="37" t="s">
        <v>36</v>
      </c>
      <c r="G635" s="21" t="s">
        <v>505</v>
      </c>
      <c r="H635" s="21" t="n">
        <v>0</v>
      </c>
      <c r="I635" s="21" t="s">
        <v>137</v>
      </c>
    </row>
    <row r="636" customFormat="false" ht="15" hidden="false" customHeight="false" outlineLevel="0" collapsed="false">
      <c r="A636" s="21" t="s">
        <v>889</v>
      </c>
      <c r="B636" s="21" t="s">
        <v>825</v>
      </c>
      <c r="C636" s="21"/>
      <c r="D636" s="37" t="s">
        <v>84</v>
      </c>
      <c r="E636" s="37" t="s">
        <v>84</v>
      </c>
      <c r="F636" s="37" t="s">
        <v>36</v>
      </c>
      <c r="G636" s="21" t="s">
        <v>505</v>
      </c>
      <c r="H636" s="21" t="n">
        <v>0</v>
      </c>
      <c r="I636" s="21" t="s">
        <v>137</v>
      </c>
    </row>
    <row r="637" customFormat="false" ht="15" hidden="false" customHeight="false" outlineLevel="0" collapsed="false">
      <c r="A637" s="21" t="s">
        <v>890</v>
      </c>
      <c r="B637" s="21" t="s">
        <v>823</v>
      </c>
      <c r="C637" s="21"/>
      <c r="D637" s="37" t="s">
        <v>84</v>
      </c>
      <c r="E637" s="37" t="s">
        <v>84</v>
      </c>
      <c r="F637" s="37" t="s">
        <v>153</v>
      </c>
      <c r="G637" s="21" t="s">
        <v>505</v>
      </c>
      <c r="H637" s="21" t="n">
        <v>0</v>
      </c>
      <c r="I637" s="21" t="s">
        <v>137</v>
      </c>
    </row>
    <row r="638" customFormat="false" ht="15" hidden="false" customHeight="false" outlineLevel="0" collapsed="false">
      <c r="A638" s="21" t="s">
        <v>891</v>
      </c>
      <c r="B638" s="21" t="s">
        <v>823</v>
      </c>
      <c r="C638" s="21"/>
      <c r="D638" s="37" t="s">
        <v>84</v>
      </c>
      <c r="E638" s="37" t="s">
        <v>84</v>
      </c>
      <c r="F638" s="37" t="s">
        <v>153</v>
      </c>
      <c r="G638" s="21" t="s">
        <v>505</v>
      </c>
      <c r="H638" s="21" t="n">
        <v>0</v>
      </c>
      <c r="I638" s="21" t="s">
        <v>137</v>
      </c>
    </row>
    <row r="639" customFormat="false" ht="15" hidden="false" customHeight="false" outlineLevel="0" collapsed="false">
      <c r="A639" s="21" t="s">
        <v>892</v>
      </c>
      <c r="B639" s="21" t="s">
        <v>823</v>
      </c>
      <c r="C639" s="21"/>
      <c r="D639" s="37" t="s">
        <v>84</v>
      </c>
      <c r="E639" s="37" t="s">
        <v>84</v>
      </c>
      <c r="F639" s="37" t="s">
        <v>153</v>
      </c>
      <c r="G639" s="21" t="s">
        <v>514</v>
      </c>
      <c r="H639" s="21" t="n">
        <v>0</v>
      </c>
      <c r="I639" s="21" t="s">
        <v>137</v>
      </c>
    </row>
    <row r="640" customFormat="false" ht="15" hidden="false" customHeight="false" outlineLevel="0" collapsed="false">
      <c r="A640" s="21" t="s">
        <v>893</v>
      </c>
      <c r="B640" s="21" t="s">
        <v>827</v>
      </c>
      <c r="C640" s="21"/>
      <c r="D640" s="37" t="s">
        <v>84</v>
      </c>
      <c r="E640" s="37" t="s">
        <v>84</v>
      </c>
      <c r="F640" s="37" t="s">
        <v>153</v>
      </c>
      <c r="G640" s="21" t="s">
        <v>505</v>
      </c>
      <c r="H640" s="21" t="n">
        <v>0</v>
      </c>
      <c r="I640" s="21" t="s">
        <v>137</v>
      </c>
    </row>
    <row r="641" customFormat="false" ht="15" hidden="false" customHeight="false" outlineLevel="0" collapsed="false">
      <c r="A641" s="21" t="s">
        <v>894</v>
      </c>
      <c r="B641" s="21" t="s">
        <v>823</v>
      </c>
      <c r="C641" s="21"/>
      <c r="D641" s="37" t="s">
        <v>84</v>
      </c>
      <c r="E641" s="37" t="s">
        <v>84</v>
      </c>
      <c r="F641" s="37" t="s">
        <v>153</v>
      </c>
      <c r="G641" s="21" t="s">
        <v>505</v>
      </c>
      <c r="H641" s="21" t="n">
        <v>0</v>
      </c>
      <c r="I641" s="21" t="s">
        <v>137</v>
      </c>
    </row>
    <row r="642" customFormat="false" ht="15" hidden="false" customHeight="false" outlineLevel="0" collapsed="false">
      <c r="A642" s="21" t="s">
        <v>895</v>
      </c>
      <c r="B642" s="21" t="s">
        <v>825</v>
      </c>
      <c r="C642" s="21"/>
      <c r="D642" s="37" t="s">
        <v>84</v>
      </c>
      <c r="E642" s="37" t="s">
        <v>84</v>
      </c>
      <c r="F642" s="37" t="s">
        <v>36</v>
      </c>
      <c r="G642" s="21" t="s">
        <v>505</v>
      </c>
      <c r="H642" s="21" t="n">
        <v>0</v>
      </c>
      <c r="I642" s="21" t="s">
        <v>137</v>
      </c>
    </row>
    <row r="643" customFormat="false" ht="15" hidden="false" customHeight="false" outlineLevel="0" collapsed="false">
      <c r="A643" s="21" t="s">
        <v>896</v>
      </c>
      <c r="B643" s="21" t="s">
        <v>827</v>
      </c>
      <c r="C643" s="21"/>
      <c r="D643" s="37" t="s">
        <v>84</v>
      </c>
      <c r="E643" s="37" t="s">
        <v>84</v>
      </c>
      <c r="F643" s="37" t="s">
        <v>153</v>
      </c>
      <c r="G643" s="21" t="s">
        <v>505</v>
      </c>
      <c r="H643" s="21" t="n">
        <v>0</v>
      </c>
      <c r="I643" s="21" t="s">
        <v>137</v>
      </c>
    </row>
    <row r="644" customFormat="false" ht="15" hidden="false" customHeight="false" outlineLevel="0" collapsed="false">
      <c r="A644" s="21" t="s">
        <v>897</v>
      </c>
      <c r="B644" s="21" t="s">
        <v>823</v>
      </c>
      <c r="C644" s="21"/>
      <c r="D644" s="37" t="s">
        <v>84</v>
      </c>
      <c r="E644" s="37" t="s">
        <v>84</v>
      </c>
      <c r="F644" s="37" t="s">
        <v>153</v>
      </c>
      <c r="G644" s="21" t="s">
        <v>505</v>
      </c>
      <c r="H644" s="21" t="n">
        <v>0</v>
      </c>
      <c r="I644" s="21" t="s">
        <v>137</v>
      </c>
    </row>
    <row r="645" customFormat="false" ht="15" hidden="false" customHeight="false" outlineLevel="0" collapsed="false">
      <c r="A645" s="21" t="s">
        <v>898</v>
      </c>
      <c r="B645" s="21" t="s">
        <v>825</v>
      </c>
      <c r="C645" s="21"/>
      <c r="D645" s="37" t="s">
        <v>84</v>
      </c>
      <c r="E645" s="37" t="s">
        <v>84</v>
      </c>
      <c r="F645" s="37" t="s">
        <v>36</v>
      </c>
      <c r="G645" s="21" t="s">
        <v>505</v>
      </c>
      <c r="H645" s="21" t="n">
        <v>0</v>
      </c>
      <c r="I645" s="21" t="s">
        <v>137</v>
      </c>
    </row>
    <row r="646" customFormat="false" ht="15" hidden="false" customHeight="false" outlineLevel="0" collapsed="false">
      <c r="A646" s="21" t="s">
        <v>899</v>
      </c>
      <c r="B646" s="21" t="s">
        <v>825</v>
      </c>
      <c r="C646" s="21"/>
      <c r="D646" s="37" t="s">
        <v>84</v>
      </c>
      <c r="E646" s="37" t="s">
        <v>84</v>
      </c>
      <c r="F646" s="37" t="s">
        <v>36</v>
      </c>
      <c r="G646" s="21" t="s">
        <v>505</v>
      </c>
      <c r="H646" s="21" t="n">
        <v>0</v>
      </c>
      <c r="I646" s="21" t="s">
        <v>137</v>
      </c>
    </row>
    <row r="647" customFormat="false" ht="15" hidden="false" customHeight="false" outlineLevel="0" collapsed="false">
      <c r="A647" s="21" t="s">
        <v>900</v>
      </c>
      <c r="B647" s="21" t="s">
        <v>823</v>
      </c>
      <c r="C647" s="21"/>
      <c r="D647" s="37" t="s">
        <v>84</v>
      </c>
      <c r="E647" s="37" t="s">
        <v>84</v>
      </c>
      <c r="F647" s="37" t="s">
        <v>153</v>
      </c>
      <c r="G647" s="21" t="s">
        <v>505</v>
      </c>
      <c r="H647" s="21" t="n">
        <v>0</v>
      </c>
      <c r="I647" s="21" t="s">
        <v>137</v>
      </c>
    </row>
    <row r="648" customFormat="false" ht="15" hidden="false" customHeight="false" outlineLevel="0" collapsed="false">
      <c r="A648" s="21" t="s">
        <v>901</v>
      </c>
      <c r="B648" s="21" t="s">
        <v>825</v>
      </c>
      <c r="C648" s="21"/>
      <c r="D648" s="37" t="s">
        <v>84</v>
      </c>
      <c r="E648" s="37" t="s">
        <v>84</v>
      </c>
      <c r="F648" s="37" t="s">
        <v>36</v>
      </c>
      <c r="G648" s="21" t="s">
        <v>505</v>
      </c>
      <c r="H648" s="21" t="n">
        <v>0</v>
      </c>
      <c r="I648" s="21" t="s">
        <v>137</v>
      </c>
    </row>
    <row r="649" customFormat="false" ht="15" hidden="false" customHeight="false" outlineLevel="0" collapsed="false">
      <c r="A649" s="21" t="s">
        <v>902</v>
      </c>
      <c r="B649" s="21" t="s">
        <v>825</v>
      </c>
      <c r="C649" s="21"/>
      <c r="D649" s="37" t="s">
        <v>84</v>
      </c>
      <c r="E649" s="37" t="s">
        <v>84</v>
      </c>
      <c r="F649" s="37" t="s">
        <v>36</v>
      </c>
      <c r="G649" s="21" t="s">
        <v>505</v>
      </c>
      <c r="H649" s="21" t="n">
        <v>0</v>
      </c>
      <c r="I649" s="21" t="s">
        <v>137</v>
      </c>
    </row>
    <row r="650" customFormat="false" ht="15" hidden="false" customHeight="false" outlineLevel="0" collapsed="false">
      <c r="A650" s="21" t="s">
        <v>903</v>
      </c>
      <c r="B650" s="21" t="s">
        <v>823</v>
      </c>
      <c r="C650" s="21"/>
      <c r="D650" s="37" t="s">
        <v>84</v>
      </c>
      <c r="E650" s="37" t="s">
        <v>84</v>
      </c>
      <c r="F650" s="37" t="s">
        <v>153</v>
      </c>
      <c r="G650" s="21" t="s">
        <v>505</v>
      </c>
      <c r="H650" s="21" t="n">
        <v>0</v>
      </c>
      <c r="I650" s="21" t="s">
        <v>137</v>
      </c>
    </row>
    <row r="651" customFormat="false" ht="15" hidden="false" customHeight="false" outlineLevel="0" collapsed="false">
      <c r="A651" s="21" t="s">
        <v>904</v>
      </c>
      <c r="B651" s="21" t="s">
        <v>823</v>
      </c>
      <c r="C651" s="21"/>
      <c r="D651" s="37" t="s">
        <v>84</v>
      </c>
      <c r="E651" s="37" t="s">
        <v>84</v>
      </c>
      <c r="F651" s="37" t="s">
        <v>153</v>
      </c>
      <c r="G651" s="21" t="s">
        <v>505</v>
      </c>
      <c r="H651" s="21" t="n">
        <v>0</v>
      </c>
      <c r="I651" s="21" t="s">
        <v>137</v>
      </c>
    </row>
    <row r="652" customFormat="false" ht="15" hidden="false" customHeight="false" outlineLevel="0" collapsed="false">
      <c r="A652" s="21" t="s">
        <v>905</v>
      </c>
      <c r="B652" s="21" t="s">
        <v>825</v>
      </c>
      <c r="C652" s="21"/>
      <c r="D652" s="37" t="s">
        <v>84</v>
      </c>
      <c r="E652" s="37" t="s">
        <v>84</v>
      </c>
      <c r="F652" s="37" t="s">
        <v>36</v>
      </c>
      <c r="G652" s="21" t="s">
        <v>505</v>
      </c>
      <c r="H652" s="21" t="n">
        <v>0</v>
      </c>
      <c r="I652" s="21" t="s">
        <v>137</v>
      </c>
    </row>
    <row r="653" customFormat="false" ht="15" hidden="false" customHeight="false" outlineLevel="0" collapsed="false">
      <c r="A653" s="21" t="s">
        <v>906</v>
      </c>
      <c r="B653" s="21" t="s">
        <v>823</v>
      </c>
      <c r="C653" s="21"/>
      <c r="D653" s="37" t="s">
        <v>84</v>
      </c>
      <c r="E653" s="37" t="s">
        <v>84</v>
      </c>
      <c r="F653" s="37" t="s">
        <v>153</v>
      </c>
      <c r="G653" s="21" t="s">
        <v>514</v>
      </c>
      <c r="H653" s="21" t="n">
        <v>0</v>
      </c>
      <c r="I653" s="21" t="s">
        <v>137</v>
      </c>
    </row>
    <row r="654" customFormat="false" ht="15" hidden="false" customHeight="false" outlineLevel="0" collapsed="false">
      <c r="A654" s="21" t="s">
        <v>907</v>
      </c>
      <c r="B654" s="21" t="s">
        <v>825</v>
      </c>
      <c r="C654" s="21"/>
      <c r="D654" s="37" t="s">
        <v>84</v>
      </c>
      <c r="E654" s="37" t="s">
        <v>84</v>
      </c>
      <c r="F654" s="37" t="s">
        <v>36</v>
      </c>
      <c r="G654" s="21" t="s">
        <v>505</v>
      </c>
      <c r="H654" s="21" t="n">
        <v>0</v>
      </c>
      <c r="I654" s="21" t="s">
        <v>137</v>
      </c>
    </row>
    <row r="655" customFormat="false" ht="15" hidden="false" customHeight="false" outlineLevel="0" collapsed="false">
      <c r="A655" s="21" t="s">
        <v>908</v>
      </c>
      <c r="B655" s="21" t="s">
        <v>823</v>
      </c>
      <c r="C655" s="21"/>
      <c r="D655" s="37" t="s">
        <v>84</v>
      </c>
      <c r="E655" s="37" t="s">
        <v>84</v>
      </c>
      <c r="F655" s="37" t="s">
        <v>153</v>
      </c>
      <c r="G655" s="21" t="s">
        <v>505</v>
      </c>
      <c r="H655" s="21" t="n">
        <v>0</v>
      </c>
      <c r="I655" s="21" t="s">
        <v>137</v>
      </c>
    </row>
    <row r="656" customFormat="false" ht="15" hidden="false" customHeight="false" outlineLevel="0" collapsed="false">
      <c r="A656" s="21" t="s">
        <v>909</v>
      </c>
      <c r="B656" s="21" t="s">
        <v>825</v>
      </c>
      <c r="C656" s="21"/>
      <c r="D656" s="37" t="s">
        <v>84</v>
      </c>
      <c r="E656" s="37" t="s">
        <v>84</v>
      </c>
      <c r="F656" s="37" t="s">
        <v>36</v>
      </c>
      <c r="G656" s="21" t="s">
        <v>505</v>
      </c>
      <c r="H656" s="21" t="n">
        <v>0</v>
      </c>
      <c r="I656" s="21" t="s">
        <v>137</v>
      </c>
    </row>
    <row r="657" customFormat="false" ht="15" hidden="false" customHeight="false" outlineLevel="0" collapsed="false">
      <c r="A657" s="21" t="s">
        <v>910</v>
      </c>
      <c r="B657" s="21" t="s">
        <v>825</v>
      </c>
      <c r="C657" s="21"/>
      <c r="D657" s="37" t="s">
        <v>84</v>
      </c>
      <c r="E657" s="37" t="s">
        <v>84</v>
      </c>
      <c r="F657" s="37" t="s">
        <v>36</v>
      </c>
      <c r="G657" s="21" t="s">
        <v>505</v>
      </c>
      <c r="H657" s="21" t="n">
        <v>0</v>
      </c>
      <c r="I657" s="21" t="s">
        <v>137</v>
      </c>
    </row>
    <row r="658" customFormat="false" ht="15" hidden="false" customHeight="false" outlineLevel="0" collapsed="false">
      <c r="A658" s="21" t="s">
        <v>911</v>
      </c>
      <c r="B658" s="21" t="s">
        <v>823</v>
      </c>
      <c r="C658" s="21"/>
      <c r="D658" s="37" t="s">
        <v>84</v>
      </c>
      <c r="E658" s="37" t="s">
        <v>84</v>
      </c>
      <c r="F658" s="37" t="s">
        <v>153</v>
      </c>
      <c r="G658" s="21" t="s">
        <v>505</v>
      </c>
      <c r="H658" s="21" t="n">
        <v>0</v>
      </c>
      <c r="I658" s="21" t="s">
        <v>137</v>
      </c>
    </row>
    <row r="659" customFormat="false" ht="15" hidden="false" customHeight="false" outlineLevel="0" collapsed="false">
      <c r="A659" s="21" t="s">
        <v>912</v>
      </c>
      <c r="B659" s="21" t="s">
        <v>825</v>
      </c>
      <c r="C659" s="21"/>
      <c r="D659" s="37" t="s">
        <v>84</v>
      </c>
      <c r="E659" s="37" t="s">
        <v>84</v>
      </c>
      <c r="F659" s="37" t="s">
        <v>36</v>
      </c>
      <c r="G659" s="21" t="s">
        <v>505</v>
      </c>
      <c r="H659" s="21" t="n">
        <v>0</v>
      </c>
      <c r="I659" s="21" t="s">
        <v>137</v>
      </c>
    </row>
    <row r="660" customFormat="false" ht="15" hidden="false" customHeight="false" outlineLevel="0" collapsed="false">
      <c r="A660" s="21" t="s">
        <v>913</v>
      </c>
      <c r="B660" s="21" t="s">
        <v>825</v>
      </c>
      <c r="C660" s="21"/>
      <c r="D660" s="37" t="s">
        <v>84</v>
      </c>
      <c r="E660" s="37" t="s">
        <v>84</v>
      </c>
      <c r="F660" s="37" t="s">
        <v>36</v>
      </c>
      <c r="G660" s="21" t="s">
        <v>505</v>
      </c>
      <c r="H660" s="21" t="n">
        <v>0</v>
      </c>
      <c r="I660" s="21" t="s">
        <v>137</v>
      </c>
    </row>
    <row r="661" customFormat="false" ht="15" hidden="false" customHeight="false" outlineLevel="0" collapsed="false">
      <c r="A661" s="21" t="s">
        <v>914</v>
      </c>
      <c r="B661" s="21" t="s">
        <v>823</v>
      </c>
      <c r="C661" s="21"/>
      <c r="D661" s="37" t="s">
        <v>84</v>
      </c>
      <c r="E661" s="37" t="s">
        <v>84</v>
      </c>
      <c r="F661" s="37" t="s">
        <v>153</v>
      </c>
      <c r="G661" s="21" t="s">
        <v>505</v>
      </c>
      <c r="H661" s="21" t="n">
        <v>0</v>
      </c>
      <c r="I661" s="21" t="s">
        <v>137</v>
      </c>
    </row>
    <row r="662" customFormat="false" ht="15" hidden="false" customHeight="false" outlineLevel="0" collapsed="false">
      <c r="A662" s="21" t="s">
        <v>915</v>
      </c>
      <c r="B662" s="21" t="s">
        <v>825</v>
      </c>
      <c r="C662" s="21"/>
      <c r="D662" s="37" t="s">
        <v>84</v>
      </c>
      <c r="E662" s="37" t="s">
        <v>84</v>
      </c>
      <c r="F662" s="37" t="s">
        <v>36</v>
      </c>
      <c r="G662" s="21" t="s">
        <v>505</v>
      </c>
      <c r="H662" s="21" t="n">
        <v>0</v>
      </c>
      <c r="I662" s="21" t="s">
        <v>137</v>
      </c>
    </row>
    <row r="663" customFormat="false" ht="15" hidden="false" customHeight="false" outlineLevel="0" collapsed="false">
      <c r="A663" s="21" t="s">
        <v>916</v>
      </c>
      <c r="B663" s="21" t="s">
        <v>827</v>
      </c>
      <c r="C663" s="21"/>
      <c r="D663" s="37" t="s">
        <v>84</v>
      </c>
      <c r="E663" s="37" t="s">
        <v>84</v>
      </c>
      <c r="F663" s="37" t="s">
        <v>153</v>
      </c>
      <c r="G663" s="21" t="s">
        <v>505</v>
      </c>
      <c r="H663" s="21" t="n">
        <v>0</v>
      </c>
      <c r="I663" s="21" t="s">
        <v>137</v>
      </c>
    </row>
    <row r="664" customFormat="false" ht="15" hidden="false" customHeight="false" outlineLevel="0" collapsed="false">
      <c r="A664" s="21" t="s">
        <v>917</v>
      </c>
      <c r="B664" s="21" t="s">
        <v>825</v>
      </c>
      <c r="C664" s="21"/>
      <c r="D664" s="37" t="s">
        <v>84</v>
      </c>
      <c r="E664" s="37" t="s">
        <v>84</v>
      </c>
      <c r="F664" s="37" t="s">
        <v>36</v>
      </c>
      <c r="G664" s="21" t="s">
        <v>505</v>
      </c>
      <c r="H664" s="21" t="n">
        <v>0</v>
      </c>
      <c r="I664" s="21" t="s">
        <v>137</v>
      </c>
    </row>
    <row r="665" customFormat="false" ht="15" hidden="false" customHeight="false" outlineLevel="0" collapsed="false">
      <c r="A665" s="21" t="s">
        <v>918</v>
      </c>
      <c r="B665" s="21" t="s">
        <v>823</v>
      </c>
      <c r="C665" s="21"/>
      <c r="D665" s="37" t="s">
        <v>84</v>
      </c>
      <c r="E665" s="37" t="s">
        <v>84</v>
      </c>
      <c r="F665" s="37" t="s">
        <v>153</v>
      </c>
      <c r="G665" s="21" t="s">
        <v>505</v>
      </c>
      <c r="H665" s="21" t="n">
        <v>0</v>
      </c>
      <c r="I665" s="21" t="s">
        <v>137</v>
      </c>
    </row>
    <row r="666" customFormat="false" ht="15" hidden="false" customHeight="false" outlineLevel="0" collapsed="false">
      <c r="A666" s="21" t="s">
        <v>919</v>
      </c>
      <c r="B666" s="21" t="s">
        <v>825</v>
      </c>
      <c r="C666" s="21"/>
      <c r="D666" s="37" t="s">
        <v>84</v>
      </c>
      <c r="E666" s="37" t="s">
        <v>84</v>
      </c>
      <c r="F666" s="37" t="s">
        <v>36</v>
      </c>
      <c r="G666" s="21" t="s">
        <v>505</v>
      </c>
      <c r="H666" s="21" t="n">
        <v>0</v>
      </c>
      <c r="I666" s="21" t="s">
        <v>137</v>
      </c>
    </row>
    <row r="667" customFormat="false" ht="15" hidden="false" customHeight="false" outlineLevel="0" collapsed="false">
      <c r="A667" s="21" t="s">
        <v>920</v>
      </c>
      <c r="B667" s="21" t="s">
        <v>827</v>
      </c>
      <c r="C667" s="21"/>
      <c r="D667" s="37" t="s">
        <v>84</v>
      </c>
      <c r="E667" s="37" t="s">
        <v>84</v>
      </c>
      <c r="F667" s="37" t="s">
        <v>153</v>
      </c>
      <c r="G667" s="21" t="s">
        <v>505</v>
      </c>
      <c r="H667" s="21" t="n">
        <v>0</v>
      </c>
      <c r="I667" s="21" t="s">
        <v>137</v>
      </c>
    </row>
    <row r="668" customFormat="false" ht="15" hidden="false" customHeight="false" outlineLevel="0" collapsed="false">
      <c r="A668" s="21" t="s">
        <v>921</v>
      </c>
      <c r="B668" s="21" t="s">
        <v>823</v>
      </c>
      <c r="C668" s="21"/>
      <c r="D668" s="37" t="s">
        <v>84</v>
      </c>
      <c r="E668" s="37" t="s">
        <v>84</v>
      </c>
      <c r="F668" s="37" t="s">
        <v>153</v>
      </c>
      <c r="G668" s="21" t="s">
        <v>505</v>
      </c>
      <c r="H668" s="21" t="n">
        <v>0</v>
      </c>
      <c r="I668" s="21" t="s">
        <v>137</v>
      </c>
    </row>
    <row r="669" customFormat="false" ht="15" hidden="false" customHeight="false" outlineLevel="0" collapsed="false">
      <c r="A669" s="21" t="s">
        <v>922</v>
      </c>
      <c r="B669" s="21" t="s">
        <v>827</v>
      </c>
      <c r="C669" s="21"/>
      <c r="D669" s="37" t="s">
        <v>84</v>
      </c>
      <c r="E669" s="37" t="s">
        <v>84</v>
      </c>
      <c r="F669" s="37" t="s">
        <v>153</v>
      </c>
      <c r="G669" s="21" t="s">
        <v>514</v>
      </c>
      <c r="H669" s="21" t="n">
        <v>0</v>
      </c>
      <c r="I669" s="21" t="s">
        <v>137</v>
      </c>
    </row>
    <row r="670" customFormat="false" ht="15" hidden="false" customHeight="false" outlineLevel="0" collapsed="false">
      <c r="A670" s="21" t="s">
        <v>923</v>
      </c>
      <c r="B670" s="21" t="s">
        <v>827</v>
      </c>
      <c r="C670" s="21"/>
      <c r="D670" s="37" t="s">
        <v>84</v>
      </c>
      <c r="E670" s="37" t="s">
        <v>84</v>
      </c>
      <c r="F670" s="37" t="s">
        <v>153</v>
      </c>
      <c r="G670" s="21" t="s">
        <v>505</v>
      </c>
      <c r="H670" s="21" t="n">
        <v>0</v>
      </c>
      <c r="I670" s="21" t="s">
        <v>137</v>
      </c>
    </row>
    <row r="671" customFormat="false" ht="15" hidden="false" customHeight="false" outlineLevel="0" collapsed="false">
      <c r="A671" s="21" t="s">
        <v>924</v>
      </c>
      <c r="B671" s="21" t="s">
        <v>825</v>
      </c>
      <c r="C671" s="21"/>
      <c r="D671" s="37" t="s">
        <v>84</v>
      </c>
      <c r="E671" s="37" t="s">
        <v>84</v>
      </c>
      <c r="F671" s="37" t="s">
        <v>36</v>
      </c>
      <c r="G671" s="21" t="s">
        <v>505</v>
      </c>
      <c r="H671" s="21" t="n">
        <v>0</v>
      </c>
      <c r="I671" s="21" t="s">
        <v>137</v>
      </c>
    </row>
    <row r="672" customFormat="false" ht="15" hidden="false" customHeight="false" outlineLevel="0" collapsed="false">
      <c r="A672" s="21" t="s">
        <v>925</v>
      </c>
      <c r="B672" s="21" t="s">
        <v>823</v>
      </c>
      <c r="C672" s="21"/>
      <c r="D672" s="37" t="s">
        <v>84</v>
      </c>
      <c r="E672" s="37" t="s">
        <v>84</v>
      </c>
      <c r="F672" s="37" t="s">
        <v>153</v>
      </c>
      <c r="G672" s="21" t="s">
        <v>514</v>
      </c>
      <c r="H672" s="21" t="n">
        <v>0</v>
      </c>
      <c r="I672" s="21" t="s">
        <v>137</v>
      </c>
    </row>
    <row r="673" customFormat="false" ht="15" hidden="false" customHeight="false" outlineLevel="0" collapsed="false">
      <c r="A673" s="21" t="s">
        <v>926</v>
      </c>
      <c r="B673" s="21" t="s">
        <v>823</v>
      </c>
      <c r="C673" s="21"/>
      <c r="D673" s="37" t="s">
        <v>84</v>
      </c>
      <c r="E673" s="37" t="s">
        <v>84</v>
      </c>
      <c r="F673" s="37" t="s">
        <v>153</v>
      </c>
      <c r="G673" s="21" t="s">
        <v>514</v>
      </c>
      <c r="H673" s="21" t="n">
        <v>0</v>
      </c>
      <c r="I673" s="21" t="s">
        <v>137</v>
      </c>
    </row>
    <row r="674" customFormat="false" ht="15" hidden="false" customHeight="false" outlineLevel="0" collapsed="false">
      <c r="A674" s="21" t="s">
        <v>927</v>
      </c>
      <c r="B674" s="21" t="s">
        <v>823</v>
      </c>
      <c r="C674" s="21"/>
      <c r="D674" s="37" t="s">
        <v>84</v>
      </c>
      <c r="E674" s="37" t="s">
        <v>84</v>
      </c>
      <c r="F674" s="37" t="s">
        <v>153</v>
      </c>
      <c r="G674" s="21" t="s">
        <v>505</v>
      </c>
      <c r="H674" s="21" t="n">
        <v>0</v>
      </c>
      <c r="I674" s="21" t="s">
        <v>137</v>
      </c>
    </row>
    <row r="675" customFormat="false" ht="15" hidden="false" customHeight="false" outlineLevel="0" collapsed="false">
      <c r="A675" s="21" t="s">
        <v>928</v>
      </c>
      <c r="B675" s="21" t="s">
        <v>823</v>
      </c>
      <c r="C675" s="21"/>
      <c r="D675" s="37" t="s">
        <v>84</v>
      </c>
      <c r="E675" s="37" t="s">
        <v>84</v>
      </c>
      <c r="F675" s="37" t="s">
        <v>153</v>
      </c>
      <c r="G675" s="21" t="s">
        <v>505</v>
      </c>
      <c r="H675" s="21" t="n">
        <v>0</v>
      </c>
      <c r="I675" s="21" t="s">
        <v>137</v>
      </c>
    </row>
    <row r="676" customFormat="false" ht="15" hidden="false" customHeight="false" outlineLevel="0" collapsed="false">
      <c r="A676" s="21" t="s">
        <v>929</v>
      </c>
      <c r="B676" s="21" t="s">
        <v>823</v>
      </c>
      <c r="C676" s="21"/>
      <c r="D676" s="37" t="s">
        <v>84</v>
      </c>
      <c r="E676" s="37" t="s">
        <v>84</v>
      </c>
      <c r="F676" s="37" t="s">
        <v>153</v>
      </c>
      <c r="G676" s="21" t="s">
        <v>505</v>
      </c>
      <c r="H676" s="21" t="n">
        <v>0</v>
      </c>
      <c r="I676" s="21" t="s">
        <v>137</v>
      </c>
    </row>
    <row r="677" customFormat="false" ht="15" hidden="false" customHeight="false" outlineLevel="0" collapsed="false">
      <c r="A677" s="21" t="s">
        <v>930</v>
      </c>
      <c r="B677" s="21" t="s">
        <v>823</v>
      </c>
      <c r="C677" s="21"/>
      <c r="D677" s="37" t="s">
        <v>84</v>
      </c>
      <c r="E677" s="37" t="s">
        <v>84</v>
      </c>
      <c r="F677" s="37" t="s">
        <v>153</v>
      </c>
      <c r="G677" s="21" t="s">
        <v>505</v>
      </c>
      <c r="H677" s="21" t="n">
        <v>0</v>
      </c>
      <c r="I677" s="21" t="s">
        <v>137</v>
      </c>
    </row>
    <row r="678" customFormat="false" ht="15" hidden="false" customHeight="false" outlineLevel="0" collapsed="false">
      <c r="A678" s="21" t="s">
        <v>931</v>
      </c>
      <c r="B678" s="21" t="s">
        <v>825</v>
      </c>
      <c r="C678" s="21"/>
      <c r="D678" s="37" t="s">
        <v>84</v>
      </c>
      <c r="E678" s="37" t="s">
        <v>84</v>
      </c>
      <c r="F678" s="37" t="s">
        <v>36</v>
      </c>
      <c r="G678" s="21" t="s">
        <v>505</v>
      </c>
      <c r="H678" s="21" t="n">
        <v>0</v>
      </c>
      <c r="I678" s="21" t="s">
        <v>137</v>
      </c>
    </row>
    <row r="679" customFormat="false" ht="15" hidden="false" customHeight="false" outlineLevel="0" collapsed="false">
      <c r="A679" s="21" t="s">
        <v>932</v>
      </c>
      <c r="B679" s="21" t="s">
        <v>827</v>
      </c>
      <c r="C679" s="21"/>
      <c r="D679" s="37" t="s">
        <v>84</v>
      </c>
      <c r="E679" s="37" t="s">
        <v>84</v>
      </c>
      <c r="F679" s="37" t="s">
        <v>153</v>
      </c>
      <c r="G679" s="21" t="s">
        <v>505</v>
      </c>
      <c r="H679" s="21" t="n">
        <v>0</v>
      </c>
      <c r="I679" s="21" t="s">
        <v>137</v>
      </c>
    </row>
    <row r="680" customFormat="false" ht="15" hidden="false" customHeight="false" outlineLevel="0" collapsed="false">
      <c r="A680" s="21" t="s">
        <v>933</v>
      </c>
      <c r="B680" s="21" t="s">
        <v>823</v>
      </c>
      <c r="C680" s="21"/>
      <c r="D680" s="37" t="s">
        <v>84</v>
      </c>
      <c r="E680" s="37" t="s">
        <v>84</v>
      </c>
      <c r="F680" s="37" t="s">
        <v>153</v>
      </c>
      <c r="G680" s="21" t="s">
        <v>505</v>
      </c>
      <c r="H680" s="21" t="n">
        <v>0</v>
      </c>
      <c r="I680" s="21" t="s">
        <v>137</v>
      </c>
    </row>
    <row r="681" customFormat="false" ht="15" hidden="false" customHeight="false" outlineLevel="0" collapsed="false">
      <c r="A681" s="21" t="s">
        <v>934</v>
      </c>
      <c r="B681" s="21" t="s">
        <v>827</v>
      </c>
      <c r="C681" s="21"/>
      <c r="D681" s="37" t="s">
        <v>84</v>
      </c>
      <c r="E681" s="37" t="s">
        <v>84</v>
      </c>
      <c r="F681" s="37" t="s">
        <v>153</v>
      </c>
      <c r="G681" s="21" t="s">
        <v>514</v>
      </c>
      <c r="H681" s="21" t="n">
        <v>0</v>
      </c>
      <c r="I681" s="21" t="s">
        <v>137</v>
      </c>
    </row>
    <row r="682" customFormat="false" ht="15" hidden="false" customHeight="false" outlineLevel="0" collapsed="false">
      <c r="A682" s="21" t="s">
        <v>935</v>
      </c>
      <c r="B682" s="21" t="s">
        <v>823</v>
      </c>
      <c r="C682" s="21"/>
      <c r="D682" s="37" t="s">
        <v>84</v>
      </c>
      <c r="E682" s="37" t="s">
        <v>84</v>
      </c>
      <c r="F682" s="37" t="s">
        <v>153</v>
      </c>
      <c r="G682" s="21" t="s">
        <v>514</v>
      </c>
      <c r="H682" s="21" t="n">
        <v>0</v>
      </c>
      <c r="I682" s="21" t="s">
        <v>137</v>
      </c>
    </row>
    <row r="683" customFormat="false" ht="15" hidden="false" customHeight="false" outlineLevel="0" collapsed="false">
      <c r="A683" s="21" t="s">
        <v>936</v>
      </c>
      <c r="B683" s="21" t="s">
        <v>825</v>
      </c>
      <c r="C683" s="21"/>
      <c r="D683" s="37" t="s">
        <v>84</v>
      </c>
      <c r="E683" s="37" t="s">
        <v>84</v>
      </c>
      <c r="F683" s="37" t="s">
        <v>36</v>
      </c>
      <c r="G683" s="21" t="s">
        <v>505</v>
      </c>
      <c r="H683" s="21" t="n">
        <v>0</v>
      </c>
      <c r="I683" s="21" t="s">
        <v>137</v>
      </c>
    </row>
    <row r="684" customFormat="false" ht="15" hidden="false" customHeight="false" outlineLevel="0" collapsed="false">
      <c r="A684" s="21" t="s">
        <v>937</v>
      </c>
      <c r="B684" s="21" t="s">
        <v>823</v>
      </c>
      <c r="C684" s="21"/>
      <c r="D684" s="37" t="s">
        <v>84</v>
      </c>
      <c r="E684" s="37" t="s">
        <v>84</v>
      </c>
      <c r="F684" s="37" t="s">
        <v>153</v>
      </c>
      <c r="G684" s="21" t="s">
        <v>505</v>
      </c>
      <c r="H684" s="21" t="n">
        <v>0</v>
      </c>
      <c r="I684" s="21" t="s">
        <v>137</v>
      </c>
    </row>
    <row r="685" customFormat="false" ht="15" hidden="false" customHeight="false" outlineLevel="0" collapsed="false">
      <c r="A685" s="21" t="s">
        <v>938</v>
      </c>
      <c r="B685" s="21" t="s">
        <v>823</v>
      </c>
      <c r="C685" s="21"/>
      <c r="D685" s="37" t="s">
        <v>84</v>
      </c>
      <c r="E685" s="37" t="s">
        <v>84</v>
      </c>
      <c r="F685" s="37" t="s">
        <v>153</v>
      </c>
      <c r="G685" s="21" t="s">
        <v>514</v>
      </c>
      <c r="H685" s="21" t="n">
        <v>0</v>
      </c>
      <c r="I685" s="21" t="s">
        <v>137</v>
      </c>
    </row>
    <row r="686" customFormat="false" ht="15" hidden="false" customHeight="false" outlineLevel="0" collapsed="false">
      <c r="A686" s="21" t="s">
        <v>939</v>
      </c>
      <c r="B686" s="21" t="s">
        <v>825</v>
      </c>
      <c r="C686" s="21"/>
      <c r="D686" s="37" t="s">
        <v>84</v>
      </c>
      <c r="E686" s="37" t="s">
        <v>84</v>
      </c>
      <c r="F686" s="37" t="s">
        <v>36</v>
      </c>
      <c r="G686" s="21" t="s">
        <v>505</v>
      </c>
      <c r="H686" s="21" t="n">
        <v>0</v>
      </c>
      <c r="I686" s="21" t="s">
        <v>137</v>
      </c>
    </row>
    <row r="687" customFormat="false" ht="15" hidden="false" customHeight="false" outlineLevel="0" collapsed="false">
      <c r="A687" s="21" t="s">
        <v>940</v>
      </c>
      <c r="B687" s="21" t="s">
        <v>827</v>
      </c>
      <c r="C687" s="21"/>
      <c r="D687" s="37" t="s">
        <v>84</v>
      </c>
      <c r="E687" s="37" t="s">
        <v>84</v>
      </c>
      <c r="F687" s="37" t="s">
        <v>153</v>
      </c>
      <c r="G687" s="21" t="s">
        <v>505</v>
      </c>
      <c r="H687" s="21" t="n">
        <v>0</v>
      </c>
      <c r="I687" s="21" t="s">
        <v>137</v>
      </c>
    </row>
    <row r="688" customFormat="false" ht="15" hidden="false" customHeight="false" outlineLevel="0" collapsed="false">
      <c r="A688" s="21" t="s">
        <v>941</v>
      </c>
      <c r="B688" s="21" t="s">
        <v>823</v>
      </c>
      <c r="C688" s="21"/>
      <c r="D688" s="37" t="s">
        <v>84</v>
      </c>
      <c r="E688" s="37" t="s">
        <v>84</v>
      </c>
      <c r="F688" s="37" t="s">
        <v>153</v>
      </c>
      <c r="G688" s="21" t="s">
        <v>505</v>
      </c>
      <c r="H688" s="21" t="n">
        <v>0</v>
      </c>
      <c r="I688" s="21" t="s">
        <v>137</v>
      </c>
    </row>
    <row r="689" customFormat="false" ht="15" hidden="false" customHeight="false" outlineLevel="0" collapsed="false">
      <c r="A689" s="21" t="s">
        <v>942</v>
      </c>
      <c r="B689" s="21" t="s">
        <v>827</v>
      </c>
      <c r="C689" s="21"/>
      <c r="D689" s="37" t="s">
        <v>84</v>
      </c>
      <c r="E689" s="37" t="s">
        <v>84</v>
      </c>
      <c r="F689" s="37" t="s">
        <v>153</v>
      </c>
      <c r="G689" s="21" t="s">
        <v>505</v>
      </c>
      <c r="H689" s="21" t="n">
        <v>0</v>
      </c>
      <c r="I689" s="21" t="s">
        <v>137</v>
      </c>
    </row>
    <row r="690" customFormat="false" ht="15" hidden="false" customHeight="false" outlineLevel="0" collapsed="false">
      <c r="A690" s="21" t="s">
        <v>943</v>
      </c>
      <c r="B690" s="21" t="s">
        <v>827</v>
      </c>
      <c r="C690" s="21"/>
      <c r="D690" s="37" t="s">
        <v>84</v>
      </c>
      <c r="E690" s="37" t="s">
        <v>84</v>
      </c>
      <c r="F690" s="37" t="s">
        <v>153</v>
      </c>
      <c r="G690" s="21" t="s">
        <v>514</v>
      </c>
      <c r="H690" s="21" t="n">
        <v>0</v>
      </c>
      <c r="I690" s="21" t="s">
        <v>137</v>
      </c>
    </row>
    <row r="691" customFormat="false" ht="15" hidden="false" customHeight="false" outlineLevel="0" collapsed="false">
      <c r="A691" s="21" t="s">
        <v>944</v>
      </c>
      <c r="B691" s="21" t="s">
        <v>823</v>
      </c>
      <c r="C691" s="21"/>
      <c r="D691" s="37" t="s">
        <v>84</v>
      </c>
      <c r="E691" s="37" t="s">
        <v>84</v>
      </c>
      <c r="F691" s="37" t="s">
        <v>153</v>
      </c>
      <c r="G691" s="21" t="s">
        <v>505</v>
      </c>
      <c r="H691" s="21" t="n">
        <v>0</v>
      </c>
      <c r="I691" s="21" t="s">
        <v>137</v>
      </c>
    </row>
    <row r="692" customFormat="false" ht="15" hidden="false" customHeight="false" outlineLevel="0" collapsed="false">
      <c r="A692" s="21" t="s">
        <v>945</v>
      </c>
      <c r="B692" s="21" t="s">
        <v>823</v>
      </c>
      <c r="C692" s="21"/>
      <c r="D692" s="37" t="s">
        <v>84</v>
      </c>
      <c r="E692" s="37" t="s">
        <v>84</v>
      </c>
      <c r="F692" s="37" t="s">
        <v>153</v>
      </c>
      <c r="G692" s="21" t="s">
        <v>505</v>
      </c>
      <c r="H692" s="21" t="n">
        <v>0</v>
      </c>
      <c r="I692" s="21" t="s">
        <v>137</v>
      </c>
    </row>
    <row r="693" customFormat="false" ht="15" hidden="false" customHeight="false" outlineLevel="0" collapsed="false">
      <c r="A693" s="21" t="s">
        <v>946</v>
      </c>
      <c r="B693" s="21" t="s">
        <v>823</v>
      </c>
      <c r="C693" s="21"/>
      <c r="D693" s="37" t="s">
        <v>84</v>
      </c>
      <c r="E693" s="37" t="s">
        <v>84</v>
      </c>
      <c r="F693" s="37" t="s">
        <v>153</v>
      </c>
      <c r="G693" s="21" t="s">
        <v>514</v>
      </c>
      <c r="H693" s="21" t="n">
        <v>0</v>
      </c>
      <c r="I693" s="21" t="s">
        <v>137</v>
      </c>
    </row>
    <row r="694" customFormat="false" ht="15" hidden="false" customHeight="false" outlineLevel="0" collapsed="false">
      <c r="A694" s="21" t="s">
        <v>947</v>
      </c>
      <c r="B694" s="21" t="s">
        <v>827</v>
      </c>
      <c r="C694" s="21"/>
      <c r="D694" s="37" t="s">
        <v>84</v>
      </c>
      <c r="E694" s="37" t="s">
        <v>84</v>
      </c>
      <c r="F694" s="37" t="s">
        <v>153</v>
      </c>
      <c r="G694" s="21" t="s">
        <v>505</v>
      </c>
      <c r="H694" s="21" t="n">
        <v>0</v>
      </c>
      <c r="I694" s="21" t="s">
        <v>137</v>
      </c>
    </row>
    <row r="695" customFormat="false" ht="15" hidden="false" customHeight="false" outlineLevel="0" collapsed="false">
      <c r="A695" s="21" t="s">
        <v>948</v>
      </c>
      <c r="B695" s="21" t="s">
        <v>825</v>
      </c>
      <c r="C695" s="21"/>
      <c r="D695" s="37" t="s">
        <v>84</v>
      </c>
      <c r="E695" s="37" t="s">
        <v>84</v>
      </c>
      <c r="F695" s="37" t="s">
        <v>36</v>
      </c>
      <c r="G695" s="21" t="s">
        <v>505</v>
      </c>
      <c r="H695" s="21" t="n">
        <v>0</v>
      </c>
      <c r="I695" s="21" t="s">
        <v>137</v>
      </c>
    </row>
    <row r="696" customFormat="false" ht="15" hidden="false" customHeight="false" outlineLevel="0" collapsed="false">
      <c r="A696" s="21" t="s">
        <v>949</v>
      </c>
      <c r="B696" s="21" t="s">
        <v>827</v>
      </c>
      <c r="C696" s="21"/>
      <c r="D696" s="37" t="s">
        <v>84</v>
      </c>
      <c r="E696" s="37" t="s">
        <v>84</v>
      </c>
      <c r="F696" s="37" t="s">
        <v>153</v>
      </c>
      <c r="G696" s="21" t="s">
        <v>505</v>
      </c>
      <c r="H696" s="21" t="n">
        <v>0</v>
      </c>
      <c r="I696" s="21" t="s">
        <v>137</v>
      </c>
    </row>
    <row r="697" customFormat="false" ht="15" hidden="false" customHeight="false" outlineLevel="0" collapsed="false">
      <c r="A697" s="21" t="s">
        <v>950</v>
      </c>
      <c r="B697" s="21" t="s">
        <v>823</v>
      </c>
      <c r="C697" s="21"/>
      <c r="D697" s="37" t="s">
        <v>84</v>
      </c>
      <c r="E697" s="37" t="s">
        <v>84</v>
      </c>
      <c r="F697" s="37" t="s">
        <v>153</v>
      </c>
      <c r="G697" s="21" t="s">
        <v>514</v>
      </c>
      <c r="H697" s="21" t="n">
        <v>0</v>
      </c>
      <c r="I697" s="21" t="s">
        <v>137</v>
      </c>
    </row>
    <row r="698" customFormat="false" ht="15" hidden="false" customHeight="false" outlineLevel="0" collapsed="false">
      <c r="A698" s="21" t="s">
        <v>951</v>
      </c>
      <c r="B698" s="21" t="s">
        <v>827</v>
      </c>
      <c r="C698" s="21"/>
      <c r="D698" s="37" t="s">
        <v>84</v>
      </c>
      <c r="E698" s="37" t="s">
        <v>84</v>
      </c>
      <c r="F698" s="37" t="s">
        <v>153</v>
      </c>
      <c r="G698" s="21" t="s">
        <v>505</v>
      </c>
      <c r="H698" s="21" t="n">
        <v>0</v>
      </c>
      <c r="I698" s="21" t="s">
        <v>137</v>
      </c>
    </row>
    <row r="699" customFormat="false" ht="15" hidden="false" customHeight="false" outlineLevel="0" collapsed="false">
      <c r="A699" s="21" t="s">
        <v>952</v>
      </c>
      <c r="B699" s="21" t="s">
        <v>827</v>
      </c>
      <c r="C699" s="21"/>
      <c r="D699" s="37" t="s">
        <v>84</v>
      </c>
      <c r="E699" s="37" t="s">
        <v>84</v>
      </c>
      <c r="F699" s="37" t="s">
        <v>153</v>
      </c>
      <c r="G699" s="21" t="s">
        <v>514</v>
      </c>
      <c r="H699" s="21" t="n">
        <v>0</v>
      </c>
      <c r="I699" s="21" t="s">
        <v>137</v>
      </c>
    </row>
    <row r="700" customFormat="false" ht="15" hidden="false" customHeight="false" outlineLevel="0" collapsed="false">
      <c r="A700" s="21" t="s">
        <v>953</v>
      </c>
      <c r="B700" s="21" t="s">
        <v>823</v>
      </c>
      <c r="C700" s="21"/>
      <c r="D700" s="37" t="s">
        <v>84</v>
      </c>
      <c r="E700" s="37" t="s">
        <v>84</v>
      </c>
      <c r="F700" s="37" t="s">
        <v>153</v>
      </c>
      <c r="G700" s="21" t="s">
        <v>505</v>
      </c>
      <c r="H700" s="21" t="n">
        <v>0</v>
      </c>
      <c r="I700" s="21" t="s">
        <v>137</v>
      </c>
    </row>
    <row r="701" customFormat="false" ht="15" hidden="false" customHeight="false" outlineLevel="0" collapsed="false">
      <c r="A701" s="21" t="s">
        <v>954</v>
      </c>
      <c r="B701" s="21" t="s">
        <v>827</v>
      </c>
      <c r="C701" s="21"/>
      <c r="D701" s="37" t="s">
        <v>84</v>
      </c>
      <c r="E701" s="37" t="s">
        <v>84</v>
      </c>
      <c r="F701" s="37" t="s">
        <v>153</v>
      </c>
      <c r="G701" s="21" t="s">
        <v>505</v>
      </c>
      <c r="H701" s="21" t="n">
        <v>0</v>
      </c>
      <c r="I701" s="21" t="s">
        <v>137</v>
      </c>
    </row>
    <row r="702" customFormat="false" ht="15" hidden="false" customHeight="false" outlineLevel="0" collapsed="false">
      <c r="A702" s="21" t="s">
        <v>955</v>
      </c>
      <c r="B702" s="21" t="s">
        <v>823</v>
      </c>
      <c r="C702" s="21"/>
      <c r="D702" s="37" t="s">
        <v>84</v>
      </c>
      <c r="E702" s="37" t="s">
        <v>84</v>
      </c>
      <c r="F702" s="37" t="s">
        <v>153</v>
      </c>
      <c r="G702" s="21" t="s">
        <v>505</v>
      </c>
      <c r="H702" s="21" t="n">
        <v>0</v>
      </c>
      <c r="I702" s="21" t="s">
        <v>137</v>
      </c>
    </row>
    <row r="703" customFormat="false" ht="15" hidden="false" customHeight="false" outlineLevel="0" collapsed="false">
      <c r="A703" s="21" t="s">
        <v>956</v>
      </c>
      <c r="B703" s="21" t="s">
        <v>825</v>
      </c>
      <c r="C703" s="21"/>
      <c r="D703" s="37" t="s">
        <v>84</v>
      </c>
      <c r="E703" s="37" t="s">
        <v>84</v>
      </c>
      <c r="F703" s="37" t="s">
        <v>36</v>
      </c>
      <c r="G703" s="21" t="s">
        <v>505</v>
      </c>
      <c r="H703" s="21" t="n">
        <v>0</v>
      </c>
      <c r="I703" s="21" t="s">
        <v>137</v>
      </c>
    </row>
    <row r="704" customFormat="false" ht="15" hidden="false" customHeight="false" outlineLevel="0" collapsed="false">
      <c r="A704" s="21" t="s">
        <v>957</v>
      </c>
      <c r="B704" s="21" t="s">
        <v>825</v>
      </c>
      <c r="C704" s="21"/>
      <c r="D704" s="37" t="s">
        <v>84</v>
      </c>
      <c r="E704" s="37" t="s">
        <v>84</v>
      </c>
      <c r="F704" s="37" t="s">
        <v>36</v>
      </c>
      <c r="G704" s="21" t="s">
        <v>505</v>
      </c>
      <c r="H704" s="21" t="n">
        <v>0</v>
      </c>
      <c r="I704" s="21" t="s">
        <v>137</v>
      </c>
    </row>
    <row r="705" customFormat="false" ht="15" hidden="false" customHeight="false" outlineLevel="0" collapsed="false">
      <c r="A705" s="21" t="s">
        <v>958</v>
      </c>
      <c r="B705" s="21" t="s">
        <v>827</v>
      </c>
      <c r="C705" s="21"/>
      <c r="D705" s="37" t="s">
        <v>84</v>
      </c>
      <c r="E705" s="37" t="s">
        <v>84</v>
      </c>
      <c r="F705" s="37" t="s">
        <v>153</v>
      </c>
      <c r="G705" s="21" t="s">
        <v>514</v>
      </c>
      <c r="H705" s="21" t="n">
        <v>0</v>
      </c>
      <c r="I705" s="21" t="s">
        <v>137</v>
      </c>
    </row>
    <row r="706" customFormat="false" ht="15" hidden="false" customHeight="false" outlineLevel="0" collapsed="false">
      <c r="A706" s="21" t="s">
        <v>959</v>
      </c>
      <c r="B706" s="21" t="s">
        <v>823</v>
      </c>
      <c r="C706" s="21"/>
      <c r="D706" s="37" t="s">
        <v>84</v>
      </c>
      <c r="E706" s="37" t="s">
        <v>84</v>
      </c>
      <c r="F706" s="37" t="s">
        <v>153</v>
      </c>
      <c r="G706" s="21" t="s">
        <v>505</v>
      </c>
      <c r="H706" s="21" t="n">
        <v>0</v>
      </c>
      <c r="I706" s="21" t="s">
        <v>137</v>
      </c>
    </row>
    <row r="707" customFormat="false" ht="15" hidden="false" customHeight="false" outlineLevel="0" collapsed="false">
      <c r="A707" s="21" t="s">
        <v>960</v>
      </c>
      <c r="B707" s="21" t="s">
        <v>823</v>
      </c>
      <c r="C707" s="21"/>
      <c r="D707" s="37" t="s">
        <v>84</v>
      </c>
      <c r="E707" s="37" t="s">
        <v>84</v>
      </c>
      <c r="F707" s="37" t="s">
        <v>153</v>
      </c>
      <c r="G707" s="21" t="s">
        <v>514</v>
      </c>
      <c r="H707" s="21" t="n">
        <v>0</v>
      </c>
      <c r="I707" s="21" t="s">
        <v>137</v>
      </c>
    </row>
    <row r="708" customFormat="false" ht="15" hidden="false" customHeight="false" outlineLevel="0" collapsed="false">
      <c r="A708" s="21" t="s">
        <v>961</v>
      </c>
      <c r="B708" s="21" t="s">
        <v>825</v>
      </c>
      <c r="C708" s="21"/>
      <c r="D708" s="37" t="s">
        <v>84</v>
      </c>
      <c r="E708" s="37" t="s">
        <v>84</v>
      </c>
      <c r="F708" s="37" t="s">
        <v>36</v>
      </c>
      <c r="G708" s="21" t="s">
        <v>505</v>
      </c>
      <c r="H708" s="21" t="n">
        <v>0</v>
      </c>
      <c r="I708" s="21" t="s">
        <v>137</v>
      </c>
    </row>
    <row r="709" customFormat="false" ht="15" hidden="false" customHeight="false" outlineLevel="0" collapsed="false">
      <c r="A709" s="21" t="s">
        <v>962</v>
      </c>
      <c r="B709" s="21" t="s">
        <v>827</v>
      </c>
      <c r="C709" s="21"/>
      <c r="D709" s="37" t="s">
        <v>84</v>
      </c>
      <c r="E709" s="37" t="s">
        <v>84</v>
      </c>
      <c r="F709" s="37" t="s">
        <v>153</v>
      </c>
      <c r="G709" s="21" t="s">
        <v>505</v>
      </c>
      <c r="H709" s="21" t="n">
        <v>0</v>
      </c>
      <c r="I709" s="21" t="s">
        <v>137</v>
      </c>
    </row>
    <row r="710" customFormat="false" ht="15" hidden="false" customHeight="false" outlineLevel="0" collapsed="false">
      <c r="A710" s="21" t="s">
        <v>963</v>
      </c>
      <c r="B710" s="21" t="s">
        <v>825</v>
      </c>
      <c r="C710" s="21"/>
      <c r="D710" s="37" t="s">
        <v>84</v>
      </c>
      <c r="E710" s="37" t="s">
        <v>84</v>
      </c>
      <c r="F710" s="37" t="s">
        <v>36</v>
      </c>
      <c r="G710" s="21" t="s">
        <v>505</v>
      </c>
      <c r="H710" s="21" t="n">
        <v>0</v>
      </c>
      <c r="I710" s="21" t="s">
        <v>137</v>
      </c>
    </row>
    <row r="711" customFormat="false" ht="15" hidden="false" customHeight="false" outlineLevel="0" collapsed="false">
      <c r="A711" s="21" t="s">
        <v>964</v>
      </c>
      <c r="B711" s="21" t="s">
        <v>823</v>
      </c>
      <c r="C711" s="21"/>
      <c r="D711" s="37" t="s">
        <v>84</v>
      </c>
      <c r="E711" s="37" t="s">
        <v>84</v>
      </c>
      <c r="F711" s="37" t="s">
        <v>153</v>
      </c>
      <c r="G711" s="21" t="s">
        <v>505</v>
      </c>
      <c r="H711" s="21" t="n">
        <v>0</v>
      </c>
      <c r="I711" s="21" t="s">
        <v>137</v>
      </c>
    </row>
    <row r="712" customFormat="false" ht="15" hidden="false" customHeight="false" outlineLevel="0" collapsed="false">
      <c r="A712" s="21" t="s">
        <v>965</v>
      </c>
      <c r="B712" s="21" t="s">
        <v>823</v>
      </c>
      <c r="C712" s="21"/>
      <c r="D712" s="37" t="s">
        <v>84</v>
      </c>
      <c r="E712" s="37" t="s">
        <v>84</v>
      </c>
      <c r="F712" s="37" t="s">
        <v>153</v>
      </c>
      <c r="G712" s="21" t="s">
        <v>505</v>
      </c>
      <c r="H712" s="21" t="n">
        <v>0</v>
      </c>
      <c r="I712" s="21" t="s">
        <v>137</v>
      </c>
    </row>
    <row r="713" customFormat="false" ht="15" hidden="false" customHeight="false" outlineLevel="0" collapsed="false">
      <c r="A713" s="21" t="s">
        <v>966</v>
      </c>
      <c r="B713" s="21" t="s">
        <v>825</v>
      </c>
      <c r="C713" s="21"/>
      <c r="D713" s="37" t="s">
        <v>84</v>
      </c>
      <c r="E713" s="37" t="s">
        <v>84</v>
      </c>
      <c r="F713" s="37" t="s">
        <v>36</v>
      </c>
      <c r="G713" s="21" t="s">
        <v>505</v>
      </c>
      <c r="H713" s="21" t="n">
        <v>0</v>
      </c>
      <c r="I713" s="21" t="s">
        <v>137</v>
      </c>
    </row>
    <row r="714" customFormat="false" ht="15" hidden="false" customHeight="false" outlineLevel="0" collapsed="false">
      <c r="A714" s="21" t="s">
        <v>967</v>
      </c>
      <c r="B714" s="21" t="s">
        <v>823</v>
      </c>
      <c r="C714" s="21"/>
      <c r="D714" s="37" t="s">
        <v>84</v>
      </c>
      <c r="E714" s="37" t="s">
        <v>84</v>
      </c>
      <c r="F714" s="37" t="s">
        <v>153</v>
      </c>
      <c r="G714" s="21" t="s">
        <v>505</v>
      </c>
      <c r="H714" s="21" t="n">
        <v>0</v>
      </c>
      <c r="I714" s="21" t="s">
        <v>137</v>
      </c>
    </row>
    <row r="715" customFormat="false" ht="15" hidden="false" customHeight="false" outlineLevel="0" collapsed="false">
      <c r="A715" s="21" t="s">
        <v>968</v>
      </c>
      <c r="B715" s="21" t="s">
        <v>825</v>
      </c>
      <c r="C715" s="21"/>
      <c r="D715" s="37" t="s">
        <v>84</v>
      </c>
      <c r="E715" s="37" t="s">
        <v>84</v>
      </c>
      <c r="F715" s="37" t="s">
        <v>36</v>
      </c>
      <c r="G715" s="21" t="s">
        <v>505</v>
      </c>
      <c r="H715" s="21" t="n">
        <v>0</v>
      </c>
      <c r="I715" s="21" t="s">
        <v>137</v>
      </c>
    </row>
    <row r="716" customFormat="false" ht="15" hidden="false" customHeight="false" outlineLevel="0" collapsed="false">
      <c r="A716" s="21" t="s">
        <v>969</v>
      </c>
      <c r="B716" s="21" t="s">
        <v>827</v>
      </c>
      <c r="C716" s="21"/>
      <c r="D716" s="37" t="s">
        <v>84</v>
      </c>
      <c r="E716" s="37" t="s">
        <v>84</v>
      </c>
      <c r="F716" s="37" t="s">
        <v>153</v>
      </c>
      <c r="G716" s="21" t="s">
        <v>514</v>
      </c>
      <c r="H716" s="21" t="n">
        <v>0</v>
      </c>
      <c r="I716" s="21" t="s">
        <v>137</v>
      </c>
    </row>
    <row r="717" customFormat="false" ht="15" hidden="false" customHeight="false" outlineLevel="0" collapsed="false">
      <c r="A717" s="21" t="s">
        <v>970</v>
      </c>
      <c r="B717" s="21" t="s">
        <v>823</v>
      </c>
      <c r="C717" s="21"/>
      <c r="D717" s="37" t="s">
        <v>84</v>
      </c>
      <c r="E717" s="37" t="s">
        <v>84</v>
      </c>
      <c r="F717" s="37" t="s">
        <v>153</v>
      </c>
      <c r="G717" s="21" t="s">
        <v>514</v>
      </c>
      <c r="H717" s="21" t="n">
        <v>0</v>
      </c>
      <c r="I717" s="21" t="s">
        <v>137</v>
      </c>
    </row>
    <row r="718" customFormat="false" ht="15" hidden="false" customHeight="false" outlineLevel="0" collapsed="false">
      <c r="A718" s="21" t="s">
        <v>971</v>
      </c>
      <c r="B718" s="21" t="s">
        <v>823</v>
      </c>
      <c r="C718" s="21"/>
      <c r="D718" s="37" t="s">
        <v>84</v>
      </c>
      <c r="E718" s="37" t="s">
        <v>84</v>
      </c>
      <c r="F718" s="37" t="s">
        <v>153</v>
      </c>
      <c r="G718" s="21" t="s">
        <v>505</v>
      </c>
      <c r="H718" s="21" t="n">
        <v>0</v>
      </c>
      <c r="I718" s="21" t="s">
        <v>137</v>
      </c>
    </row>
    <row r="719" customFormat="false" ht="15" hidden="false" customHeight="false" outlineLevel="0" collapsed="false">
      <c r="A719" s="21" t="s">
        <v>972</v>
      </c>
      <c r="B719" s="21" t="s">
        <v>825</v>
      </c>
      <c r="C719" s="21"/>
      <c r="D719" s="37" t="s">
        <v>84</v>
      </c>
      <c r="E719" s="37" t="s">
        <v>84</v>
      </c>
      <c r="F719" s="37" t="s">
        <v>36</v>
      </c>
      <c r="G719" s="21" t="s">
        <v>505</v>
      </c>
      <c r="H719" s="21" t="n">
        <v>0</v>
      </c>
      <c r="I719" s="21" t="s">
        <v>137</v>
      </c>
    </row>
    <row r="720" customFormat="false" ht="15" hidden="false" customHeight="false" outlineLevel="0" collapsed="false">
      <c r="A720" s="21" t="s">
        <v>973</v>
      </c>
      <c r="B720" s="21" t="s">
        <v>827</v>
      </c>
      <c r="C720" s="21"/>
      <c r="D720" s="37" t="s">
        <v>84</v>
      </c>
      <c r="E720" s="37" t="s">
        <v>84</v>
      </c>
      <c r="F720" s="37" t="s">
        <v>153</v>
      </c>
      <c r="G720" s="21" t="s">
        <v>505</v>
      </c>
      <c r="H720" s="21" t="n">
        <v>0</v>
      </c>
      <c r="I720" s="21" t="s">
        <v>137</v>
      </c>
    </row>
    <row r="721" customFormat="false" ht="15" hidden="false" customHeight="false" outlineLevel="0" collapsed="false">
      <c r="A721" s="21" t="s">
        <v>974</v>
      </c>
      <c r="B721" s="21" t="s">
        <v>823</v>
      </c>
      <c r="C721" s="21"/>
      <c r="D721" s="37" t="s">
        <v>84</v>
      </c>
      <c r="E721" s="37" t="s">
        <v>84</v>
      </c>
      <c r="F721" s="37" t="s">
        <v>153</v>
      </c>
      <c r="G721" s="21" t="s">
        <v>514</v>
      </c>
      <c r="H721" s="21" t="n">
        <v>0</v>
      </c>
      <c r="I721" s="21" t="s">
        <v>137</v>
      </c>
    </row>
    <row r="722" customFormat="false" ht="15" hidden="false" customHeight="false" outlineLevel="0" collapsed="false">
      <c r="A722" s="21" t="s">
        <v>975</v>
      </c>
      <c r="B722" s="21" t="s">
        <v>827</v>
      </c>
      <c r="C722" s="21"/>
      <c r="D722" s="37" t="s">
        <v>84</v>
      </c>
      <c r="E722" s="37" t="s">
        <v>84</v>
      </c>
      <c r="F722" s="37" t="s">
        <v>153</v>
      </c>
      <c r="G722" s="21" t="s">
        <v>505</v>
      </c>
      <c r="H722" s="21" t="n">
        <v>0</v>
      </c>
      <c r="I722" s="21" t="s">
        <v>137</v>
      </c>
    </row>
    <row r="723" customFormat="false" ht="15" hidden="false" customHeight="false" outlineLevel="0" collapsed="false">
      <c r="A723" s="21" t="s">
        <v>976</v>
      </c>
      <c r="B723" s="21" t="s">
        <v>823</v>
      </c>
      <c r="C723" s="21"/>
      <c r="D723" s="37" t="s">
        <v>84</v>
      </c>
      <c r="E723" s="37" t="s">
        <v>84</v>
      </c>
      <c r="F723" s="37" t="s">
        <v>153</v>
      </c>
      <c r="G723" s="21" t="s">
        <v>505</v>
      </c>
      <c r="H723" s="21" t="n">
        <v>0</v>
      </c>
      <c r="I723" s="21" t="s">
        <v>137</v>
      </c>
    </row>
    <row r="724" customFormat="false" ht="15" hidden="false" customHeight="false" outlineLevel="0" collapsed="false">
      <c r="A724" s="21" t="s">
        <v>977</v>
      </c>
      <c r="B724" s="21" t="s">
        <v>827</v>
      </c>
      <c r="C724" s="21"/>
      <c r="D724" s="37" t="s">
        <v>84</v>
      </c>
      <c r="E724" s="37" t="s">
        <v>84</v>
      </c>
      <c r="F724" s="37" t="s">
        <v>153</v>
      </c>
      <c r="G724" s="21" t="s">
        <v>505</v>
      </c>
      <c r="H724" s="21" t="n">
        <v>0</v>
      </c>
      <c r="I724" s="21" t="s">
        <v>137</v>
      </c>
    </row>
    <row r="725" customFormat="false" ht="15" hidden="false" customHeight="false" outlineLevel="0" collapsed="false">
      <c r="A725" s="21" t="s">
        <v>978</v>
      </c>
      <c r="B725" s="21" t="s">
        <v>823</v>
      </c>
      <c r="C725" s="21"/>
      <c r="D725" s="37" t="s">
        <v>84</v>
      </c>
      <c r="E725" s="37" t="s">
        <v>84</v>
      </c>
      <c r="F725" s="37" t="s">
        <v>153</v>
      </c>
      <c r="G725" s="21" t="s">
        <v>514</v>
      </c>
      <c r="H725" s="21" t="n">
        <v>0</v>
      </c>
      <c r="I725" s="21" t="s">
        <v>137</v>
      </c>
    </row>
    <row r="726" customFormat="false" ht="15" hidden="false" customHeight="false" outlineLevel="0" collapsed="false">
      <c r="A726" s="21" t="s">
        <v>979</v>
      </c>
      <c r="B726" s="21" t="s">
        <v>825</v>
      </c>
      <c r="C726" s="21"/>
      <c r="D726" s="37" t="s">
        <v>84</v>
      </c>
      <c r="E726" s="37" t="s">
        <v>84</v>
      </c>
      <c r="F726" s="37" t="s">
        <v>36</v>
      </c>
      <c r="G726" s="21" t="s">
        <v>505</v>
      </c>
      <c r="H726" s="21" t="n">
        <v>0</v>
      </c>
      <c r="I726" s="21" t="s">
        <v>137</v>
      </c>
    </row>
    <row r="727" customFormat="false" ht="15" hidden="false" customHeight="false" outlineLevel="0" collapsed="false">
      <c r="A727" s="21" t="s">
        <v>980</v>
      </c>
      <c r="B727" s="21" t="s">
        <v>823</v>
      </c>
      <c r="C727" s="21"/>
      <c r="D727" s="37" t="s">
        <v>84</v>
      </c>
      <c r="E727" s="37" t="s">
        <v>84</v>
      </c>
      <c r="F727" s="37" t="s">
        <v>153</v>
      </c>
      <c r="G727" s="21" t="s">
        <v>505</v>
      </c>
      <c r="H727" s="21" t="n">
        <v>0</v>
      </c>
      <c r="I727" s="21" t="s">
        <v>137</v>
      </c>
    </row>
    <row r="728" customFormat="false" ht="15" hidden="false" customHeight="false" outlineLevel="0" collapsed="false">
      <c r="A728" s="21" t="s">
        <v>981</v>
      </c>
      <c r="B728" s="21" t="s">
        <v>823</v>
      </c>
      <c r="C728" s="21"/>
      <c r="D728" s="37" t="s">
        <v>84</v>
      </c>
      <c r="E728" s="37" t="s">
        <v>84</v>
      </c>
      <c r="F728" s="37" t="s">
        <v>153</v>
      </c>
      <c r="G728" s="21" t="s">
        <v>505</v>
      </c>
      <c r="H728" s="21" t="n">
        <v>0</v>
      </c>
      <c r="I728" s="21" t="s">
        <v>137</v>
      </c>
    </row>
    <row r="729" customFormat="false" ht="15" hidden="false" customHeight="false" outlineLevel="0" collapsed="false">
      <c r="A729" s="21" t="s">
        <v>982</v>
      </c>
      <c r="B729" s="21" t="s">
        <v>825</v>
      </c>
      <c r="C729" s="21"/>
      <c r="D729" s="37" t="s">
        <v>84</v>
      </c>
      <c r="E729" s="37" t="s">
        <v>84</v>
      </c>
      <c r="F729" s="37" t="s">
        <v>36</v>
      </c>
      <c r="G729" s="21" t="s">
        <v>505</v>
      </c>
      <c r="H729" s="21" t="n">
        <v>0</v>
      </c>
      <c r="I729" s="21" t="s">
        <v>137</v>
      </c>
    </row>
    <row r="730" customFormat="false" ht="15" hidden="false" customHeight="false" outlineLevel="0" collapsed="false">
      <c r="A730" s="21" t="s">
        <v>983</v>
      </c>
      <c r="B730" s="21" t="s">
        <v>825</v>
      </c>
      <c r="C730" s="21"/>
      <c r="D730" s="37" t="s">
        <v>84</v>
      </c>
      <c r="E730" s="37" t="s">
        <v>84</v>
      </c>
      <c r="F730" s="37" t="s">
        <v>36</v>
      </c>
      <c r="G730" s="21" t="s">
        <v>505</v>
      </c>
      <c r="H730" s="21" t="n">
        <v>0</v>
      </c>
      <c r="I730" s="21" t="s">
        <v>137</v>
      </c>
    </row>
    <row r="731" customFormat="false" ht="15" hidden="false" customHeight="false" outlineLevel="0" collapsed="false">
      <c r="A731" s="21" t="s">
        <v>984</v>
      </c>
      <c r="B731" s="21" t="s">
        <v>825</v>
      </c>
      <c r="C731" s="21"/>
      <c r="D731" s="37" t="s">
        <v>84</v>
      </c>
      <c r="E731" s="37" t="s">
        <v>84</v>
      </c>
      <c r="F731" s="37" t="s">
        <v>36</v>
      </c>
      <c r="G731" s="21" t="s">
        <v>505</v>
      </c>
      <c r="H731" s="21" t="n">
        <v>0</v>
      </c>
      <c r="I731" s="21" t="s">
        <v>137</v>
      </c>
    </row>
    <row r="732" customFormat="false" ht="15" hidden="false" customHeight="false" outlineLevel="0" collapsed="false">
      <c r="A732" s="21" t="s">
        <v>985</v>
      </c>
      <c r="B732" s="21" t="s">
        <v>827</v>
      </c>
      <c r="C732" s="21"/>
      <c r="D732" s="37" t="s">
        <v>84</v>
      </c>
      <c r="E732" s="37" t="s">
        <v>84</v>
      </c>
      <c r="F732" s="37" t="s">
        <v>153</v>
      </c>
      <c r="G732" s="21" t="s">
        <v>505</v>
      </c>
      <c r="H732" s="21" t="n">
        <v>0</v>
      </c>
      <c r="I732" s="21" t="s">
        <v>137</v>
      </c>
    </row>
    <row r="733" customFormat="false" ht="15" hidden="false" customHeight="false" outlineLevel="0" collapsed="false">
      <c r="A733" s="21" t="s">
        <v>986</v>
      </c>
      <c r="B733" s="21" t="s">
        <v>823</v>
      </c>
      <c r="C733" s="21"/>
      <c r="D733" s="37" t="s">
        <v>84</v>
      </c>
      <c r="E733" s="37" t="s">
        <v>84</v>
      </c>
      <c r="F733" s="37" t="s">
        <v>153</v>
      </c>
      <c r="G733" s="21" t="s">
        <v>505</v>
      </c>
      <c r="H733" s="21" t="n">
        <v>0</v>
      </c>
      <c r="I733" s="21" t="s">
        <v>137</v>
      </c>
    </row>
    <row r="734" customFormat="false" ht="15" hidden="false" customHeight="false" outlineLevel="0" collapsed="false">
      <c r="A734" s="21" t="s">
        <v>987</v>
      </c>
      <c r="B734" s="21" t="s">
        <v>823</v>
      </c>
      <c r="C734" s="21"/>
      <c r="D734" s="37" t="s">
        <v>84</v>
      </c>
      <c r="E734" s="37" t="s">
        <v>84</v>
      </c>
      <c r="F734" s="37" t="s">
        <v>153</v>
      </c>
      <c r="G734" s="21" t="s">
        <v>514</v>
      </c>
      <c r="H734" s="21" t="n">
        <v>0</v>
      </c>
      <c r="I734" s="21" t="s">
        <v>137</v>
      </c>
    </row>
    <row r="735" customFormat="false" ht="15" hidden="false" customHeight="false" outlineLevel="0" collapsed="false">
      <c r="A735" s="21" t="s">
        <v>988</v>
      </c>
      <c r="B735" s="21" t="s">
        <v>827</v>
      </c>
      <c r="C735" s="21"/>
      <c r="D735" s="37" t="s">
        <v>84</v>
      </c>
      <c r="E735" s="37" t="s">
        <v>84</v>
      </c>
      <c r="F735" s="37" t="s">
        <v>153</v>
      </c>
      <c r="G735" s="21" t="s">
        <v>505</v>
      </c>
      <c r="H735" s="21" t="n">
        <v>0</v>
      </c>
      <c r="I735" s="21" t="s">
        <v>137</v>
      </c>
    </row>
    <row r="736" customFormat="false" ht="15" hidden="false" customHeight="false" outlineLevel="0" collapsed="false">
      <c r="A736" s="21" t="s">
        <v>989</v>
      </c>
      <c r="B736" s="21" t="s">
        <v>823</v>
      </c>
      <c r="C736" s="21"/>
      <c r="D736" s="37" t="s">
        <v>84</v>
      </c>
      <c r="E736" s="37" t="s">
        <v>84</v>
      </c>
      <c r="F736" s="37" t="s">
        <v>153</v>
      </c>
      <c r="G736" s="21" t="s">
        <v>505</v>
      </c>
      <c r="H736" s="21" t="n">
        <v>0</v>
      </c>
      <c r="I736" s="21" t="s">
        <v>137</v>
      </c>
    </row>
    <row r="737" customFormat="false" ht="15" hidden="false" customHeight="false" outlineLevel="0" collapsed="false">
      <c r="A737" s="21" t="s">
        <v>990</v>
      </c>
      <c r="B737" s="21" t="s">
        <v>823</v>
      </c>
      <c r="C737" s="21"/>
      <c r="D737" s="37" t="s">
        <v>84</v>
      </c>
      <c r="E737" s="37" t="s">
        <v>84</v>
      </c>
      <c r="F737" s="37" t="s">
        <v>153</v>
      </c>
      <c r="G737" s="21" t="s">
        <v>505</v>
      </c>
      <c r="H737" s="21" t="n">
        <v>0</v>
      </c>
      <c r="I737" s="21" t="s">
        <v>137</v>
      </c>
    </row>
    <row r="738" customFormat="false" ht="15" hidden="false" customHeight="false" outlineLevel="0" collapsed="false">
      <c r="A738" s="21" t="s">
        <v>991</v>
      </c>
      <c r="B738" s="21" t="s">
        <v>825</v>
      </c>
      <c r="C738" s="21"/>
      <c r="D738" s="37" t="s">
        <v>84</v>
      </c>
      <c r="E738" s="37" t="s">
        <v>84</v>
      </c>
      <c r="F738" s="37" t="s">
        <v>36</v>
      </c>
      <c r="G738" s="21" t="s">
        <v>505</v>
      </c>
      <c r="H738" s="21" t="n">
        <v>0</v>
      </c>
      <c r="I738" s="21" t="s">
        <v>137</v>
      </c>
    </row>
    <row r="739" customFormat="false" ht="15" hidden="false" customHeight="false" outlineLevel="0" collapsed="false">
      <c r="A739" s="21" t="s">
        <v>992</v>
      </c>
      <c r="B739" s="21" t="s">
        <v>823</v>
      </c>
      <c r="C739" s="21"/>
      <c r="D739" s="37" t="s">
        <v>84</v>
      </c>
      <c r="E739" s="37" t="s">
        <v>84</v>
      </c>
      <c r="F739" s="37" t="s">
        <v>153</v>
      </c>
      <c r="G739" s="21" t="s">
        <v>514</v>
      </c>
      <c r="H739" s="21" t="n">
        <v>0</v>
      </c>
      <c r="I739" s="21" t="s">
        <v>137</v>
      </c>
    </row>
    <row r="740" customFormat="false" ht="15" hidden="false" customHeight="false" outlineLevel="0" collapsed="false">
      <c r="A740" s="21" t="s">
        <v>993</v>
      </c>
      <c r="B740" s="21" t="s">
        <v>825</v>
      </c>
      <c r="C740" s="21"/>
      <c r="D740" s="37" t="s">
        <v>84</v>
      </c>
      <c r="E740" s="37" t="s">
        <v>84</v>
      </c>
      <c r="F740" s="37" t="s">
        <v>36</v>
      </c>
      <c r="G740" s="21" t="s">
        <v>505</v>
      </c>
      <c r="H740" s="21" t="n">
        <v>0</v>
      </c>
      <c r="I740" s="21" t="s">
        <v>137</v>
      </c>
    </row>
    <row r="741" customFormat="false" ht="15" hidden="false" customHeight="false" outlineLevel="0" collapsed="false">
      <c r="A741" s="21" t="s">
        <v>994</v>
      </c>
      <c r="B741" s="21" t="s">
        <v>827</v>
      </c>
      <c r="C741" s="21"/>
      <c r="D741" s="37" t="s">
        <v>84</v>
      </c>
      <c r="E741" s="37" t="s">
        <v>84</v>
      </c>
      <c r="F741" s="37" t="s">
        <v>153</v>
      </c>
      <c r="G741" s="21" t="s">
        <v>505</v>
      </c>
      <c r="H741" s="21" t="n">
        <v>0</v>
      </c>
      <c r="I741" s="21" t="s">
        <v>137</v>
      </c>
    </row>
    <row r="742" customFormat="false" ht="15" hidden="false" customHeight="false" outlineLevel="0" collapsed="false">
      <c r="A742" s="21" t="s">
        <v>995</v>
      </c>
      <c r="B742" s="21" t="s">
        <v>825</v>
      </c>
      <c r="C742" s="21"/>
      <c r="D742" s="37" t="s">
        <v>84</v>
      </c>
      <c r="E742" s="37" t="s">
        <v>84</v>
      </c>
      <c r="F742" s="37" t="s">
        <v>36</v>
      </c>
      <c r="G742" s="21" t="s">
        <v>505</v>
      </c>
      <c r="H742" s="21" t="n">
        <v>0</v>
      </c>
      <c r="I742" s="21" t="s">
        <v>137</v>
      </c>
    </row>
    <row r="743" customFormat="false" ht="15" hidden="false" customHeight="false" outlineLevel="0" collapsed="false">
      <c r="A743" s="21" t="s">
        <v>996</v>
      </c>
      <c r="B743" s="21" t="s">
        <v>823</v>
      </c>
      <c r="C743" s="21"/>
      <c r="D743" s="37" t="s">
        <v>84</v>
      </c>
      <c r="E743" s="37" t="s">
        <v>84</v>
      </c>
      <c r="F743" s="37" t="s">
        <v>153</v>
      </c>
      <c r="G743" s="21" t="s">
        <v>505</v>
      </c>
      <c r="H743" s="21" t="n">
        <v>0</v>
      </c>
      <c r="I743" s="21" t="s">
        <v>137</v>
      </c>
    </row>
    <row r="744" customFormat="false" ht="15" hidden="false" customHeight="false" outlineLevel="0" collapsed="false">
      <c r="A744" s="21" t="s">
        <v>997</v>
      </c>
      <c r="B744" s="21" t="s">
        <v>825</v>
      </c>
      <c r="C744" s="21"/>
      <c r="D744" s="37" t="s">
        <v>84</v>
      </c>
      <c r="E744" s="37" t="s">
        <v>84</v>
      </c>
      <c r="F744" s="37" t="s">
        <v>36</v>
      </c>
      <c r="G744" s="21" t="s">
        <v>505</v>
      </c>
      <c r="H744" s="21" t="n">
        <v>0</v>
      </c>
      <c r="I744" s="21" t="s">
        <v>137</v>
      </c>
    </row>
    <row r="745" customFormat="false" ht="15" hidden="false" customHeight="false" outlineLevel="0" collapsed="false">
      <c r="A745" s="21" t="s">
        <v>998</v>
      </c>
      <c r="B745" s="21" t="s">
        <v>825</v>
      </c>
      <c r="C745" s="21"/>
      <c r="D745" s="37" t="s">
        <v>84</v>
      </c>
      <c r="E745" s="37" t="s">
        <v>84</v>
      </c>
      <c r="F745" s="37" t="s">
        <v>36</v>
      </c>
      <c r="G745" s="21" t="s">
        <v>505</v>
      </c>
      <c r="H745" s="21" t="n">
        <v>0</v>
      </c>
      <c r="I745" s="21" t="s">
        <v>137</v>
      </c>
    </row>
    <row r="746" customFormat="false" ht="15" hidden="false" customHeight="false" outlineLevel="0" collapsed="false">
      <c r="A746" s="21" t="s">
        <v>999</v>
      </c>
      <c r="B746" s="21" t="s">
        <v>825</v>
      </c>
      <c r="C746" s="21"/>
      <c r="D746" s="37" t="s">
        <v>84</v>
      </c>
      <c r="E746" s="37" t="s">
        <v>84</v>
      </c>
      <c r="F746" s="37" t="s">
        <v>36</v>
      </c>
      <c r="G746" s="21" t="s">
        <v>505</v>
      </c>
      <c r="H746" s="21" t="n">
        <v>0</v>
      </c>
      <c r="I746" s="21" t="s">
        <v>137</v>
      </c>
    </row>
    <row r="747" customFormat="false" ht="15" hidden="false" customHeight="false" outlineLevel="0" collapsed="false">
      <c r="A747" s="21" t="s">
        <v>1000</v>
      </c>
      <c r="B747" s="21" t="s">
        <v>823</v>
      </c>
      <c r="C747" s="21"/>
      <c r="D747" s="37" t="s">
        <v>84</v>
      </c>
      <c r="E747" s="37" t="s">
        <v>84</v>
      </c>
      <c r="F747" s="37" t="s">
        <v>153</v>
      </c>
      <c r="G747" s="21" t="s">
        <v>514</v>
      </c>
      <c r="H747" s="21" t="n">
        <v>0</v>
      </c>
      <c r="I747" s="21" t="s">
        <v>137</v>
      </c>
    </row>
    <row r="748" customFormat="false" ht="15" hidden="false" customHeight="false" outlineLevel="0" collapsed="false">
      <c r="A748" s="21" t="s">
        <v>1001</v>
      </c>
      <c r="B748" s="21" t="s">
        <v>823</v>
      </c>
      <c r="C748" s="21"/>
      <c r="D748" s="37" t="s">
        <v>84</v>
      </c>
      <c r="E748" s="37" t="s">
        <v>84</v>
      </c>
      <c r="F748" s="37" t="s">
        <v>153</v>
      </c>
      <c r="G748" s="21" t="s">
        <v>505</v>
      </c>
      <c r="H748" s="21" t="n">
        <v>0</v>
      </c>
      <c r="I748" s="21" t="s">
        <v>137</v>
      </c>
    </row>
    <row r="749" customFormat="false" ht="15" hidden="false" customHeight="false" outlineLevel="0" collapsed="false">
      <c r="A749" s="21" t="s">
        <v>1002</v>
      </c>
      <c r="B749" s="21" t="s">
        <v>825</v>
      </c>
      <c r="C749" s="21"/>
      <c r="D749" s="37" t="s">
        <v>84</v>
      </c>
      <c r="E749" s="37" t="s">
        <v>84</v>
      </c>
      <c r="F749" s="37" t="s">
        <v>36</v>
      </c>
      <c r="G749" s="21" t="s">
        <v>505</v>
      </c>
      <c r="H749" s="21" t="n">
        <v>0</v>
      </c>
      <c r="I749" s="21" t="s">
        <v>137</v>
      </c>
    </row>
    <row r="750" customFormat="false" ht="15" hidden="false" customHeight="false" outlineLevel="0" collapsed="false">
      <c r="A750" s="21" t="s">
        <v>1003</v>
      </c>
      <c r="B750" s="21" t="s">
        <v>823</v>
      </c>
      <c r="C750" s="21"/>
      <c r="D750" s="37" t="s">
        <v>84</v>
      </c>
      <c r="E750" s="37" t="s">
        <v>84</v>
      </c>
      <c r="F750" s="37" t="s">
        <v>153</v>
      </c>
      <c r="G750" s="21" t="s">
        <v>505</v>
      </c>
      <c r="H750" s="21" t="n">
        <v>0</v>
      </c>
      <c r="I750" s="21" t="s">
        <v>137</v>
      </c>
    </row>
    <row r="751" customFormat="false" ht="15" hidden="false" customHeight="false" outlineLevel="0" collapsed="false">
      <c r="A751" s="21" t="s">
        <v>1004</v>
      </c>
      <c r="B751" s="21" t="s">
        <v>823</v>
      </c>
      <c r="C751" s="21"/>
      <c r="D751" s="37" t="s">
        <v>84</v>
      </c>
      <c r="E751" s="37" t="s">
        <v>84</v>
      </c>
      <c r="F751" s="37" t="s">
        <v>153</v>
      </c>
      <c r="G751" s="21" t="s">
        <v>505</v>
      </c>
      <c r="H751" s="21" t="n">
        <v>0</v>
      </c>
      <c r="I751" s="21" t="s">
        <v>137</v>
      </c>
    </row>
    <row r="752" customFormat="false" ht="15" hidden="false" customHeight="false" outlineLevel="0" collapsed="false">
      <c r="A752" s="21" t="s">
        <v>1005</v>
      </c>
      <c r="B752" s="21" t="s">
        <v>823</v>
      </c>
      <c r="C752" s="21"/>
      <c r="D752" s="37" t="s">
        <v>84</v>
      </c>
      <c r="E752" s="37" t="s">
        <v>84</v>
      </c>
      <c r="F752" s="37" t="s">
        <v>153</v>
      </c>
      <c r="G752" s="21" t="s">
        <v>514</v>
      </c>
      <c r="H752" s="21" t="n">
        <v>0</v>
      </c>
      <c r="I752" s="21" t="s">
        <v>137</v>
      </c>
    </row>
    <row r="753" customFormat="false" ht="15" hidden="false" customHeight="false" outlineLevel="0" collapsed="false">
      <c r="A753" s="21" t="s">
        <v>1006</v>
      </c>
      <c r="B753" s="21" t="s">
        <v>827</v>
      </c>
      <c r="C753" s="21"/>
      <c r="D753" s="37" t="s">
        <v>84</v>
      </c>
      <c r="E753" s="37" t="s">
        <v>84</v>
      </c>
      <c r="F753" s="37" t="s">
        <v>153</v>
      </c>
      <c r="G753" s="21" t="s">
        <v>505</v>
      </c>
      <c r="H753" s="21" t="n">
        <v>0</v>
      </c>
      <c r="I753" s="21" t="s">
        <v>137</v>
      </c>
    </row>
    <row r="754" customFormat="false" ht="15" hidden="false" customHeight="false" outlineLevel="0" collapsed="false">
      <c r="A754" s="21" t="s">
        <v>1007</v>
      </c>
      <c r="B754" s="21" t="s">
        <v>823</v>
      </c>
      <c r="C754" s="21"/>
      <c r="D754" s="37" t="s">
        <v>84</v>
      </c>
      <c r="E754" s="37" t="s">
        <v>84</v>
      </c>
      <c r="F754" s="37" t="s">
        <v>153</v>
      </c>
      <c r="G754" s="21" t="s">
        <v>514</v>
      </c>
      <c r="H754" s="21" t="n">
        <v>0</v>
      </c>
      <c r="I754" s="21" t="s">
        <v>137</v>
      </c>
    </row>
    <row r="755" customFormat="false" ht="15" hidden="false" customHeight="false" outlineLevel="0" collapsed="false">
      <c r="A755" s="21" t="s">
        <v>1008</v>
      </c>
      <c r="B755" s="21" t="s">
        <v>825</v>
      </c>
      <c r="C755" s="21"/>
      <c r="D755" s="37" t="s">
        <v>84</v>
      </c>
      <c r="E755" s="37" t="s">
        <v>84</v>
      </c>
      <c r="F755" s="37" t="s">
        <v>36</v>
      </c>
      <c r="G755" s="21" t="s">
        <v>505</v>
      </c>
      <c r="H755" s="21" t="n">
        <v>0</v>
      </c>
      <c r="I755" s="21" t="s">
        <v>137</v>
      </c>
    </row>
    <row r="756" customFormat="false" ht="15" hidden="false" customHeight="false" outlineLevel="0" collapsed="false">
      <c r="A756" s="21" t="s">
        <v>1009</v>
      </c>
      <c r="B756" s="21" t="s">
        <v>823</v>
      </c>
      <c r="C756" s="21"/>
      <c r="D756" s="37" t="s">
        <v>84</v>
      </c>
      <c r="E756" s="37" t="s">
        <v>84</v>
      </c>
      <c r="F756" s="37" t="s">
        <v>153</v>
      </c>
      <c r="G756" s="21" t="s">
        <v>505</v>
      </c>
      <c r="H756" s="21" t="n">
        <v>0</v>
      </c>
      <c r="I756" s="21" t="s">
        <v>137</v>
      </c>
    </row>
    <row r="757" customFormat="false" ht="15" hidden="false" customHeight="false" outlineLevel="0" collapsed="false">
      <c r="A757" s="21" t="s">
        <v>1010</v>
      </c>
      <c r="B757" s="21" t="s">
        <v>823</v>
      </c>
      <c r="C757" s="21"/>
      <c r="D757" s="37" t="s">
        <v>84</v>
      </c>
      <c r="E757" s="37" t="s">
        <v>84</v>
      </c>
      <c r="F757" s="37" t="s">
        <v>153</v>
      </c>
      <c r="G757" s="21" t="s">
        <v>505</v>
      </c>
      <c r="H757" s="21" t="n">
        <v>0</v>
      </c>
      <c r="I757" s="21" t="s">
        <v>137</v>
      </c>
    </row>
    <row r="758" customFormat="false" ht="15" hidden="false" customHeight="false" outlineLevel="0" collapsed="false">
      <c r="A758" s="21" t="s">
        <v>1011</v>
      </c>
      <c r="B758" s="21" t="s">
        <v>823</v>
      </c>
      <c r="C758" s="21"/>
      <c r="D758" s="37" t="s">
        <v>84</v>
      </c>
      <c r="E758" s="37" t="s">
        <v>84</v>
      </c>
      <c r="F758" s="37" t="s">
        <v>153</v>
      </c>
      <c r="G758" s="21" t="s">
        <v>505</v>
      </c>
      <c r="H758" s="21" t="n">
        <v>0</v>
      </c>
      <c r="I758" s="21" t="s">
        <v>137</v>
      </c>
    </row>
    <row r="759" customFormat="false" ht="15" hidden="false" customHeight="false" outlineLevel="0" collapsed="false">
      <c r="A759" s="21" t="s">
        <v>1012</v>
      </c>
      <c r="B759" s="21" t="s">
        <v>827</v>
      </c>
      <c r="C759" s="21"/>
      <c r="D759" s="37" t="s">
        <v>84</v>
      </c>
      <c r="E759" s="37" t="s">
        <v>84</v>
      </c>
      <c r="F759" s="37" t="s">
        <v>153</v>
      </c>
      <c r="G759" s="21" t="s">
        <v>514</v>
      </c>
      <c r="H759" s="21" t="n">
        <v>0</v>
      </c>
      <c r="I759" s="21" t="s">
        <v>137</v>
      </c>
    </row>
    <row r="760" customFormat="false" ht="15" hidden="false" customHeight="false" outlineLevel="0" collapsed="false">
      <c r="A760" s="21" t="s">
        <v>1013</v>
      </c>
      <c r="B760" s="21" t="s">
        <v>825</v>
      </c>
      <c r="C760" s="21"/>
      <c r="D760" s="37" t="s">
        <v>84</v>
      </c>
      <c r="E760" s="37" t="s">
        <v>84</v>
      </c>
      <c r="F760" s="37" t="s">
        <v>36</v>
      </c>
      <c r="G760" s="21" t="s">
        <v>505</v>
      </c>
      <c r="H760" s="21" t="n">
        <v>0</v>
      </c>
      <c r="I760" s="21" t="s">
        <v>137</v>
      </c>
    </row>
    <row r="761" customFormat="false" ht="15" hidden="false" customHeight="false" outlineLevel="0" collapsed="false">
      <c r="A761" s="21" t="s">
        <v>1014</v>
      </c>
      <c r="B761" s="21" t="s">
        <v>825</v>
      </c>
      <c r="C761" s="21"/>
      <c r="D761" s="37" t="s">
        <v>84</v>
      </c>
      <c r="E761" s="37" t="s">
        <v>84</v>
      </c>
      <c r="F761" s="37" t="s">
        <v>36</v>
      </c>
      <c r="G761" s="21" t="s">
        <v>505</v>
      </c>
      <c r="H761" s="21" t="n">
        <v>0</v>
      </c>
      <c r="I761" s="21" t="s">
        <v>137</v>
      </c>
    </row>
    <row r="762" customFormat="false" ht="15" hidden="false" customHeight="false" outlineLevel="0" collapsed="false">
      <c r="A762" s="21" t="s">
        <v>1015</v>
      </c>
      <c r="B762" s="21" t="s">
        <v>825</v>
      </c>
      <c r="C762" s="21"/>
      <c r="D762" s="37" t="s">
        <v>84</v>
      </c>
      <c r="E762" s="37" t="s">
        <v>84</v>
      </c>
      <c r="F762" s="37" t="s">
        <v>36</v>
      </c>
      <c r="G762" s="21" t="s">
        <v>505</v>
      </c>
      <c r="H762" s="21" t="n">
        <v>0</v>
      </c>
      <c r="I762" s="21" t="s">
        <v>137</v>
      </c>
    </row>
    <row r="763" customFormat="false" ht="15" hidden="false" customHeight="false" outlineLevel="0" collapsed="false">
      <c r="A763" s="21" t="s">
        <v>1016</v>
      </c>
      <c r="B763" s="21" t="s">
        <v>823</v>
      </c>
      <c r="C763" s="21"/>
      <c r="D763" s="37" t="s">
        <v>84</v>
      </c>
      <c r="E763" s="37" t="s">
        <v>84</v>
      </c>
      <c r="F763" s="37" t="s">
        <v>153</v>
      </c>
      <c r="G763" s="21" t="s">
        <v>505</v>
      </c>
      <c r="H763" s="21" t="n">
        <v>0</v>
      </c>
      <c r="I763" s="21" t="s">
        <v>137</v>
      </c>
    </row>
    <row r="764" customFormat="false" ht="15" hidden="false" customHeight="false" outlineLevel="0" collapsed="false">
      <c r="A764" s="21" t="s">
        <v>1017</v>
      </c>
      <c r="B764" s="21" t="s">
        <v>825</v>
      </c>
      <c r="C764" s="21"/>
      <c r="D764" s="37" t="s">
        <v>84</v>
      </c>
      <c r="E764" s="37" t="s">
        <v>84</v>
      </c>
      <c r="F764" s="37" t="s">
        <v>36</v>
      </c>
      <c r="G764" s="21" t="s">
        <v>505</v>
      </c>
      <c r="H764" s="21" t="n">
        <v>0</v>
      </c>
      <c r="I764" s="21" t="s">
        <v>137</v>
      </c>
    </row>
    <row r="765" customFormat="false" ht="15" hidden="false" customHeight="false" outlineLevel="0" collapsed="false">
      <c r="A765" s="21" t="s">
        <v>1018</v>
      </c>
      <c r="B765" s="21" t="s">
        <v>827</v>
      </c>
      <c r="C765" s="21"/>
      <c r="D765" s="37" t="s">
        <v>84</v>
      </c>
      <c r="E765" s="37" t="s">
        <v>84</v>
      </c>
      <c r="F765" s="37" t="s">
        <v>153</v>
      </c>
      <c r="G765" s="21" t="s">
        <v>514</v>
      </c>
      <c r="H765" s="21" t="n">
        <v>0</v>
      </c>
      <c r="I765" s="21" t="s">
        <v>137</v>
      </c>
    </row>
    <row r="766" customFormat="false" ht="15" hidden="false" customHeight="false" outlineLevel="0" collapsed="false">
      <c r="A766" s="21" t="s">
        <v>1019</v>
      </c>
      <c r="B766" s="21" t="s">
        <v>825</v>
      </c>
      <c r="C766" s="21"/>
      <c r="D766" s="37" t="s">
        <v>84</v>
      </c>
      <c r="E766" s="37" t="s">
        <v>84</v>
      </c>
      <c r="F766" s="37" t="s">
        <v>36</v>
      </c>
      <c r="G766" s="21" t="s">
        <v>505</v>
      </c>
      <c r="H766" s="21" t="n">
        <v>0</v>
      </c>
      <c r="I766" s="21" t="s">
        <v>137</v>
      </c>
    </row>
    <row r="767" customFormat="false" ht="15" hidden="false" customHeight="false" outlineLevel="0" collapsed="false">
      <c r="A767" s="21" t="s">
        <v>1020</v>
      </c>
      <c r="B767" s="21" t="s">
        <v>823</v>
      </c>
      <c r="C767" s="21"/>
      <c r="D767" s="37" t="s">
        <v>84</v>
      </c>
      <c r="E767" s="37" t="s">
        <v>84</v>
      </c>
      <c r="F767" s="37" t="s">
        <v>153</v>
      </c>
      <c r="G767" s="21" t="s">
        <v>505</v>
      </c>
      <c r="H767" s="21" t="n">
        <v>0</v>
      </c>
      <c r="I767" s="21" t="s">
        <v>137</v>
      </c>
    </row>
    <row r="768" customFormat="false" ht="15" hidden="false" customHeight="false" outlineLevel="0" collapsed="false">
      <c r="A768" s="21" t="s">
        <v>1021</v>
      </c>
      <c r="B768" s="21" t="s">
        <v>823</v>
      </c>
      <c r="C768" s="21"/>
      <c r="D768" s="37" t="s">
        <v>84</v>
      </c>
      <c r="E768" s="37" t="s">
        <v>84</v>
      </c>
      <c r="F768" s="37" t="s">
        <v>153</v>
      </c>
      <c r="G768" s="21" t="s">
        <v>505</v>
      </c>
      <c r="H768" s="21" t="n">
        <v>0</v>
      </c>
      <c r="I768" s="21" t="s">
        <v>137</v>
      </c>
    </row>
    <row r="769" customFormat="false" ht="15" hidden="false" customHeight="false" outlineLevel="0" collapsed="false">
      <c r="A769" s="21" t="s">
        <v>1022</v>
      </c>
      <c r="B769" s="21" t="s">
        <v>823</v>
      </c>
      <c r="C769" s="21"/>
      <c r="D769" s="37" t="s">
        <v>84</v>
      </c>
      <c r="E769" s="37" t="s">
        <v>84</v>
      </c>
      <c r="F769" s="37" t="s">
        <v>153</v>
      </c>
      <c r="G769" s="21" t="s">
        <v>514</v>
      </c>
      <c r="H769" s="21" t="n">
        <v>0</v>
      </c>
      <c r="I769" s="21" t="s">
        <v>137</v>
      </c>
    </row>
    <row r="770" customFormat="false" ht="15" hidden="false" customHeight="false" outlineLevel="0" collapsed="false">
      <c r="A770" s="21" t="s">
        <v>1023</v>
      </c>
      <c r="B770" s="21" t="s">
        <v>1024</v>
      </c>
      <c r="C770" s="21"/>
      <c r="D770" s="37" t="s">
        <v>84</v>
      </c>
      <c r="E770" s="37" t="s">
        <v>84</v>
      </c>
      <c r="F770" s="37" t="s">
        <v>36</v>
      </c>
      <c r="G770" s="21" t="s">
        <v>505</v>
      </c>
      <c r="H770" s="21" t="n">
        <v>0</v>
      </c>
      <c r="I770" s="21" t="s">
        <v>137</v>
      </c>
    </row>
    <row r="771" customFormat="false" ht="15" hidden="false" customHeight="false" outlineLevel="0" collapsed="false">
      <c r="A771" s="21" t="s">
        <v>1025</v>
      </c>
      <c r="B771" s="21" t="s">
        <v>1026</v>
      </c>
      <c r="C771" s="21"/>
      <c r="D771" s="37" t="s">
        <v>84</v>
      </c>
      <c r="E771" s="37" t="s">
        <v>84</v>
      </c>
      <c r="F771" s="37" t="s">
        <v>36</v>
      </c>
      <c r="G771" s="21" t="s">
        <v>445</v>
      </c>
      <c r="H771" s="21" t="n">
        <v>0</v>
      </c>
      <c r="I771" s="21" t="s">
        <v>137</v>
      </c>
    </row>
    <row r="772" customFormat="false" ht="15" hidden="false" customHeight="false" outlineLevel="0" collapsed="false">
      <c r="A772" s="21" t="s">
        <v>1027</v>
      </c>
      <c r="B772" s="21" t="s">
        <v>1028</v>
      </c>
      <c r="C772" s="21"/>
      <c r="D772" s="37" t="s">
        <v>84</v>
      </c>
      <c r="E772" s="37" t="s">
        <v>84</v>
      </c>
      <c r="F772" s="37" t="s">
        <v>36</v>
      </c>
      <c r="G772" s="21" t="s">
        <v>445</v>
      </c>
      <c r="H772" s="21" t="n">
        <v>0</v>
      </c>
      <c r="I772" s="21" t="s">
        <v>137</v>
      </c>
    </row>
    <row r="773" customFormat="false" ht="15" hidden="false" customHeight="false" outlineLevel="0" collapsed="false">
      <c r="A773" s="21" t="s">
        <v>1029</v>
      </c>
      <c r="B773" s="21" t="s">
        <v>1026</v>
      </c>
      <c r="C773" s="21"/>
      <c r="D773" s="37" t="s">
        <v>84</v>
      </c>
      <c r="E773" s="37" t="s">
        <v>84</v>
      </c>
      <c r="F773" s="37" t="s">
        <v>36</v>
      </c>
      <c r="G773" s="21" t="s">
        <v>445</v>
      </c>
      <c r="H773" s="21" t="n">
        <v>0</v>
      </c>
      <c r="I773" s="21" t="s">
        <v>137</v>
      </c>
    </row>
    <row r="774" customFormat="false" ht="15" hidden="false" customHeight="false" outlineLevel="0" collapsed="false">
      <c r="A774" s="21" t="s">
        <v>1030</v>
      </c>
      <c r="B774" s="21" t="s">
        <v>1028</v>
      </c>
      <c r="C774" s="21"/>
      <c r="D774" s="37" t="s">
        <v>84</v>
      </c>
      <c r="E774" s="37" t="s">
        <v>84</v>
      </c>
      <c r="F774" s="37" t="s">
        <v>36</v>
      </c>
      <c r="G774" s="21" t="s">
        <v>445</v>
      </c>
      <c r="H774" s="21" t="n">
        <v>0</v>
      </c>
      <c r="I774" s="21" t="s">
        <v>137</v>
      </c>
    </row>
    <row r="775" customFormat="false" ht="15" hidden="false" customHeight="false" outlineLevel="0" collapsed="false">
      <c r="A775" s="21" t="s">
        <v>1031</v>
      </c>
      <c r="B775" s="21" t="s">
        <v>1032</v>
      </c>
      <c r="C775" s="21"/>
      <c r="D775" s="37" t="s">
        <v>84</v>
      </c>
      <c r="E775" s="37" t="s">
        <v>84</v>
      </c>
      <c r="F775" s="37" t="s">
        <v>36</v>
      </c>
      <c r="G775" s="21" t="s">
        <v>445</v>
      </c>
      <c r="H775" s="21" t="n">
        <v>0</v>
      </c>
      <c r="I775" s="21" t="s">
        <v>137</v>
      </c>
    </row>
    <row r="776" customFormat="false" ht="15" hidden="false" customHeight="false" outlineLevel="0" collapsed="false">
      <c r="A776" s="21" t="s">
        <v>1033</v>
      </c>
      <c r="B776" s="21" t="s">
        <v>1026</v>
      </c>
      <c r="C776" s="21"/>
      <c r="D776" s="37" t="s">
        <v>84</v>
      </c>
      <c r="E776" s="37" t="s">
        <v>84</v>
      </c>
      <c r="F776" s="37" t="s">
        <v>36</v>
      </c>
      <c r="G776" s="21" t="s">
        <v>445</v>
      </c>
      <c r="H776" s="21" t="n">
        <v>0</v>
      </c>
      <c r="I776" s="21" t="s">
        <v>137</v>
      </c>
    </row>
    <row r="777" customFormat="false" ht="15" hidden="false" customHeight="false" outlineLevel="0" collapsed="false">
      <c r="A777" s="21" t="s">
        <v>1034</v>
      </c>
      <c r="B777" s="21" t="s">
        <v>1026</v>
      </c>
      <c r="C777" s="21"/>
      <c r="D777" s="37" t="s">
        <v>84</v>
      </c>
      <c r="E777" s="37" t="s">
        <v>84</v>
      </c>
      <c r="F777" s="37" t="s">
        <v>36</v>
      </c>
      <c r="G777" s="21" t="s">
        <v>445</v>
      </c>
      <c r="H777" s="21" t="n">
        <v>0</v>
      </c>
      <c r="I777" s="21" t="s">
        <v>137</v>
      </c>
    </row>
    <row r="778" customFormat="false" ht="15" hidden="false" customHeight="false" outlineLevel="0" collapsed="false">
      <c r="A778" s="21" t="s">
        <v>1035</v>
      </c>
      <c r="B778" s="21" t="s">
        <v>1026</v>
      </c>
      <c r="C778" s="21"/>
      <c r="D778" s="37" t="s">
        <v>84</v>
      </c>
      <c r="E778" s="37" t="s">
        <v>84</v>
      </c>
      <c r="F778" s="37" t="s">
        <v>36</v>
      </c>
      <c r="G778" s="21" t="s">
        <v>445</v>
      </c>
      <c r="H778" s="21" t="n">
        <v>0</v>
      </c>
      <c r="I778" s="21" t="s">
        <v>137</v>
      </c>
    </row>
    <row r="779" customFormat="false" ht="15" hidden="false" customHeight="false" outlineLevel="0" collapsed="false">
      <c r="A779" s="21" t="s">
        <v>1036</v>
      </c>
      <c r="B779" s="21" t="s">
        <v>1032</v>
      </c>
      <c r="C779" s="21"/>
      <c r="D779" s="37" t="s">
        <v>84</v>
      </c>
      <c r="E779" s="37" t="s">
        <v>84</v>
      </c>
      <c r="F779" s="37" t="s">
        <v>36</v>
      </c>
      <c r="G779" s="21" t="s">
        <v>445</v>
      </c>
      <c r="H779" s="21" t="n">
        <v>0</v>
      </c>
      <c r="I779" s="21" t="s">
        <v>137</v>
      </c>
    </row>
    <row r="780" customFormat="false" ht="15" hidden="false" customHeight="false" outlineLevel="0" collapsed="false">
      <c r="A780" s="21" t="s">
        <v>1037</v>
      </c>
      <c r="B780" s="21" t="s">
        <v>1026</v>
      </c>
      <c r="C780" s="21"/>
      <c r="D780" s="37" t="s">
        <v>84</v>
      </c>
      <c r="E780" s="37" t="s">
        <v>84</v>
      </c>
      <c r="F780" s="37" t="s">
        <v>36</v>
      </c>
      <c r="G780" s="21" t="s">
        <v>445</v>
      </c>
      <c r="H780" s="21" t="n">
        <v>0</v>
      </c>
      <c r="I780" s="21" t="s">
        <v>137</v>
      </c>
    </row>
    <row r="781" customFormat="false" ht="15" hidden="false" customHeight="false" outlineLevel="0" collapsed="false">
      <c r="A781" s="21" t="s">
        <v>1038</v>
      </c>
      <c r="B781" s="21" t="s">
        <v>1032</v>
      </c>
      <c r="C781" s="21"/>
      <c r="D781" s="37" t="s">
        <v>84</v>
      </c>
      <c r="E781" s="37" t="s">
        <v>84</v>
      </c>
      <c r="F781" s="37" t="s">
        <v>36</v>
      </c>
      <c r="G781" s="21" t="s">
        <v>445</v>
      </c>
      <c r="H781" s="21" t="n">
        <v>0</v>
      </c>
      <c r="I781" s="21" t="s">
        <v>137</v>
      </c>
    </row>
    <row r="782" customFormat="false" ht="15" hidden="false" customHeight="false" outlineLevel="0" collapsed="false">
      <c r="A782" s="21" t="s">
        <v>1039</v>
      </c>
      <c r="B782" s="21" t="s">
        <v>1026</v>
      </c>
      <c r="C782" s="21"/>
      <c r="D782" s="37" t="s">
        <v>84</v>
      </c>
      <c r="E782" s="37" t="s">
        <v>84</v>
      </c>
      <c r="F782" s="37" t="s">
        <v>36</v>
      </c>
      <c r="G782" s="21" t="s">
        <v>445</v>
      </c>
      <c r="H782" s="21" t="n">
        <v>0</v>
      </c>
      <c r="I782" s="21" t="s">
        <v>137</v>
      </c>
    </row>
    <row r="783" customFormat="false" ht="15" hidden="false" customHeight="false" outlineLevel="0" collapsed="false">
      <c r="A783" s="21" t="s">
        <v>1040</v>
      </c>
      <c r="B783" s="21" t="s">
        <v>1026</v>
      </c>
      <c r="C783" s="21"/>
      <c r="D783" s="37" t="s">
        <v>84</v>
      </c>
      <c r="E783" s="37" t="s">
        <v>84</v>
      </c>
      <c r="F783" s="37" t="s">
        <v>36</v>
      </c>
      <c r="G783" s="21" t="s">
        <v>445</v>
      </c>
      <c r="H783" s="21" t="n">
        <v>0</v>
      </c>
      <c r="I783" s="21" t="s">
        <v>137</v>
      </c>
    </row>
    <row r="784" customFormat="false" ht="15" hidden="false" customHeight="false" outlineLevel="0" collapsed="false">
      <c r="A784" s="21" t="s">
        <v>1041</v>
      </c>
      <c r="B784" s="21" t="s">
        <v>1026</v>
      </c>
      <c r="C784" s="21"/>
      <c r="D784" s="37" t="s">
        <v>84</v>
      </c>
      <c r="E784" s="37" t="s">
        <v>84</v>
      </c>
      <c r="F784" s="37" t="s">
        <v>36</v>
      </c>
      <c r="G784" s="21" t="s">
        <v>445</v>
      </c>
      <c r="H784" s="21" t="n">
        <v>0</v>
      </c>
      <c r="I784" s="21" t="s">
        <v>137</v>
      </c>
    </row>
    <row r="785" customFormat="false" ht="15" hidden="false" customHeight="false" outlineLevel="0" collapsed="false">
      <c r="A785" s="21" t="s">
        <v>1042</v>
      </c>
      <c r="B785" s="21" t="s">
        <v>1032</v>
      </c>
      <c r="C785" s="21"/>
      <c r="D785" s="37" t="s">
        <v>84</v>
      </c>
      <c r="E785" s="37" t="s">
        <v>84</v>
      </c>
      <c r="F785" s="37" t="s">
        <v>36</v>
      </c>
      <c r="G785" s="21" t="s">
        <v>445</v>
      </c>
      <c r="H785" s="21" t="n">
        <v>0</v>
      </c>
      <c r="I785" s="21" t="s">
        <v>137</v>
      </c>
    </row>
    <row r="786" customFormat="false" ht="15" hidden="false" customHeight="false" outlineLevel="0" collapsed="false">
      <c r="A786" s="21" t="s">
        <v>1043</v>
      </c>
      <c r="B786" s="21" t="s">
        <v>1028</v>
      </c>
      <c r="C786" s="21"/>
      <c r="D786" s="37" t="s">
        <v>84</v>
      </c>
      <c r="E786" s="37" t="s">
        <v>84</v>
      </c>
      <c r="F786" s="37" t="s">
        <v>36</v>
      </c>
      <c r="G786" s="21" t="s">
        <v>445</v>
      </c>
      <c r="H786" s="21" t="n">
        <v>0</v>
      </c>
      <c r="I786" s="21" t="s">
        <v>137</v>
      </c>
    </row>
    <row r="787" customFormat="false" ht="15" hidden="false" customHeight="false" outlineLevel="0" collapsed="false">
      <c r="A787" s="21" t="s">
        <v>1044</v>
      </c>
      <c r="B787" s="21" t="s">
        <v>1032</v>
      </c>
      <c r="C787" s="21"/>
      <c r="D787" s="37" t="s">
        <v>84</v>
      </c>
      <c r="E787" s="37" t="s">
        <v>84</v>
      </c>
      <c r="F787" s="37" t="s">
        <v>36</v>
      </c>
      <c r="G787" s="21" t="s">
        <v>445</v>
      </c>
      <c r="H787" s="21" t="n">
        <v>0</v>
      </c>
      <c r="I787" s="21" t="s">
        <v>137</v>
      </c>
    </row>
    <row r="788" customFormat="false" ht="15" hidden="false" customHeight="false" outlineLevel="0" collapsed="false">
      <c r="A788" s="21" t="s">
        <v>1045</v>
      </c>
      <c r="B788" s="21" t="s">
        <v>1026</v>
      </c>
      <c r="C788" s="21"/>
      <c r="D788" s="37" t="s">
        <v>84</v>
      </c>
      <c r="E788" s="37" t="s">
        <v>84</v>
      </c>
      <c r="F788" s="37" t="s">
        <v>36</v>
      </c>
      <c r="G788" s="21" t="s">
        <v>445</v>
      </c>
      <c r="H788" s="21" t="n">
        <v>0</v>
      </c>
      <c r="I788" s="21" t="s">
        <v>137</v>
      </c>
    </row>
    <row r="789" customFormat="false" ht="15" hidden="false" customHeight="false" outlineLevel="0" collapsed="false">
      <c r="A789" s="21" t="s">
        <v>1046</v>
      </c>
      <c r="B789" s="21" t="s">
        <v>1032</v>
      </c>
      <c r="C789" s="21"/>
      <c r="D789" s="37" t="s">
        <v>84</v>
      </c>
      <c r="E789" s="37" t="s">
        <v>84</v>
      </c>
      <c r="F789" s="37" t="s">
        <v>36</v>
      </c>
      <c r="G789" s="21" t="s">
        <v>445</v>
      </c>
      <c r="H789" s="21" t="n">
        <v>0</v>
      </c>
      <c r="I789" s="21" t="s">
        <v>137</v>
      </c>
    </row>
    <row r="790" customFormat="false" ht="15" hidden="false" customHeight="false" outlineLevel="0" collapsed="false">
      <c r="A790" s="21" t="s">
        <v>1047</v>
      </c>
      <c r="B790" s="21" t="s">
        <v>1026</v>
      </c>
      <c r="C790" s="21"/>
      <c r="D790" s="37" t="s">
        <v>84</v>
      </c>
      <c r="E790" s="37" t="s">
        <v>84</v>
      </c>
      <c r="F790" s="37" t="s">
        <v>36</v>
      </c>
      <c r="G790" s="21" t="s">
        <v>445</v>
      </c>
      <c r="H790" s="21" t="n">
        <v>0</v>
      </c>
      <c r="I790" s="21" t="s">
        <v>137</v>
      </c>
    </row>
    <row r="791" customFormat="false" ht="15" hidden="false" customHeight="false" outlineLevel="0" collapsed="false">
      <c r="A791" s="21" t="s">
        <v>1048</v>
      </c>
      <c r="B791" s="21" t="s">
        <v>1026</v>
      </c>
      <c r="C791" s="21"/>
      <c r="D791" s="37" t="s">
        <v>84</v>
      </c>
      <c r="E791" s="37" t="s">
        <v>84</v>
      </c>
      <c r="F791" s="37" t="s">
        <v>36</v>
      </c>
      <c r="G791" s="21" t="s">
        <v>445</v>
      </c>
      <c r="H791" s="21" t="n">
        <v>0</v>
      </c>
      <c r="I791" s="21" t="s">
        <v>137</v>
      </c>
    </row>
    <row r="792" customFormat="false" ht="15" hidden="false" customHeight="false" outlineLevel="0" collapsed="false">
      <c r="A792" s="21" t="s">
        <v>1049</v>
      </c>
      <c r="B792" s="21" t="s">
        <v>1028</v>
      </c>
      <c r="C792" s="21"/>
      <c r="D792" s="37" t="s">
        <v>84</v>
      </c>
      <c r="E792" s="37" t="s">
        <v>84</v>
      </c>
      <c r="F792" s="37" t="s">
        <v>36</v>
      </c>
      <c r="G792" s="21" t="s">
        <v>445</v>
      </c>
      <c r="H792" s="21" t="n">
        <v>0</v>
      </c>
      <c r="I792" s="21" t="s">
        <v>137</v>
      </c>
    </row>
    <row r="793" customFormat="false" ht="15" hidden="false" customHeight="false" outlineLevel="0" collapsed="false">
      <c r="A793" s="21" t="s">
        <v>1050</v>
      </c>
      <c r="B793" s="21" t="s">
        <v>1026</v>
      </c>
      <c r="C793" s="21"/>
      <c r="D793" s="37" t="s">
        <v>84</v>
      </c>
      <c r="E793" s="37" t="s">
        <v>84</v>
      </c>
      <c r="F793" s="37" t="s">
        <v>36</v>
      </c>
      <c r="G793" s="21" t="s">
        <v>445</v>
      </c>
      <c r="H793" s="21" t="n">
        <v>0</v>
      </c>
      <c r="I793" s="21" t="s">
        <v>137</v>
      </c>
    </row>
    <row r="794" customFormat="false" ht="15" hidden="false" customHeight="false" outlineLevel="0" collapsed="false">
      <c r="A794" s="21" t="s">
        <v>1051</v>
      </c>
      <c r="B794" s="21" t="s">
        <v>1028</v>
      </c>
      <c r="C794" s="21"/>
      <c r="D794" s="37" t="s">
        <v>84</v>
      </c>
      <c r="E794" s="37" t="s">
        <v>84</v>
      </c>
      <c r="F794" s="37" t="s">
        <v>36</v>
      </c>
      <c r="G794" s="21" t="s">
        <v>445</v>
      </c>
      <c r="H794" s="21" t="n">
        <v>0</v>
      </c>
      <c r="I794" s="21" t="s">
        <v>137</v>
      </c>
    </row>
    <row r="795" customFormat="false" ht="15" hidden="false" customHeight="false" outlineLevel="0" collapsed="false">
      <c r="A795" s="21" t="s">
        <v>1052</v>
      </c>
      <c r="B795" s="21" t="s">
        <v>1026</v>
      </c>
      <c r="C795" s="21"/>
      <c r="D795" s="37" t="s">
        <v>84</v>
      </c>
      <c r="E795" s="37" t="s">
        <v>84</v>
      </c>
      <c r="F795" s="37" t="s">
        <v>36</v>
      </c>
      <c r="G795" s="21" t="s">
        <v>445</v>
      </c>
      <c r="H795" s="21" t="n">
        <v>0</v>
      </c>
      <c r="I795" s="21" t="s">
        <v>137</v>
      </c>
    </row>
    <row r="796" customFormat="false" ht="15" hidden="false" customHeight="false" outlineLevel="0" collapsed="false">
      <c r="A796" s="21" t="s">
        <v>1053</v>
      </c>
      <c r="B796" s="21" t="s">
        <v>1032</v>
      </c>
      <c r="C796" s="21"/>
      <c r="D796" s="37" t="s">
        <v>84</v>
      </c>
      <c r="E796" s="37" t="s">
        <v>84</v>
      </c>
      <c r="F796" s="37" t="s">
        <v>36</v>
      </c>
      <c r="G796" s="21" t="s">
        <v>445</v>
      </c>
      <c r="H796" s="21" t="n">
        <v>0</v>
      </c>
      <c r="I796" s="21" t="s">
        <v>137</v>
      </c>
    </row>
    <row r="797" customFormat="false" ht="15" hidden="false" customHeight="false" outlineLevel="0" collapsed="false">
      <c r="A797" s="21" t="s">
        <v>1054</v>
      </c>
      <c r="B797" s="21" t="s">
        <v>1032</v>
      </c>
      <c r="C797" s="21"/>
      <c r="D797" s="37" t="s">
        <v>84</v>
      </c>
      <c r="E797" s="37" t="s">
        <v>84</v>
      </c>
      <c r="F797" s="37" t="s">
        <v>36</v>
      </c>
      <c r="G797" s="21" t="s">
        <v>445</v>
      </c>
      <c r="H797" s="21" t="n">
        <v>0</v>
      </c>
      <c r="I797" s="21" t="s">
        <v>137</v>
      </c>
    </row>
    <row r="798" customFormat="false" ht="15" hidden="false" customHeight="false" outlineLevel="0" collapsed="false">
      <c r="A798" s="21" t="s">
        <v>1055</v>
      </c>
      <c r="B798" s="21" t="s">
        <v>1032</v>
      </c>
      <c r="C798" s="21"/>
      <c r="D798" s="37" t="s">
        <v>84</v>
      </c>
      <c r="E798" s="37" t="s">
        <v>84</v>
      </c>
      <c r="F798" s="37" t="s">
        <v>36</v>
      </c>
      <c r="G798" s="21" t="s">
        <v>445</v>
      </c>
      <c r="H798" s="21" t="n">
        <v>0</v>
      </c>
      <c r="I798" s="21" t="s">
        <v>137</v>
      </c>
    </row>
    <row r="799" customFormat="false" ht="15" hidden="false" customHeight="false" outlineLevel="0" collapsed="false">
      <c r="A799" s="21" t="s">
        <v>1056</v>
      </c>
      <c r="B799" s="21" t="s">
        <v>1026</v>
      </c>
      <c r="C799" s="21"/>
      <c r="D799" s="37" t="s">
        <v>84</v>
      </c>
      <c r="E799" s="37" t="s">
        <v>84</v>
      </c>
      <c r="F799" s="37" t="s">
        <v>36</v>
      </c>
      <c r="G799" s="21" t="s">
        <v>445</v>
      </c>
      <c r="H799" s="21" t="n">
        <v>0</v>
      </c>
      <c r="I799" s="21" t="s">
        <v>137</v>
      </c>
    </row>
    <row r="800" customFormat="false" ht="15" hidden="false" customHeight="false" outlineLevel="0" collapsed="false">
      <c r="A800" s="21" t="s">
        <v>1057</v>
      </c>
      <c r="B800" s="21" t="s">
        <v>1026</v>
      </c>
      <c r="C800" s="21"/>
      <c r="D800" s="37" t="s">
        <v>84</v>
      </c>
      <c r="E800" s="37" t="s">
        <v>84</v>
      </c>
      <c r="F800" s="37" t="s">
        <v>36</v>
      </c>
      <c r="G800" s="21" t="s">
        <v>445</v>
      </c>
      <c r="H800" s="21" t="n">
        <v>0</v>
      </c>
      <c r="I800" s="21" t="s">
        <v>137</v>
      </c>
    </row>
    <row r="801" customFormat="false" ht="15" hidden="false" customHeight="false" outlineLevel="0" collapsed="false">
      <c r="A801" s="21" t="s">
        <v>1058</v>
      </c>
      <c r="B801" s="21" t="s">
        <v>1026</v>
      </c>
      <c r="C801" s="21"/>
      <c r="D801" s="37" t="s">
        <v>84</v>
      </c>
      <c r="E801" s="37" t="s">
        <v>84</v>
      </c>
      <c r="F801" s="37" t="s">
        <v>36</v>
      </c>
      <c r="G801" s="21" t="s">
        <v>445</v>
      </c>
      <c r="H801" s="21" t="n">
        <v>0</v>
      </c>
      <c r="I801" s="21" t="s">
        <v>137</v>
      </c>
    </row>
    <row r="802" customFormat="false" ht="15" hidden="false" customHeight="false" outlineLevel="0" collapsed="false">
      <c r="A802" s="21" t="s">
        <v>1059</v>
      </c>
      <c r="B802" s="21" t="s">
        <v>1026</v>
      </c>
      <c r="C802" s="21"/>
      <c r="D802" s="37" t="s">
        <v>84</v>
      </c>
      <c r="E802" s="37" t="s">
        <v>84</v>
      </c>
      <c r="F802" s="37" t="s">
        <v>36</v>
      </c>
      <c r="G802" s="21" t="s">
        <v>445</v>
      </c>
      <c r="H802" s="21" t="n">
        <v>0</v>
      </c>
      <c r="I802" s="21" t="s">
        <v>137</v>
      </c>
    </row>
    <row r="803" customFormat="false" ht="15" hidden="false" customHeight="false" outlineLevel="0" collapsed="false">
      <c r="A803" s="21" t="s">
        <v>1060</v>
      </c>
      <c r="B803" s="21" t="s">
        <v>1026</v>
      </c>
      <c r="C803" s="21"/>
      <c r="D803" s="37" t="s">
        <v>84</v>
      </c>
      <c r="E803" s="37" t="s">
        <v>84</v>
      </c>
      <c r="F803" s="37" t="s">
        <v>36</v>
      </c>
      <c r="G803" s="21" t="s">
        <v>445</v>
      </c>
      <c r="H803" s="21" t="n">
        <v>0</v>
      </c>
      <c r="I803" s="21" t="s">
        <v>137</v>
      </c>
    </row>
    <row r="804" customFormat="false" ht="15" hidden="false" customHeight="false" outlineLevel="0" collapsed="false">
      <c r="A804" s="21" t="s">
        <v>1061</v>
      </c>
      <c r="B804" s="21" t="s">
        <v>1026</v>
      </c>
      <c r="C804" s="21"/>
      <c r="D804" s="37" t="s">
        <v>84</v>
      </c>
      <c r="E804" s="37" t="s">
        <v>84</v>
      </c>
      <c r="F804" s="37" t="s">
        <v>36</v>
      </c>
      <c r="G804" s="21" t="s">
        <v>445</v>
      </c>
      <c r="H804" s="21" t="n">
        <v>0</v>
      </c>
      <c r="I804" s="21" t="s">
        <v>137</v>
      </c>
    </row>
    <row r="805" customFormat="false" ht="15" hidden="false" customHeight="false" outlineLevel="0" collapsed="false">
      <c r="A805" s="21" t="s">
        <v>1062</v>
      </c>
      <c r="B805" s="21" t="s">
        <v>1026</v>
      </c>
      <c r="C805" s="21"/>
      <c r="D805" s="37" t="s">
        <v>84</v>
      </c>
      <c r="E805" s="37" t="s">
        <v>84</v>
      </c>
      <c r="F805" s="37" t="s">
        <v>36</v>
      </c>
      <c r="G805" s="21" t="s">
        <v>445</v>
      </c>
      <c r="H805" s="21" t="n">
        <v>0</v>
      </c>
      <c r="I805" s="21" t="s">
        <v>137</v>
      </c>
    </row>
    <row r="806" customFormat="false" ht="15" hidden="false" customHeight="false" outlineLevel="0" collapsed="false">
      <c r="A806" s="21" t="s">
        <v>1063</v>
      </c>
      <c r="B806" s="21" t="s">
        <v>1032</v>
      </c>
      <c r="C806" s="21"/>
      <c r="D806" s="37" t="s">
        <v>84</v>
      </c>
      <c r="E806" s="37" t="s">
        <v>84</v>
      </c>
      <c r="F806" s="37" t="s">
        <v>36</v>
      </c>
      <c r="G806" s="21" t="s">
        <v>445</v>
      </c>
      <c r="H806" s="21" t="n">
        <v>0</v>
      </c>
      <c r="I806" s="21" t="s">
        <v>137</v>
      </c>
    </row>
    <row r="807" customFormat="false" ht="15" hidden="false" customHeight="false" outlineLevel="0" collapsed="false">
      <c r="A807" s="21" t="s">
        <v>1064</v>
      </c>
      <c r="B807" s="21" t="s">
        <v>1028</v>
      </c>
      <c r="C807" s="21"/>
      <c r="D807" s="37" t="s">
        <v>84</v>
      </c>
      <c r="E807" s="37" t="s">
        <v>84</v>
      </c>
      <c r="F807" s="37" t="s">
        <v>36</v>
      </c>
      <c r="G807" s="21" t="s">
        <v>445</v>
      </c>
      <c r="H807" s="21" t="n">
        <v>0</v>
      </c>
      <c r="I807" s="21" t="s">
        <v>137</v>
      </c>
    </row>
    <row r="808" customFormat="false" ht="15" hidden="false" customHeight="false" outlineLevel="0" collapsed="false">
      <c r="A808" s="21" t="s">
        <v>1065</v>
      </c>
      <c r="B808" s="21" t="s">
        <v>1026</v>
      </c>
      <c r="C808" s="21"/>
      <c r="D808" s="37" t="s">
        <v>84</v>
      </c>
      <c r="E808" s="37" t="s">
        <v>84</v>
      </c>
      <c r="F808" s="37" t="s">
        <v>36</v>
      </c>
      <c r="G808" s="21" t="s">
        <v>445</v>
      </c>
      <c r="H808" s="21" t="n">
        <v>0</v>
      </c>
      <c r="I808" s="21" t="s">
        <v>137</v>
      </c>
    </row>
    <row r="809" customFormat="false" ht="15" hidden="false" customHeight="false" outlineLevel="0" collapsed="false">
      <c r="A809" s="21" t="s">
        <v>1066</v>
      </c>
      <c r="B809" s="21" t="s">
        <v>1026</v>
      </c>
      <c r="C809" s="21"/>
      <c r="D809" s="37" t="s">
        <v>84</v>
      </c>
      <c r="E809" s="37" t="s">
        <v>84</v>
      </c>
      <c r="F809" s="37" t="s">
        <v>36</v>
      </c>
      <c r="G809" s="21" t="s">
        <v>445</v>
      </c>
      <c r="H809" s="21" t="n">
        <v>0</v>
      </c>
      <c r="I809" s="21" t="s">
        <v>137</v>
      </c>
    </row>
    <row r="810" customFormat="false" ht="15" hidden="false" customHeight="false" outlineLevel="0" collapsed="false">
      <c r="A810" s="21" t="s">
        <v>1067</v>
      </c>
      <c r="B810" s="21" t="s">
        <v>1026</v>
      </c>
      <c r="C810" s="21"/>
      <c r="D810" s="37" t="s">
        <v>84</v>
      </c>
      <c r="E810" s="37" t="s">
        <v>84</v>
      </c>
      <c r="F810" s="37" t="s">
        <v>36</v>
      </c>
      <c r="G810" s="21" t="s">
        <v>445</v>
      </c>
      <c r="H810" s="21" t="n">
        <v>0</v>
      </c>
      <c r="I810" s="21" t="s">
        <v>137</v>
      </c>
    </row>
    <row r="811" customFormat="false" ht="15" hidden="false" customHeight="false" outlineLevel="0" collapsed="false">
      <c r="A811" s="21" t="s">
        <v>1068</v>
      </c>
      <c r="B811" s="21" t="s">
        <v>1028</v>
      </c>
      <c r="C811" s="21"/>
      <c r="D811" s="37" t="s">
        <v>84</v>
      </c>
      <c r="E811" s="37" t="s">
        <v>84</v>
      </c>
      <c r="F811" s="37" t="s">
        <v>36</v>
      </c>
      <c r="G811" s="21" t="s">
        <v>445</v>
      </c>
      <c r="H811" s="21" t="n">
        <v>0</v>
      </c>
      <c r="I811" s="21" t="s">
        <v>137</v>
      </c>
    </row>
    <row r="812" customFormat="false" ht="15" hidden="false" customHeight="false" outlineLevel="0" collapsed="false">
      <c r="A812" s="21" t="s">
        <v>1069</v>
      </c>
      <c r="B812" s="21" t="s">
        <v>1032</v>
      </c>
      <c r="C812" s="21"/>
      <c r="D812" s="37" t="s">
        <v>84</v>
      </c>
      <c r="E812" s="37" t="s">
        <v>84</v>
      </c>
      <c r="F812" s="37" t="s">
        <v>36</v>
      </c>
      <c r="G812" s="21" t="s">
        <v>445</v>
      </c>
      <c r="H812" s="21" t="n">
        <v>0</v>
      </c>
      <c r="I812" s="21" t="s">
        <v>137</v>
      </c>
    </row>
    <row r="813" customFormat="false" ht="15" hidden="false" customHeight="false" outlineLevel="0" collapsed="false">
      <c r="A813" s="21" t="s">
        <v>1070</v>
      </c>
      <c r="B813" s="21" t="s">
        <v>1026</v>
      </c>
      <c r="C813" s="21"/>
      <c r="D813" s="37" t="s">
        <v>84</v>
      </c>
      <c r="E813" s="37" t="s">
        <v>84</v>
      </c>
      <c r="F813" s="37" t="s">
        <v>36</v>
      </c>
      <c r="G813" s="21" t="s">
        <v>445</v>
      </c>
      <c r="H813" s="21" t="n">
        <v>0</v>
      </c>
      <c r="I813" s="21" t="s">
        <v>137</v>
      </c>
    </row>
    <row r="814" customFormat="false" ht="15" hidden="false" customHeight="false" outlineLevel="0" collapsed="false">
      <c r="A814" s="21" t="s">
        <v>1071</v>
      </c>
      <c r="B814" s="21" t="s">
        <v>1028</v>
      </c>
      <c r="C814" s="21"/>
      <c r="D814" s="37" t="s">
        <v>84</v>
      </c>
      <c r="E814" s="37" t="s">
        <v>84</v>
      </c>
      <c r="F814" s="37" t="s">
        <v>36</v>
      </c>
      <c r="G814" s="21" t="s">
        <v>445</v>
      </c>
      <c r="H814" s="21" t="n">
        <v>0</v>
      </c>
      <c r="I814" s="21" t="s">
        <v>137</v>
      </c>
    </row>
    <row r="815" customFormat="false" ht="15" hidden="false" customHeight="false" outlineLevel="0" collapsed="false">
      <c r="A815" s="21" t="s">
        <v>1072</v>
      </c>
      <c r="B815" s="21" t="s">
        <v>1028</v>
      </c>
      <c r="C815" s="21"/>
      <c r="D815" s="37" t="s">
        <v>84</v>
      </c>
      <c r="E815" s="37" t="s">
        <v>84</v>
      </c>
      <c r="F815" s="37" t="s">
        <v>36</v>
      </c>
      <c r="G815" s="21" t="s">
        <v>445</v>
      </c>
      <c r="H815" s="21" t="n">
        <v>0</v>
      </c>
      <c r="I815" s="21" t="s">
        <v>137</v>
      </c>
    </row>
    <row r="816" customFormat="false" ht="15" hidden="false" customHeight="false" outlineLevel="0" collapsed="false">
      <c r="A816" s="21" t="s">
        <v>1073</v>
      </c>
      <c r="B816" s="21" t="s">
        <v>1032</v>
      </c>
      <c r="C816" s="21"/>
      <c r="D816" s="37" t="s">
        <v>84</v>
      </c>
      <c r="E816" s="37" t="s">
        <v>84</v>
      </c>
      <c r="F816" s="37" t="s">
        <v>36</v>
      </c>
      <c r="G816" s="21" t="s">
        <v>445</v>
      </c>
      <c r="H816" s="21" t="n">
        <v>0</v>
      </c>
      <c r="I816" s="21" t="s">
        <v>137</v>
      </c>
    </row>
    <row r="817" customFormat="false" ht="15" hidden="false" customHeight="false" outlineLevel="0" collapsed="false">
      <c r="A817" s="21" t="s">
        <v>1074</v>
      </c>
      <c r="B817" s="21" t="s">
        <v>1026</v>
      </c>
      <c r="C817" s="21"/>
      <c r="D817" s="37" t="s">
        <v>84</v>
      </c>
      <c r="E817" s="37" t="s">
        <v>84</v>
      </c>
      <c r="F817" s="37" t="s">
        <v>36</v>
      </c>
      <c r="G817" s="21" t="s">
        <v>445</v>
      </c>
      <c r="H817" s="21" t="n">
        <v>0</v>
      </c>
      <c r="I817" s="21" t="s">
        <v>137</v>
      </c>
    </row>
    <row r="818" customFormat="false" ht="15" hidden="false" customHeight="false" outlineLevel="0" collapsed="false">
      <c r="A818" s="21" t="s">
        <v>1075</v>
      </c>
      <c r="B818" s="21" t="s">
        <v>1032</v>
      </c>
      <c r="C818" s="21"/>
      <c r="D818" s="37" t="s">
        <v>84</v>
      </c>
      <c r="E818" s="37" t="s">
        <v>84</v>
      </c>
      <c r="F818" s="37" t="s">
        <v>36</v>
      </c>
      <c r="G818" s="21" t="s">
        <v>445</v>
      </c>
      <c r="H818" s="21" t="n">
        <v>0</v>
      </c>
      <c r="I818" s="21" t="s">
        <v>137</v>
      </c>
    </row>
    <row r="819" customFormat="false" ht="15" hidden="false" customHeight="false" outlineLevel="0" collapsed="false">
      <c r="A819" s="21" t="s">
        <v>1076</v>
      </c>
      <c r="B819" s="21" t="s">
        <v>1026</v>
      </c>
      <c r="C819" s="21"/>
      <c r="D819" s="37" t="s">
        <v>84</v>
      </c>
      <c r="E819" s="37" t="s">
        <v>84</v>
      </c>
      <c r="F819" s="37" t="s">
        <v>36</v>
      </c>
      <c r="G819" s="21" t="s">
        <v>445</v>
      </c>
      <c r="H819" s="21" t="n">
        <v>0</v>
      </c>
      <c r="I819" s="21" t="s">
        <v>137</v>
      </c>
    </row>
    <row r="820" customFormat="false" ht="15" hidden="false" customHeight="false" outlineLevel="0" collapsed="false">
      <c r="A820" s="21" t="s">
        <v>1077</v>
      </c>
      <c r="B820" s="21" t="s">
        <v>1026</v>
      </c>
      <c r="C820" s="21"/>
      <c r="D820" s="37" t="s">
        <v>84</v>
      </c>
      <c r="E820" s="37" t="s">
        <v>84</v>
      </c>
      <c r="F820" s="37" t="s">
        <v>36</v>
      </c>
      <c r="G820" s="21" t="s">
        <v>445</v>
      </c>
      <c r="H820" s="21" t="n">
        <v>0</v>
      </c>
      <c r="I820" s="21" t="s">
        <v>137</v>
      </c>
    </row>
    <row r="821" customFormat="false" ht="15" hidden="false" customHeight="false" outlineLevel="0" collapsed="false">
      <c r="A821" s="21" t="s">
        <v>1078</v>
      </c>
      <c r="B821" s="21" t="s">
        <v>1026</v>
      </c>
      <c r="C821" s="21"/>
      <c r="D821" s="37" t="s">
        <v>84</v>
      </c>
      <c r="E821" s="37" t="s">
        <v>84</v>
      </c>
      <c r="F821" s="37" t="s">
        <v>36</v>
      </c>
      <c r="G821" s="21" t="s">
        <v>445</v>
      </c>
      <c r="H821" s="21" t="n">
        <v>0</v>
      </c>
      <c r="I821" s="21" t="s">
        <v>137</v>
      </c>
    </row>
    <row r="822" customFormat="false" ht="15" hidden="false" customHeight="false" outlineLevel="0" collapsed="false">
      <c r="A822" s="21" t="s">
        <v>1079</v>
      </c>
      <c r="B822" s="21" t="s">
        <v>1032</v>
      </c>
      <c r="C822" s="21"/>
      <c r="D822" s="37" t="s">
        <v>84</v>
      </c>
      <c r="E822" s="37" t="s">
        <v>84</v>
      </c>
      <c r="F822" s="37" t="s">
        <v>36</v>
      </c>
      <c r="G822" s="21" t="s">
        <v>445</v>
      </c>
      <c r="H822" s="21" t="n">
        <v>0</v>
      </c>
      <c r="I822" s="21" t="s">
        <v>137</v>
      </c>
    </row>
    <row r="823" customFormat="false" ht="15" hidden="false" customHeight="false" outlineLevel="0" collapsed="false">
      <c r="A823" s="21" t="s">
        <v>1080</v>
      </c>
      <c r="B823" s="21" t="s">
        <v>1032</v>
      </c>
      <c r="C823" s="21"/>
      <c r="D823" s="37" t="s">
        <v>84</v>
      </c>
      <c r="E823" s="37" t="s">
        <v>84</v>
      </c>
      <c r="F823" s="37" t="s">
        <v>36</v>
      </c>
      <c r="G823" s="21" t="s">
        <v>445</v>
      </c>
      <c r="H823" s="21" t="n">
        <v>0</v>
      </c>
      <c r="I823" s="21" t="s">
        <v>137</v>
      </c>
    </row>
    <row r="824" customFormat="false" ht="15" hidden="false" customHeight="false" outlineLevel="0" collapsed="false">
      <c r="A824" s="21" t="s">
        <v>1081</v>
      </c>
      <c r="B824" s="21" t="s">
        <v>1026</v>
      </c>
      <c r="C824" s="21"/>
      <c r="D824" s="37" t="s">
        <v>84</v>
      </c>
      <c r="E824" s="37" t="s">
        <v>84</v>
      </c>
      <c r="F824" s="37" t="s">
        <v>36</v>
      </c>
      <c r="G824" s="21" t="s">
        <v>445</v>
      </c>
      <c r="H824" s="21" t="n">
        <v>0</v>
      </c>
      <c r="I824" s="21" t="s">
        <v>137</v>
      </c>
    </row>
    <row r="825" customFormat="false" ht="15" hidden="false" customHeight="false" outlineLevel="0" collapsed="false">
      <c r="A825" s="21" t="s">
        <v>1082</v>
      </c>
      <c r="B825" s="21" t="s">
        <v>1026</v>
      </c>
      <c r="C825" s="21"/>
      <c r="D825" s="37" t="s">
        <v>84</v>
      </c>
      <c r="E825" s="37" t="s">
        <v>84</v>
      </c>
      <c r="F825" s="37" t="s">
        <v>36</v>
      </c>
      <c r="G825" s="21" t="s">
        <v>445</v>
      </c>
      <c r="H825" s="21" t="n">
        <v>0</v>
      </c>
      <c r="I825" s="21" t="s">
        <v>137</v>
      </c>
    </row>
    <row r="826" customFormat="false" ht="15" hidden="false" customHeight="false" outlineLevel="0" collapsed="false">
      <c r="A826" s="21" t="s">
        <v>1083</v>
      </c>
      <c r="B826" s="21" t="s">
        <v>1026</v>
      </c>
      <c r="C826" s="21"/>
      <c r="D826" s="37" t="s">
        <v>84</v>
      </c>
      <c r="E826" s="37" t="s">
        <v>84</v>
      </c>
      <c r="F826" s="37" t="s">
        <v>36</v>
      </c>
      <c r="G826" s="21" t="s">
        <v>445</v>
      </c>
      <c r="H826" s="21" t="n">
        <v>0</v>
      </c>
      <c r="I826" s="21" t="s">
        <v>137</v>
      </c>
    </row>
    <row r="827" customFormat="false" ht="15" hidden="false" customHeight="false" outlineLevel="0" collapsed="false">
      <c r="A827" s="21" t="s">
        <v>1084</v>
      </c>
      <c r="B827" s="21" t="s">
        <v>1026</v>
      </c>
      <c r="C827" s="21"/>
      <c r="D827" s="37" t="s">
        <v>84</v>
      </c>
      <c r="E827" s="37" t="s">
        <v>84</v>
      </c>
      <c r="F827" s="37" t="s">
        <v>36</v>
      </c>
      <c r="G827" s="21" t="s">
        <v>445</v>
      </c>
      <c r="H827" s="21" t="n">
        <v>0</v>
      </c>
      <c r="I827" s="21" t="s">
        <v>137</v>
      </c>
    </row>
    <row r="828" customFormat="false" ht="15" hidden="false" customHeight="false" outlineLevel="0" collapsed="false">
      <c r="A828" s="21" t="s">
        <v>1085</v>
      </c>
      <c r="B828" s="21" t="s">
        <v>1028</v>
      </c>
      <c r="C828" s="21"/>
      <c r="D828" s="37" t="s">
        <v>84</v>
      </c>
      <c r="E828" s="37" t="s">
        <v>84</v>
      </c>
      <c r="F828" s="37" t="s">
        <v>36</v>
      </c>
      <c r="G828" s="21" t="s">
        <v>445</v>
      </c>
      <c r="H828" s="21" t="n">
        <v>0</v>
      </c>
      <c r="I828" s="21" t="s">
        <v>137</v>
      </c>
    </row>
    <row r="829" customFormat="false" ht="15" hidden="false" customHeight="false" outlineLevel="0" collapsed="false">
      <c r="A829" s="21" t="s">
        <v>1086</v>
      </c>
      <c r="B829" s="21" t="s">
        <v>1032</v>
      </c>
      <c r="C829" s="21"/>
      <c r="D829" s="37" t="s">
        <v>84</v>
      </c>
      <c r="E829" s="37" t="s">
        <v>84</v>
      </c>
      <c r="F829" s="37" t="s">
        <v>36</v>
      </c>
      <c r="G829" s="21" t="s">
        <v>445</v>
      </c>
      <c r="H829" s="21" t="n">
        <v>0</v>
      </c>
      <c r="I829" s="21" t="s">
        <v>137</v>
      </c>
    </row>
    <row r="830" customFormat="false" ht="15" hidden="false" customHeight="false" outlineLevel="0" collapsed="false">
      <c r="A830" s="21" t="s">
        <v>1087</v>
      </c>
      <c r="B830" s="21" t="s">
        <v>1028</v>
      </c>
      <c r="C830" s="21"/>
      <c r="D830" s="37" t="s">
        <v>84</v>
      </c>
      <c r="E830" s="37" t="s">
        <v>84</v>
      </c>
      <c r="F830" s="37" t="s">
        <v>36</v>
      </c>
      <c r="G830" s="21" t="s">
        <v>445</v>
      </c>
      <c r="H830" s="21" t="n">
        <v>0</v>
      </c>
      <c r="I830" s="21" t="s">
        <v>137</v>
      </c>
    </row>
    <row r="831" customFormat="false" ht="15" hidden="false" customHeight="false" outlineLevel="0" collapsed="false">
      <c r="A831" s="21" t="s">
        <v>1088</v>
      </c>
      <c r="B831" s="21" t="s">
        <v>1028</v>
      </c>
      <c r="C831" s="21"/>
      <c r="D831" s="37" t="s">
        <v>84</v>
      </c>
      <c r="E831" s="37" t="s">
        <v>84</v>
      </c>
      <c r="F831" s="37" t="s">
        <v>36</v>
      </c>
      <c r="G831" s="21" t="s">
        <v>445</v>
      </c>
      <c r="H831" s="21" t="n">
        <v>0</v>
      </c>
      <c r="I831" s="21" t="s">
        <v>137</v>
      </c>
    </row>
    <row r="832" customFormat="false" ht="15" hidden="false" customHeight="false" outlineLevel="0" collapsed="false">
      <c r="A832" s="21" t="s">
        <v>1089</v>
      </c>
      <c r="B832" s="21" t="s">
        <v>1028</v>
      </c>
      <c r="C832" s="21"/>
      <c r="D832" s="37" t="s">
        <v>84</v>
      </c>
      <c r="E832" s="37" t="s">
        <v>84</v>
      </c>
      <c r="F832" s="37" t="s">
        <v>36</v>
      </c>
      <c r="G832" s="21" t="s">
        <v>445</v>
      </c>
      <c r="H832" s="21" t="n">
        <v>0</v>
      </c>
      <c r="I832" s="21" t="s">
        <v>137</v>
      </c>
    </row>
    <row r="833" customFormat="false" ht="15" hidden="false" customHeight="false" outlineLevel="0" collapsed="false">
      <c r="A833" s="21" t="s">
        <v>1090</v>
      </c>
      <c r="B833" s="21" t="s">
        <v>1026</v>
      </c>
      <c r="C833" s="21"/>
      <c r="D833" s="37" t="s">
        <v>84</v>
      </c>
      <c r="E833" s="37" t="s">
        <v>84</v>
      </c>
      <c r="F833" s="37" t="s">
        <v>36</v>
      </c>
      <c r="G833" s="21" t="s">
        <v>445</v>
      </c>
      <c r="H833" s="21" t="n">
        <v>0</v>
      </c>
      <c r="I833" s="21" t="s">
        <v>137</v>
      </c>
    </row>
    <row r="834" customFormat="false" ht="15" hidden="false" customHeight="false" outlineLevel="0" collapsed="false">
      <c r="A834" s="21" t="s">
        <v>1091</v>
      </c>
      <c r="B834" s="21" t="s">
        <v>1026</v>
      </c>
      <c r="C834" s="21"/>
      <c r="D834" s="37" t="s">
        <v>84</v>
      </c>
      <c r="E834" s="37" t="s">
        <v>84</v>
      </c>
      <c r="F834" s="37" t="s">
        <v>36</v>
      </c>
      <c r="G834" s="21" t="s">
        <v>445</v>
      </c>
      <c r="H834" s="21" t="n">
        <v>0</v>
      </c>
      <c r="I834" s="21" t="s">
        <v>137</v>
      </c>
    </row>
    <row r="835" customFormat="false" ht="15" hidden="false" customHeight="false" outlineLevel="0" collapsed="false">
      <c r="A835" s="21" t="s">
        <v>1092</v>
      </c>
      <c r="B835" s="21" t="s">
        <v>1026</v>
      </c>
      <c r="C835" s="21"/>
      <c r="D835" s="37" t="s">
        <v>84</v>
      </c>
      <c r="E835" s="37" t="s">
        <v>84</v>
      </c>
      <c r="F835" s="37" t="s">
        <v>36</v>
      </c>
      <c r="G835" s="21" t="s">
        <v>445</v>
      </c>
      <c r="H835" s="21" t="n">
        <v>0</v>
      </c>
      <c r="I835" s="21" t="s">
        <v>137</v>
      </c>
    </row>
    <row r="836" customFormat="false" ht="15" hidden="false" customHeight="false" outlineLevel="0" collapsed="false">
      <c r="A836" s="21" t="s">
        <v>1093</v>
      </c>
      <c r="B836" s="21"/>
      <c r="C836" s="21"/>
      <c r="D836" s="37" t="s">
        <v>84</v>
      </c>
      <c r="E836" s="37" t="s">
        <v>84</v>
      </c>
      <c r="F836" s="37" t="s">
        <v>36</v>
      </c>
      <c r="G836" s="21" t="s">
        <v>514</v>
      </c>
      <c r="H836" s="21" t="n">
        <v>0</v>
      </c>
      <c r="I836" s="21" t="s">
        <v>137</v>
      </c>
    </row>
    <row r="837" customFormat="false" ht="15" hidden="false" customHeight="false" outlineLevel="0" collapsed="false">
      <c r="A837" s="21" t="s">
        <v>1094</v>
      </c>
      <c r="B837" s="21" t="s">
        <v>1028</v>
      </c>
      <c r="C837" s="21"/>
      <c r="D837" s="37" t="s">
        <v>84</v>
      </c>
      <c r="E837" s="37" t="s">
        <v>84</v>
      </c>
      <c r="F837" s="37" t="s">
        <v>36</v>
      </c>
      <c r="G837" s="21" t="s">
        <v>445</v>
      </c>
      <c r="H837" s="21" t="n">
        <v>0</v>
      </c>
      <c r="I837" s="21" t="s">
        <v>137</v>
      </c>
    </row>
    <row r="838" customFormat="false" ht="15" hidden="false" customHeight="false" outlineLevel="0" collapsed="false">
      <c r="A838" s="21" t="s">
        <v>1095</v>
      </c>
      <c r="B838" s="21" t="s">
        <v>1032</v>
      </c>
      <c r="C838" s="21"/>
      <c r="D838" s="37" t="s">
        <v>84</v>
      </c>
      <c r="E838" s="37" t="s">
        <v>84</v>
      </c>
      <c r="F838" s="37" t="s">
        <v>36</v>
      </c>
      <c r="G838" s="21" t="s">
        <v>445</v>
      </c>
      <c r="H838" s="21" t="n">
        <v>0</v>
      </c>
      <c r="I838" s="21" t="s">
        <v>137</v>
      </c>
    </row>
    <row r="839" customFormat="false" ht="15" hidden="false" customHeight="false" outlineLevel="0" collapsed="false">
      <c r="A839" s="21" t="s">
        <v>1096</v>
      </c>
      <c r="B839" s="21" t="s">
        <v>1026</v>
      </c>
      <c r="C839" s="21"/>
      <c r="D839" s="37" t="s">
        <v>84</v>
      </c>
      <c r="E839" s="37" t="s">
        <v>84</v>
      </c>
      <c r="F839" s="37" t="s">
        <v>36</v>
      </c>
      <c r="G839" s="21" t="s">
        <v>445</v>
      </c>
      <c r="H839" s="21" t="n">
        <v>0</v>
      </c>
      <c r="I839" s="21" t="s">
        <v>137</v>
      </c>
    </row>
    <row r="840" customFormat="false" ht="15" hidden="false" customHeight="false" outlineLevel="0" collapsed="false">
      <c r="A840" s="21" t="s">
        <v>1097</v>
      </c>
      <c r="B840" s="21" t="s">
        <v>1028</v>
      </c>
      <c r="C840" s="21"/>
      <c r="D840" s="37" t="s">
        <v>84</v>
      </c>
      <c r="E840" s="37" t="s">
        <v>84</v>
      </c>
      <c r="F840" s="37" t="s">
        <v>36</v>
      </c>
      <c r="G840" s="21" t="s">
        <v>445</v>
      </c>
      <c r="H840" s="21" t="n">
        <v>0</v>
      </c>
      <c r="I840" s="21" t="s">
        <v>137</v>
      </c>
    </row>
    <row r="841" customFormat="false" ht="15" hidden="false" customHeight="false" outlineLevel="0" collapsed="false">
      <c r="A841" s="21" t="s">
        <v>1098</v>
      </c>
      <c r="B841" s="21" t="s">
        <v>1026</v>
      </c>
      <c r="C841" s="21"/>
      <c r="D841" s="37" t="s">
        <v>84</v>
      </c>
      <c r="E841" s="37" t="s">
        <v>84</v>
      </c>
      <c r="F841" s="37" t="s">
        <v>36</v>
      </c>
      <c r="G841" s="21" t="s">
        <v>445</v>
      </c>
      <c r="H841" s="21" t="n">
        <v>0</v>
      </c>
      <c r="I841" s="21" t="s">
        <v>137</v>
      </c>
    </row>
    <row r="842" customFormat="false" ht="15" hidden="false" customHeight="false" outlineLevel="0" collapsed="false">
      <c r="A842" s="21" t="s">
        <v>1099</v>
      </c>
      <c r="B842" s="21" t="s">
        <v>1028</v>
      </c>
      <c r="C842" s="21"/>
      <c r="D842" s="37" t="s">
        <v>84</v>
      </c>
      <c r="E842" s="37" t="s">
        <v>84</v>
      </c>
      <c r="F842" s="37" t="s">
        <v>36</v>
      </c>
      <c r="G842" s="21" t="s">
        <v>445</v>
      </c>
      <c r="H842" s="21" t="n">
        <v>0</v>
      </c>
      <c r="I842" s="21" t="s">
        <v>137</v>
      </c>
    </row>
    <row r="843" customFormat="false" ht="15" hidden="false" customHeight="false" outlineLevel="0" collapsed="false">
      <c r="A843" s="21" t="s">
        <v>1100</v>
      </c>
      <c r="B843" s="21" t="s">
        <v>1028</v>
      </c>
      <c r="C843" s="21"/>
      <c r="D843" s="37" t="s">
        <v>84</v>
      </c>
      <c r="E843" s="37" t="s">
        <v>84</v>
      </c>
      <c r="F843" s="37" t="s">
        <v>36</v>
      </c>
      <c r="G843" s="21" t="s">
        <v>445</v>
      </c>
      <c r="H843" s="21" t="n">
        <v>0</v>
      </c>
      <c r="I843" s="21" t="s">
        <v>137</v>
      </c>
    </row>
    <row r="844" customFormat="false" ht="15" hidden="false" customHeight="false" outlineLevel="0" collapsed="false">
      <c r="A844" s="21" t="s">
        <v>1101</v>
      </c>
      <c r="B844" s="21" t="s">
        <v>1028</v>
      </c>
      <c r="C844" s="21"/>
      <c r="D844" s="37" t="s">
        <v>84</v>
      </c>
      <c r="E844" s="37" t="s">
        <v>84</v>
      </c>
      <c r="F844" s="37" t="s">
        <v>36</v>
      </c>
      <c r="G844" s="21" t="s">
        <v>445</v>
      </c>
      <c r="H844" s="21" t="n">
        <v>0</v>
      </c>
      <c r="I844" s="21" t="s">
        <v>137</v>
      </c>
    </row>
    <row r="845" customFormat="false" ht="15" hidden="false" customHeight="false" outlineLevel="0" collapsed="false">
      <c r="A845" s="21" t="s">
        <v>1102</v>
      </c>
      <c r="B845" s="21" t="s">
        <v>1026</v>
      </c>
      <c r="C845" s="21"/>
      <c r="D845" s="37" t="s">
        <v>84</v>
      </c>
      <c r="E845" s="37" t="s">
        <v>84</v>
      </c>
      <c r="F845" s="37" t="s">
        <v>36</v>
      </c>
      <c r="G845" s="21" t="s">
        <v>445</v>
      </c>
      <c r="H845" s="21" t="n">
        <v>0</v>
      </c>
      <c r="I845" s="21" t="s">
        <v>137</v>
      </c>
    </row>
    <row r="846" customFormat="false" ht="15" hidden="false" customHeight="false" outlineLevel="0" collapsed="false">
      <c r="A846" s="21" t="s">
        <v>1103</v>
      </c>
      <c r="B846" s="21" t="s">
        <v>1032</v>
      </c>
      <c r="C846" s="21"/>
      <c r="D846" s="37" t="s">
        <v>84</v>
      </c>
      <c r="E846" s="37" t="s">
        <v>84</v>
      </c>
      <c r="F846" s="37" t="s">
        <v>36</v>
      </c>
      <c r="G846" s="21" t="s">
        <v>445</v>
      </c>
      <c r="H846" s="21" t="n">
        <v>0</v>
      </c>
      <c r="I846" s="21" t="s">
        <v>137</v>
      </c>
    </row>
    <row r="847" customFormat="false" ht="15" hidden="false" customHeight="false" outlineLevel="0" collapsed="false">
      <c r="A847" s="21" t="s">
        <v>1104</v>
      </c>
      <c r="B847" s="21" t="s">
        <v>1032</v>
      </c>
      <c r="C847" s="21"/>
      <c r="D847" s="37" t="s">
        <v>84</v>
      </c>
      <c r="E847" s="37" t="s">
        <v>84</v>
      </c>
      <c r="F847" s="37" t="s">
        <v>36</v>
      </c>
      <c r="G847" s="21" t="s">
        <v>445</v>
      </c>
      <c r="H847" s="21" t="n">
        <v>0</v>
      </c>
      <c r="I847" s="21" t="s">
        <v>137</v>
      </c>
    </row>
    <row r="848" customFormat="false" ht="15" hidden="false" customHeight="false" outlineLevel="0" collapsed="false">
      <c r="A848" s="21" t="s">
        <v>1105</v>
      </c>
      <c r="B848" s="21" t="s">
        <v>1032</v>
      </c>
      <c r="C848" s="21"/>
      <c r="D848" s="37" t="s">
        <v>84</v>
      </c>
      <c r="E848" s="37" t="s">
        <v>84</v>
      </c>
      <c r="F848" s="37" t="s">
        <v>36</v>
      </c>
      <c r="G848" s="21" t="s">
        <v>445</v>
      </c>
      <c r="H848" s="21" t="n">
        <v>0</v>
      </c>
      <c r="I848" s="21" t="s">
        <v>137</v>
      </c>
    </row>
    <row r="849" customFormat="false" ht="15" hidden="false" customHeight="false" outlineLevel="0" collapsed="false">
      <c r="A849" s="21" t="s">
        <v>1106</v>
      </c>
      <c r="B849" s="21" t="s">
        <v>1032</v>
      </c>
      <c r="C849" s="21"/>
      <c r="D849" s="37" t="s">
        <v>84</v>
      </c>
      <c r="E849" s="37" t="s">
        <v>84</v>
      </c>
      <c r="F849" s="37" t="s">
        <v>36</v>
      </c>
      <c r="G849" s="21" t="s">
        <v>445</v>
      </c>
      <c r="H849" s="21" t="n">
        <v>0</v>
      </c>
      <c r="I849" s="21" t="s">
        <v>137</v>
      </c>
    </row>
    <row r="850" customFormat="false" ht="15" hidden="false" customHeight="false" outlineLevel="0" collapsed="false">
      <c r="A850" s="21" t="s">
        <v>1107</v>
      </c>
      <c r="B850" s="21" t="s">
        <v>1028</v>
      </c>
      <c r="C850" s="21"/>
      <c r="D850" s="37" t="s">
        <v>84</v>
      </c>
      <c r="E850" s="37" t="s">
        <v>84</v>
      </c>
      <c r="F850" s="37" t="s">
        <v>36</v>
      </c>
      <c r="G850" s="21" t="s">
        <v>445</v>
      </c>
      <c r="H850" s="21" t="n">
        <v>0</v>
      </c>
      <c r="I850" s="21" t="s">
        <v>137</v>
      </c>
    </row>
    <row r="851" customFormat="false" ht="15" hidden="false" customHeight="false" outlineLevel="0" collapsed="false">
      <c r="A851" s="21" t="s">
        <v>1108</v>
      </c>
      <c r="B851" s="21" t="s">
        <v>1028</v>
      </c>
      <c r="C851" s="21"/>
      <c r="D851" s="37" t="s">
        <v>84</v>
      </c>
      <c r="E851" s="37" t="s">
        <v>84</v>
      </c>
      <c r="F851" s="37" t="s">
        <v>36</v>
      </c>
      <c r="G851" s="21" t="s">
        <v>445</v>
      </c>
      <c r="H851" s="21" t="n">
        <v>0</v>
      </c>
      <c r="I851" s="21" t="s">
        <v>137</v>
      </c>
    </row>
    <row r="852" customFormat="false" ht="15" hidden="false" customHeight="false" outlineLevel="0" collapsed="false">
      <c r="A852" s="21" t="s">
        <v>1109</v>
      </c>
      <c r="B852" s="21" t="s">
        <v>1026</v>
      </c>
      <c r="C852" s="21"/>
      <c r="D852" s="37" t="s">
        <v>84</v>
      </c>
      <c r="E852" s="37" t="s">
        <v>84</v>
      </c>
      <c r="F852" s="37" t="s">
        <v>36</v>
      </c>
      <c r="G852" s="21" t="s">
        <v>445</v>
      </c>
      <c r="H852" s="21" t="n">
        <v>0</v>
      </c>
      <c r="I852" s="21" t="s">
        <v>137</v>
      </c>
    </row>
    <row r="853" customFormat="false" ht="15" hidden="false" customHeight="false" outlineLevel="0" collapsed="false">
      <c r="A853" s="21" t="s">
        <v>1110</v>
      </c>
      <c r="B853" s="21" t="s">
        <v>1026</v>
      </c>
      <c r="C853" s="21"/>
      <c r="D853" s="37" t="s">
        <v>84</v>
      </c>
      <c r="E853" s="37" t="s">
        <v>84</v>
      </c>
      <c r="F853" s="37" t="s">
        <v>36</v>
      </c>
      <c r="G853" s="21" t="s">
        <v>445</v>
      </c>
      <c r="H853" s="21" t="n">
        <v>0</v>
      </c>
      <c r="I853" s="21" t="s">
        <v>137</v>
      </c>
    </row>
    <row r="854" customFormat="false" ht="15" hidden="false" customHeight="false" outlineLevel="0" collapsed="false">
      <c r="A854" s="21" t="s">
        <v>1111</v>
      </c>
      <c r="B854" s="21" t="s">
        <v>1032</v>
      </c>
      <c r="C854" s="21"/>
      <c r="D854" s="37" t="s">
        <v>84</v>
      </c>
      <c r="E854" s="37" t="s">
        <v>84</v>
      </c>
      <c r="F854" s="37" t="s">
        <v>36</v>
      </c>
      <c r="G854" s="21" t="s">
        <v>445</v>
      </c>
      <c r="H854" s="21" t="n">
        <v>0</v>
      </c>
      <c r="I854" s="21" t="s">
        <v>137</v>
      </c>
    </row>
    <row r="855" customFormat="false" ht="15" hidden="false" customHeight="false" outlineLevel="0" collapsed="false">
      <c r="A855" s="21" t="s">
        <v>1112</v>
      </c>
      <c r="B855" s="21" t="s">
        <v>1032</v>
      </c>
      <c r="C855" s="21"/>
      <c r="D855" s="37" t="s">
        <v>84</v>
      </c>
      <c r="E855" s="37" t="s">
        <v>84</v>
      </c>
      <c r="F855" s="37" t="s">
        <v>36</v>
      </c>
      <c r="G855" s="21" t="s">
        <v>445</v>
      </c>
      <c r="H855" s="21" t="n">
        <v>0</v>
      </c>
      <c r="I855" s="21" t="s">
        <v>137</v>
      </c>
    </row>
    <row r="856" customFormat="false" ht="15" hidden="false" customHeight="false" outlineLevel="0" collapsed="false">
      <c r="A856" s="21" t="s">
        <v>1113</v>
      </c>
      <c r="B856" s="21" t="s">
        <v>1026</v>
      </c>
      <c r="C856" s="21"/>
      <c r="D856" s="37" t="s">
        <v>84</v>
      </c>
      <c r="E856" s="37" t="s">
        <v>84</v>
      </c>
      <c r="F856" s="37" t="s">
        <v>36</v>
      </c>
      <c r="G856" s="21" t="s">
        <v>445</v>
      </c>
      <c r="H856" s="21" t="n">
        <v>0</v>
      </c>
      <c r="I856" s="21" t="s">
        <v>137</v>
      </c>
    </row>
    <row r="857" customFormat="false" ht="15" hidden="false" customHeight="false" outlineLevel="0" collapsed="false">
      <c r="A857" s="21" t="s">
        <v>1114</v>
      </c>
      <c r="B857" s="21" t="s">
        <v>1026</v>
      </c>
      <c r="C857" s="21"/>
      <c r="D857" s="37" t="s">
        <v>84</v>
      </c>
      <c r="E857" s="37" t="s">
        <v>84</v>
      </c>
      <c r="F857" s="37" t="s">
        <v>36</v>
      </c>
      <c r="G857" s="21" t="s">
        <v>445</v>
      </c>
      <c r="H857" s="21" t="n">
        <v>0</v>
      </c>
      <c r="I857" s="21" t="s">
        <v>137</v>
      </c>
    </row>
    <row r="858" customFormat="false" ht="15" hidden="false" customHeight="false" outlineLevel="0" collapsed="false">
      <c r="A858" s="21" t="s">
        <v>1115</v>
      </c>
      <c r="B858" s="21" t="s">
        <v>1032</v>
      </c>
      <c r="C858" s="21"/>
      <c r="D858" s="37" t="s">
        <v>84</v>
      </c>
      <c r="E858" s="37" t="s">
        <v>84</v>
      </c>
      <c r="F858" s="37" t="s">
        <v>36</v>
      </c>
      <c r="G858" s="21" t="s">
        <v>445</v>
      </c>
      <c r="H858" s="21" t="n">
        <v>0</v>
      </c>
      <c r="I858" s="21" t="s">
        <v>137</v>
      </c>
    </row>
    <row r="859" customFormat="false" ht="15" hidden="false" customHeight="false" outlineLevel="0" collapsed="false">
      <c r="A859" s="21" t="s">
        <v>1116</v>
      </c>
      <c r="B859" s="21" t="s">
        <v>1026</v>
      </c>
      <c r="C859" s="21"/>
      <c r="D859" s="37" t="s">
        <v>84</v>
      </c>
      <c r="E859" s="37" t="s">
        <v>84</v>
      </c>
      <c r="F859" s="37" t="s">
        <v>36</v>
      </c>
      <c r="G859" s="21" t="s">
        <v>445</v>
      </c>
      <c r="H859" s="21" t="n">
        <v>0</v>
      </c>
      <c r="I859" s="21" t="s">
        <v>137</v>
      </c>
    </row>
    <row r="860" customFormat="false" ht="15" hidden="false" customHeight="false" outlineLevel="0" collapsed="false">
      <c r="A860" s="21" t="s">
        <v>1117</v>
      </c>
      <c r="B860" s="21" t="s">
        <v>1026</v>
      </c>
      <c r="C860" s="21"/>
      <c r="D860" s="37" t="s">
        <v>84</v>
      </c>
      <c r="E860" s="37" t="s">
        <v>84</v>
      </c>
      <c r="F860" s="37" t="s">
        <v>36</v>
      </c>
      <c r="G860" s="21" t="s">
        <v>445</v>
      </c>
      <c r="H860" s="21" t="n">
        <v>0</v>
      </c>
      <c r="I860" s="21" t="s">
        <v>137</v>
      </c>
    </row>
    <row r="861" customFormat="false" ht="15" hidden="false" customHeight="false" outlineLevel="0" collapsed="false">
      <c r="A861" s="21" t="s">
        <v>1118</v>
      </c>
      <c r="B861" s="21" t="s">
        <v>1026</v>
      </c>
      <c r="C861" s="21"/>
      <c r="D861" s="37" t="s">
        <v>84</v>
      </c>
      <c r="E861" s="37" t="s">
        <v>84</v>
      </c>
      <c r="F861" s="37" t="s">
        <v>36</v>
      </c>
      <c r="G861" s="21" t="s">
        <v>445</v>
      </c>
      <c r="H861" s="21" t="n">
        <v>0</v>
      </c>
      <c r="I861" s="21" t="s">
        <v>137</v>
      </c>
    </row>
    <row r="862" customFormat="false" ht="15" hidden="false" customHeight="false" outlineLevel="0" collapsed="false">
      <c r="A862" s="21" t="s">
        <v>1119</v>
      </c>
      <c r="B862" s="21" t="s">
        <v>1028</v>
      </c>
      <c r="C862" s="21"/>
      <c r="D862" s="37" t="s">
        <v>84</v>
      </c>
      <c r="E862" s="37" t="s">
        <v>84</v>
      </c>
      <c r="F862" s="37" t="s">
        <v>36</v>
      </c>
      <c r="G862" s="21" t="s">
        <v>445</v>
      </c>
      <c r="H862" s="21" t="n">
        <v>0</v>
      </c>
      <c r="I862" s="21" t="s">
        <v>137</v>
      </c>
    </row>
    <row r="863" customFormat="false" ht="15" hidden="false" customHeight="false" outlineLevel="0" collapsed="false">
      <c r="A863" s="21" t="s">
        <v>1120</v>
      </c>
      <c r="B863" s="21" t="s">
        <v>1026</v>
      </c>
      <c r="C863" s="21"/>
      <c r="D863" s="37" t="s">
        <v>84</v>
      </c>
      <c r="E863" s="37" t="s">
        <v>84</v>
      </c>
      <c r="F863" s="37" t="s">
        <v>36</v>
      </c>
      <c r="G863" s="21" t="s">
        <v>445</v>
      </c>
      <c r="H863" s="21" t="n">
        <v>0</v>
      </c>
      <c r="I863" s="21" t="s">
        <v>137</v>
      </c>
    </row>
    <row r="864" customFormat="false" ht="15" hidden="false" customHeight="false" outlineLevel="0" collapsed="false">
      <c r="A864" s="21" t="s">
        <v>1121</v>
      </c>
      <c r="B864" s="21" t="s">
        <v>1026</v>
      </c>
      <c r="C864" s="21"/>
      <c r="D864" s="37" t="s">
        <v>84</v>
      </c>
      <c r="E864" s="37" t="s">
        <v>84</v>
      </c>
      <c r="F864" s="37" t="s">
        <v>36</v>
      </c>
      <c r="G864" s="21" t="s">
        <v>445</v>
      </c>
      <c r="H864" s="21" t="n">
        <v>0</v>
      </c>
      <c r="I864" s="21" t="s">
        <v>137</v>
      </c>
    </row>
    <row r="865" customFormat="false" ht="15" hidden="false" customHeight="false" outlineLevel="0" collapsed="false">
      <c r="A865" s="21" t="s">
        <v>1122</v>
      </c>
      <c r="B865" s="21" t="s">
        <v>1032</v>
      </c>
      <c r="C865" s="21"/>
      <c r="D865" s="37" t="s">
        <v>84</v>
      </c>
      <c r="E865" s="37" t="s">
        <v>84</v>
      </c>
      <c r="F865" s="37" t="s">
        <v>36</v>
      </c>
      <c r="G865" s="21" t="s">
        <v>445</v>
      </c>
      <c r="H865" s="21" t="n">
        <v>0</v>
      </c>
      <c r="I865" s="21" t="s">
        <v>137</v>
      </c>
    </row>
    <row r="866" customFormat="false" ht="15" hidden="false" customHeight="false" outlineLevel="0" collapsed="false">
      <c r="A866" s="21" t="s">
        <v>1123</v>
      </c>
      <c r="B866" s="21" t="s">
        <v>1032</v>
      </c>
      <c r="C866" s="21"/>
      <c r="D866" s="37" t="s">
        <v>84</v>
      </c>
      <c r="E866" s="37" t="s">
        <v>84</v>
      </c>
      <c r="F866" s="37" t="s">
        <v>36</v>
      </c>
      <c r="G866" s="21" t="s">
        <v>445</v>
      </c>
      <c r="H866" s="21" t="n">
        <v>0</v>
      </c>
      <c r="I866" s="21" t="s">
        <v>137</v>
      </c>
    </row>
    <row r="867" customFormat="false" ht="15" hidden="false" customHeight="false" outlineLevel="0" collapsed="false">
      <c r="A867" s="21" t="s">
        <v>1124</v>
      </c>
      <c r="B867" s="21" t="s">
        <v>1028</v>
      </c>
      <c r="C867" s="21"/>
      <c r="D867" s="37" t="s">
        <v>84</v>
      </c>
      <c r="E867" s="37" t="s">
        <v>84</v>
      </c>
      <c r="F867" s="37" t="s">
        <v>36</v>
      </c>
      <c r="G867" s="21" t="s">
        <v>445</v>
      </c>
      <c r="H867" s="21" t="n">
        <v>0</v>
      </c>
      <c r="I867" s="21" t="s">
        <v>137</v>
      </c>
    </row>
    <row r="868" customFormat="false" ht="15" hidden="false" customHeight="false" outlineLevel="0" collapsed="false">
      <c r="A868" s="21" t="s">
        <v>1125</v>
      </c>
      <c r="B868" s="21" t="s">
        <v>1026</v>
      </c>
      <c r="C868" s="21"/>
      <c r="D868" s="37" t="s">
        <v>84</v>
      </c>
      <c r="E868" s="37" t="s">
        <v>84</v>
      </c>
      <c r="F868" s="37" t="s">
        <v>36</v>
      </c>
      <c r="G868" s="21" t="s">
        <v>445</v>
      </c>
      <c r="H868" s="21" t="n">
        <v>0</v>
      </c>
      <c r="I868" s="21" t="s">
        <v>137</v>
      </c>
    </row>
    <row r="869" customFormat="false" ht="15" hidden="false" customHeight="false" outlineLevel="0" collapsed="false">
      <c r="A869" s="21" t="s">
        <v>1126</v>
      </c>
      <c r="B869" s="21" t="s">
        <v>1032</v>
      </c>
      <c r="C869" s="21"/>
      <c r="D869" s="37" t="s">
        <v>84</v>
      </c>
      <c r="E869" s="37" t="s">
        <v>84</v>
      </c>
      <c r="F869" s="37" t="s">
        <v>36</v>
      </c>
      <c r="G869" s="21" t="s">
        <v>445</v>
      </c>
      <c r="H869" s="21" t="n">
        <v>0</v>
      </c>
      <c r="I869" s="21" t="s">
        <v>137</v>
      </c>
    </row>
    <row r="870" customFormat="false" ht="15" hidden="false" customHeight="false" outlineLevel="0" collapsed="false">
      <c r="A870" s="21" t="s">
        <v>1127</v>
      </c>
      <c r="B870" s="21" t="s">
        <v>1028</v>
      </c>
      <c r="C870" s="21"/>
      <c r="D870" s="37" t="s">
        <v>84</v>
      </c>
      <c r="E870" s="37" t="s">
        <v>84</v>
      </c>
      <c r="F870" s="37" t="s">
        <v>36</v>
      </c>
      <c r="G870" s="21" t="s">
        <v>445</v>
      </c>
      <c r="H870" s="21" t="n">
        <v>0</v>
      </c>
      <c r="I870" s="21" t="s">
        <v>137</v>
      </c>
    </row>
    <row r="871" customFormat="false" ht="15" hidden="false" customHeight="false" outlineLevel="0" collapsed="false">
      <c r="A871" s="21" t="s">
        <v>1128</v>
      </c>
      <c r="B871" s="21" t="s">
        <v>1032</v>
      </c>
      <c r="C871" s="21"/>
      <c r="D871" s="37" t="s">
        <v>84</v>
      </c>
      <c r="E871" s="37" t="s">
        <v>84</v>
      </c>
      <c r="F871" s="37" t="s">
        <v>36</v>
      </c>
      <c r="G871" s="21" t="s">
        <v>445</v>
      </c>
      <c r="H871" s="21" t="n">
        <v>0</v>
      </c>
      <c r="I871" s="21" t="s">
        <v>137</v>
      </c>
    </row>
    <row r="872" customFormat="false" ht="15" hidden="false" customHeight="false" outlineLevel="0" collapsed="false">
      <c r="A872" s="21" t="s">
        <v>1129</v>
      </c>
      <c r="B872" s="21" t="s">
        <v>1028</v>
      </c>
      <c r="C872" s="21"/>
      <c r="D872" s="37" t="s">
        <v>84</v>
      </c>
      <c r="E872" s="37" t="s">
        <v>84</v>
      </c>
      <c r="F872" s="37" t="s">
        <v>36</v>
      </c>
      <c r="G872" s="21" t="s">
        <v>445</v>
      </c>
      <c r="H872" s="21" t="n">
        <v>0</v>
      </c>
      <c r="I872" s="21" t="s">
        <v>137</v>
      </c>
    </row>
    <row r="873" customFormat="false" ht="15" hidden="false" customHeight="false" outlineLevel="0" collapsed="false">
      <c r="A873" s="21" t="s">
        <v>1130</v>
      </c>
      <c r="B873" s="21" t="s">
        <v>1028</v>
      </c>
      <c r="C873" s="21"/>
      <c r="D873" s="37" t="s">
        <v>84</v>
      </c>
      <c r="E873" s="37" t="s">
        <v>84</v>
      </c>
      <c r="F873" s="37" t="s">
        <v>36</v>
      </c>
      <c r="G873" s="21" t="s">
        <v>445</v>
      </c>
      <c r="H873" s="21" t="n">
        <v>0</v>
      </c>
      <c r="I873" s="21" t="s">
        <v>137</v>
      </c>
    </row>
    <row r="874" customFormat="false" ht="15" hidden="false" customHeight="false" outlineLevel="0" collapsed="false">
      <c r="A874" s="21" t="s">
        <v>1131</v>
      </c>
      <c r="B874" s="21" t="s">
        <v>1026</v>
      </c>
      <c r="C874" s="21"/>
      <c r="D874" s="37" t="s">
        <v>84</v>
      </c>
      <c r="E874" s="37" t="s">
        <v>84</v>
      </c>
      <c r="F874" s="37" t="s">
        <v>36</v>
      </c>
      <c r="G874" s="21" t="s">
        <v>445</v>
      </c>
      <c r="H874" s="21" t="n">
        <v>0</v>
      </c>
      <c r="I874" s="21" t="s">
        <v>137</v>
      </c>
    </row>
    <row r="875" customFormat="false" ht="15" hidden="false" customHeight="false" outlineLevel="0" collapsed="false">
      <c r="A875" s="21" t="s">
        <v>1132</v>
      </c>
      <c r="B875" s="21" t="s">
        <v>1026</v>
      </c>
      <c r="C875" s="21"/>
      <c r="D875" s="37" t="s">
        <v>84</v>
      </c>
      <c r="E875" s="37" t="s">
        <v>84</v>
      </c>
      <c r="F875" s="37" t="s">
        <v>36</v>
      </c>
      <c r="G875" s="21" t="s">
        <v>445</v>
      </c>
      <c r="H875" s="21" t="n">
        <v>0</v>
      </c>
      <c r="I875" s="21" t="s">
        <v>137</v>
      </c>
    </row>
    <row r="876" customFormat="false" ht="15" hidden="false" customHeight="false" outlineLevel="0" collapsed="false">
      <c r="A876" s="21" t="s">
        <v>1133</v>
      </c>
      <c r="B876" s="21" t="s">
        <v>1032</v>
      </c>
      <c r="C876" s="21"/>
      <c r="D876" s="37" t="s">
        <v>84</v>
      </c>
      <c r="E876" s="37" t="s">
        <v>84</v>
      </c>
      <c r="F876" s="37" t="s">
        <v>36</v>
      </c>
      <c r="G876" s="21" t="s">
        <v>445</v>
      </c>
      <c r="H876" s="21" t="n">
        <v>0</v>
      </c>
      <c r="I876" s="21" t="s">
        <v>137</v>
      </c>
    </row>
    <row r="877" customFormat="false" ht="15" hidden="false" customHeight="false" outlineLevel="0" collapsed="false">
      <c r="A877" s="21" t="s">
        <v>1134</v>
      </c>
      <c r="B877" s="21" t="s">
        <v>1028</v>
      </c>
      <c r="C877" s="21"/>
      <c r="D877" s="37" t="s">
        <v>84</v>
      </c>
      <c r="E877" s="37" t="s">
        <v>84</v>
      </c>
      <c r="F877" s="37" t="s">
        <v>36</v>
      </c>
      <c r="G877" s="21" t="s">
        <v>445</v>
      </c>
      <c r="H877" s="21" t="n">
        <v>0</v>
      </c>
      <c r="I877" s="21" t="s">
        <v>137</v>
      </c>
    </row>
    <row r="878" customFormat="false" ht="15" hidden="false" customHeight="false" outlineLevel="0" collapsed="false">
      <c r="A878" s="21" t="s">
        <v>1135</v>
      </c>
      <c r="B878" s="21" t="s">
        <v>1028</v>
      </c>
      <c r="C878" s="21"/>
      <c r="D878" s="37" t="s">
        <v>84</v>
      </c>
      <c r="E878" s="37" t="s">
        <v>84</v>
      </c>
      <c r="F878" s="37" t="s">
        <v>36</v>
      </c>
      <c r="G878" s="21" t="s">
        <v>445</v>
      </c>
      <c r="H878" s="21" t="n">
        <v>0</v>
      </c>
      <c r="I878" s="21" t="s">
        <v>137</v>
      </c>
    </row>
    <row r="879" customFormat="false" ht="15" hidden="false" customHeight="false" outlineLevel="0" collapsed="false">
      <c r="A879" s="21" t="s">
        <v>1136</v>
      </c>
      <c r="B879" s="21" t="s">
        <v>1028</v>
      </c>
      <c r="C879" s="21"/>
      <c r="D879" s="37" t="s">
        <v>84</v>
      </c>
      <c r="E879" s="37" t="s">
        <v>84</v>
      </c>
      <c r="F879" s="37" t="s">
        <v>36</v>
      </c>
      <c r="G879" s="21" t="s">
        <v>445</v>
      </c>
      <c r="H879" s="21" t="n">
        <v>0</v>
      </c>
      <c r="I879" s="21" t="s">
        <v>137</v>
      </c>
    </row>
    <row r="880" customFormat="false" ht="15" hidden="false" customHeight="false" outlineLevel="0" collapsed="false">
      <c r="A880" s="21" t="s">
        <v>1137</v>
      </c>
      <c r="B880" s="21" t="s">
        <v>1028</v>
      </c>
      <c r="C880" s="21"/>
      <c r="D880" s="37" t="s">
        <v>84</v>
      </c>
      <c r="E880" s="37" t="s">
        <v>84</v>
      </c>
      <c r="F880" s="37" t="s">
        <v>36</v>
      </c>
      <c r="G880" s="21" t="s">
        <v>445</v>
      </c>
      <c r="H880" s="21" t="n">
        <v>0</v>
      </c>
      <c r="I880" s="21" t="s">
        <v>137</v>
      </c>
    </row>
    <row r="881" customFormat="false" ht="15" hidden="false" customHeight="false" outlineLevel="0" collapsed="false">
      <c r="A881" s="21" t="s">
        <v>1138</v>
      </c>
      <c r="B881" s="21" t="s">
        <v>1032</v>
      </c>
      <c r="C881" s="21"/>
      <c r="D881" s="37" t="s">
        <v>84</v>
      </c>
      <c r="E881" s="37" t="s">
        <v>84</v>
      </c>
      <c r="F881" s="37" t="s">
        <v>36</v>
      </c>
      <c r="G881" s="21" t="s">
        <v>445</v>
      </c>
      <c r="H881" s="21" t="n">
        <v>0</v>
      </c>
      <c r="I881" s="21" t="s">
        <v>137</v>
      </c>
    </row>
    <row r="882" customFormat="false" ht="15" hidden="false" customHeight="false" outlineLevel="0" collapsed="false">
      <c r="A882" s="21" t="s">
        <v>1139</v>
      </c>
      <c r="B882" s="21" t="s">
        <v>1028</v>
      </c>
      <c r="C882" s="21"/>
      <c r="D882" s="37" t="s">
        <v>84</v>
      </c>
      <c r="E882" s="37" t="s">
        <v>84</v>
      </c>
      <c r="F882" s="37" t="s">
        <v>36</v>
      </c>
      <c r="G882" s="21" t="s">
        <v>445</v>
      </c>
      <c r="H882" s="21" t="n">
        <v>0</v>
      </c>
      <c r="I882" s="21" t="s">
        <v>137</v>
      </c>
    </row>
    <row r="883" customFormat="false" ht="15" hidden="false" customHeight="false" outlineLevel="0" collapsed="false">
      <c r="A883" s="21" t="s">
        <v>1140</v>
      </c>
      <c r="B883" s="21"/>
      <c r="C883" s="21"/>
      <c r="D883" s="37" t="s">
        <v>84</v>
      </c>
      <c r="E883" s="37" t="s">
        <v>84</v>
      </c>
      <c r="F883" s="37" t="s">
        <v>36</v>
      </c>
      <c r="G883" s="21" t="s">
        <v>1141</v>
      </c>
      <c r="H883" s="21" t="n">
        <v>0</v>
      </c>
      <c r="I883" s="21" t="s">
        <v>137</v>
      </c>
    </row>
    <row r="884" customFormat="false" ht="15" hidden="false" customHeight="false" outlineLevel="0" collapsed="false">
      <c r="A884" s="21" t="s">
        <v>1142</v>
      </c>
      <c r="B884" s="21"/>
      <c r="C884" s="21"/>
      <c r="D884" s="37" t="s">
        <v>84</v>
      </c>
      <c r="E884" s="37" t="s">
        <v>84</v>
      </c>
      <c r="F884" s="37" t="s">
        <v>36</v>
      </c>
      <c r="G884" s="21" t="s">
        <v>1141</v>
      </c>
      <c r="H884" s="21" t="n">
        <v>0</v>
      </c>
      <c r="I884" s="21" t="s">
        <v>137</v>
      </c>
    </row>
    <row r="885" customFormat="false" ht="15" hidden="false" customHeight="false" outlineLevel="0" collapsed="false">
      <c r="A885" s="21" t="s">
        <v>1143</v>
      </c>
      <c r="B885" s="21"/>
      <c r="C885" s="21"/>
      <c r="D885" s="37" t="s">
        <v>84</v>
      </c>
      <c r="E885" s="37" t="s">
        <v>84</v>
      </c>
      <c r="F885" s="37" t="s">
        <v>36</v>
      </c>
      <c r="G885" s="21" t="s">
        <v>1141</v>
      </c>
      <c r="H885" s="21" t="n">
        <v>0</v>
      </c>
      <c r="I885" s="21" t="s">
        <v>137</v>
      </c>
    </row>
    <row r="886" customFormat="false" ht="15" hidden="false" customHeight="false" outlineLevel="0" collapsed="false">
      <c r="A886" s="21" t="s">
        <v>1144</v>
      </c>
      <c r="B886" s="21"/>
      <c r="C886" s="21"/>
      <c r="D886" s="37" t="s">
        <v>84</v>
      </c>
      <c r="E886" s="37" t="s">
        <v>84</v>
      </c>
      <c r="F886" s="37" t="s">
        <v>36</v>
      </c>
      <c r="G886" s="21" t="s">
        <v>1141</v>
      </c>
      <c r="H886" s="21" t="n">
        <v>0</v>
      </c>
      <c r="I886" s="21" t="s">
        <v>137</v>
      </c>
    </row>
    <row r="887" customFormat="false" ht="15" hidden="false" customHeight="false" outlineLevel="0" collapsed="false">
      <c r="A887" s="21" t="s">
        <v>1145</v>
      </c>
      <c r="B887" s="21"/>
      <c r="C887" s="21"/>
      <c r="D887" s="37" t="s">
        <v>84</v>
      </c>
      <c r="E887" s="37" t="s">
        <v>84</v>
      </c>
      <c r="F887" s="37" t="s">
        <v>36</v>
      </c>
      <c r="G887" s="21" t="s">
        <v>1141</v>
      </c>
      <c r="H887" s="21" t="n">
        <v>0</v>
      </c>
      <c r="I887" s="21" t="s">
        <v>137</v>
      </c>
    </row>
    <row r="888" customFormat="false" ht="15" hidden="false" customHeight="false" outlineLevel="0" collapsed="false">
      <c r="A888" s="21" t="s">
        <v>1146</v>
      </c>
      <c r="B888" s="21"/>
      <c r="C888" s="21"/>
      <c r="D888" s="37" t="s">
        <v>84</v>
      </c>
      <c r="E888" s="37" t="s">
        <v>84</v>
      </c>
      <c r="F888" s="37" t="s">
        <v>36</v>
      </c>
      <c r="G888" s="21" t="s">
        <v>1141</v>
      </c>
      <c r="H888" s="21" t="n">
        <v>0</v>
      </c>
      <c r="I888" s="21" t="s">
        <v>137</v>
      </c>
    </row>
    <row r="889" customFormat="false" ht="15" hidden="false" customHeight="false" outlineLevel="0" collapsed="false">
      <c r="A889" s="21" t="s">
        <v>1147</v>
      </c>
      <c r="B889" s="21"/>
      <c r="C889" s="21"/>
      <c r="D889" s="37" t="s">
        <v>84</v>
      </c>
      <c r="E889" s="37" t="s">
        <v>84</v>
      </c>
      <c r="F889" s="37" t="s">
        <v>36</v>
      </c>
      <c r="G889" s="21" t="s">
        <v>1141</v>
      </c>
      <c r="H889" s="21" t="n">
        <v>0</v>
      </c>
      <c r="I889" s="21" t="s">
        <v>137</v>
      </c>
    </row>
    <row r="890" customFormat="false" ht="15" hidden="false" customHeight="false" outlineLevel="0" collapsed="false">
      <c r="A890" s="21" t="s">
        <v>1148</v>
      </c>
      <c r="B890" s="21"/>
      <c r="C890" s="21"/>
      <c r="D890" s="37" t="s">
        <v>84</v>
      </c>
      <c r="E890" s="37" t="s">
        <v>84</v>
      </c>
      <c r="F890" s="37" t="s">
        <v>36</v>
      </c>
      <c r="G890" s="21" t="s">
        <v>1141</v>
      </c>
      <c r="H890" s="21" t="n">
        <v>0</v>
      </c>
      <c r="I890" s="21" t="s">
        <v>137</v>
      </c>
    </row>
    <row r="891" customFormat="false" ht="15" hidden="false" customHeight="false" outlineLevel="0" collapsed="false">
      <c r="A891" s="21" t="s">
        <v>1149</v>
      </c>
      <c r="B891" s="21"/>
      <c r="C891" s="21"/>
      <c r="D891" s="37" t="s">
        <v>84</v>
      </c>
      <c r="E891" s="37" t="s">
        <v>84</v>
      </c>
      <c r="F891" s="37" t="s">
        <v>36</v>
      </c>
      <c r="G891" s="21" t="s">
        <v>1141</v>
      </c>
      <c r="H891" s="21" t="n">
        <v>0</v>
      </c>
      <c r="I891" s="21" t="s">
        <v>137</v>
      </c>
    </row>
    <row r="892" customFormat="false" ht="15" hidden="false" customHeight="false" outlineLevel="0" collapsed="false">
      <c r="A892" s="21" t="s">
        <v>1150</v>
      </c>
      <c r="B892" s="21"/>
      <c r="C892" s="21"/>
      <c r="D892" s="37" t="s">
        <v>84</v>
      </c>
      <c r="E892" s="37" t="s">
        <v>84</v>
      </c>
      <c r="F892" s="37" t="s">
        <v>36</v>
      </c>
      <c r="G892" s="21" t="s">
        <v>1141</v>
      </c>
      <c r="H892" s="21" t="n">
        <v>0</v>
      </c>
      <c r="I892" s="21" t="s">
        <v>137</v>
      </c>
    </row>
    <row r="893" customFormat="false" ht="15" hidden="false" customHeight="false" outlineLevel="0" collapsed="false">
      <c r="A893" s="21" t="s">
        <v>1151</v>
      </c>
      <c r="B893" s="21"/>
      <c r="C893" s="21"/>
      <c r="D893" s="37" t="s">
        <v>84</v>
      </c>
      <c r="E893" s="37" t="s">
        <v>84</v>
      </c>
      <c r="F893" s="37" t="s">
        <v>36</v>
      </c>
      <c r="G893" s="21" t="s">
        <v>1141</v>
      </c>
      <c r="H893" s="21" t="n">
        <v>0</v>
      </c>
      <c r="I893" s="21" t="s">
        <v>137</v>
      </c>
    </row>
    <row r="894" customFormat="false" ht="15" hidden="false" customHeight="false" outlineLevel="0" collapsed="false">
      <c r="A894" s="21" t="s">
        <v>1152</v>
      </c>
      <c r="B894" s="21"/>
      <c r="C894" s="21"/>
      <c r="D894" s="37" t="s">
        <v>84</v>
      </c>
      <c r="E894" s="37" t="s">
        <v>84</v>
      </c>
      <c r="F894" s="37" t="s">
        <v>36</v>
      </c>
      <c r="G894" s="21" t="s">
        <v>1141</v>
      </c>
      <c r="H894" s="21" t="n">
        <v>0</v>
      </c>
      <c r="I894" s="21" t="s">
        <v>137</v>
      </c>
    </row>
    <row r="895" customFormat="false" ht="15" hidden="false" customHeight="false" outlineLevel="0" collapsed="false">
      <c r="A895" s="21" t="s">
        <v>1153</v>
      </c>
      <c r="B895" s="21"/>
      <c r="C895" s="21"/>
      <c r="D895" s="37" t="s">
        <v>84</v>
      </c>
      <c r="E895" s="37" t="s">
        <v>84</v>
      </c>
      <c r="F895" s="37" t="s">
        <v>36</v>
      </c>
      <c r="G895" s="21" t="s">
        <v>1141</v>
      </c>
      <c r="H895" s="21" t="n">
        <v>0</v>
      </c>
      <c r="I895" s="21" t="s">
        <v>137</v>
      </c>
    </row>
    <row r="896" customFormat="false" ht="15" hidden="false" customHeight="false" outlineLevel="0" collapsed="false">
      <c r="A896" s="21" t="s">
        <v>1154</v>
      </c>
      <c r="B896" s="21"/>
      <c r="C896" s="21"/>
      <c r="D896" s="37" t="s">
        <v>84</v>
      </c>
      <c r="E896" s="37" t="s">
        <v>84</v>
      </c>
      <c r="F896" s="37" t="s">
        <v>36</v>
      </c>
      <c r="G896" s="21" t="s">
        <v>1141</v>
      </c>
      <c r="H896" s="21" t="n">
        <v>0</v>
      </c>
      <c r="I896" s="21" t="s">
        <v>137</v>
      </c>
    </row>
    <row r="897" customFormat="false" ht="15" hidden="false" customHeight="false" outlineLevel="0" collapsed="false">
      <c r="A897" s="21" t="s">
        <v>1155</v>
      </c>
      <c r="B897" s="21"/>
      <c r="C897" s="21"/>
      <c r="D897" s="37" t="s">
        <v>84</v>
      </c>
      <c r="E897" s="37" t="s">
        <v>84</v>
      </c>
      <c r="F897" s="37" t="s">
        <v>36</v>
      </c>
      <c r="G897" s="21" t="s">
        <v>1141</v>
      </c>
      <c r="H897" s="21" t="n">
        <v>0</v>
      </c>
      <c r="I897" s="21" t="s">
        <v>137</v>
      </c>
    </row>
    <row r="898" customFormat="false" ht="15" hidden="false" customHeight="false" outlineLevel="0" collapsed="false">
      <c r="A898" s="21" t="s">
        <v>1156</v>
      </c>
      <c r="B898" s="21"/>
      <c r="C898" s="21"/>
      <c r="D898" s="37" t="s">
        <v>84</v>
      </c>
      <c r="E898" s="37" t="s">
        <v>84</v>
      </c>
      <c r="F898" s="37" t="s">
        <v>36</v>
      </c>
      <c r="G898" s="21" t="s">
        <v>1141</v>
      </c>
      <c r="H898" s="21" t="n">
        <v>0</v>
      </c>
      <c r="I898" s="21" t="s">
        <v>137</v>
      </c>
    </row>
    <row r="899" customFormat="false" ht="15" hidden="false" customHeight="false" outlineLevel="0" collapsed="false">
      <c r="A899" s="21" t="s">
        <v>1157</v>
      </c>
      <c r="B899" s="21"/>
      <c r="C899" s="21"/>
      <c r="D899" s="37" t="s">
        <v>84</v>
      </c>
      <c r="E899" s="37" t="s">
        <v>84</v>
      </c>
      <c r="F899" s="37" t="s">
        <v>36</v>
      </c>
      <c r="G899" s="21" t="s">
        <v>1141</v>
      </c>
      <c r="H899" s="21" t="n">
        <v>0</v>
      </c>
      <c r="I899" s="21" t="s">
        <v>137</v>
      </c>
    </row>
    <row r="900" customFormat="false" ht="15" hidden="false" customHeight="false" outlineLevel="0" collapsed="false">
      <c r="A900" s="21" t="s">
        <v>1158</v>
      </c>
      <c r="B900" s="21"/>
      <c r="C900" s="21"/>
      <c r="D900" s="37" t="s">
        <v>84</v>
      </c>
      <c r="E900" s="37" t="s">
        <v>84</v>
      </c>
      <c r="F900" s="37" t="s">
        <v>36</v>
      </c>
      <c r="G900" s="21" t="s">
        <v>1141</v>
      </c>
      <c r="H900" s="21" t="n">
        <v>0</v>
      </c>
      <c r="I900" s="21" t="s">
        <v>137</v>
      </c>
    </row>
    <row r="901" customFormat="false" ht="15" hidden="false" customHeight="false" outlineLevel="0" collapsed="false">
      <c r="A901" s="21" t="s">
        <v>1159</v>
      </c>
      <c r="B901" s="21"/>
      <c r="C901" s="21"/>
      <c r="D901" s="37" t="s">
        <v>84</v>
      </c>
      <c r="E901" s="37" t="s">
        <v>84</v>
      </c>
      <c r="F901" s="37" t="s">
        <v>36</v>
      </c>
      <c r="G901" s="21" t="s">
        <v>1141</v>
      </c>
      <c r="H901" s="21" t="n">
        <v>0</v>
      </c>
      <c r="I901" s="21" t="s">
        <v>137</v>
      </c>
    </row>
    <row r="902" customFormat="false" ht="15" hidden="false" customHeight="false" outlineLevel="0" collapsed="false">
      <c r="A902" s="21" t="s">
        <v>1160</v>
      </c>
      <c r="B902" s="21"/>
      <c r="C902" s="21"/>
      <c r="D902" s="37" t="s">
        <v>84</v>
      </c>
      <c r="E902" s="37" t="s">
        <v>84</v>
      </c>
      <c r="F902" s="37" t="s">
        <v>36</v>
      </c>
      <c r="G902" s="21" t="s">
        <v>1141</v>
      </c>
      <c r="H902" s="21" t="n">
        <v>0</v>
      </c>
      <c r="I902" s="21" t="s">
        <v>137</v>
      </c>
    </row>
    <row r="903" customFormat="false" ht="15" hidden="false" customHeight="false" outlineLevel="0" collapsed="false">
      <c r="A903" s="21" t="s">
        <v>1161</v>
      </c>
      <c r="B903" s="21"/>
      <c r="C903" s="21"/>
      <c r="D903" s="37" t="s">
        <v>84</v>
      </c>
      <c r="E903" s="37" t="s">
        <v>84</v>
      </c>
      <c r="F903" s="37" t="s">
        <v>36</v>
      </c>
      <c r="G903" s="21" t="s">
        <v>1141</v>
      </c>
      <c r="H903" s="21" t="n">
        <v>0</v>
      </c>
      <c r="I903" s="21" t="s">
        <v>137</v>
      </c>
    </row>
    <row r="904" customFormat="false" ht="15" hidden="false" customHeight="false" outlineLevel="0" collapsed="false">
      <c r="A904" s="21" t="s">
        <v>1162</v>
      </c>
      <c r="B904" s="21"/>
      <c r="C904" s="21"/>
      <c r="D904" s="37" t="s">
        <v>84</v>
      </c>
      <c r="E904" s="37" t="s">
        <v>84</v>
      </c>
      <c r="F904" s="37" t="s">
        <v>36</v>
      </c>
      <c r="G904" s="21" t="s">
        <v>1141</v>
      </c>
      <c r="H904" s="21" t="n">
        <v>0</v>
      </c>
      <c r="I904" s="21" t="s">
        <v>137</v>
      </c>
    </row>
    <row r="905" customFormat="false" ht="15" hidden="false" customHeight="false" outlineLevel="0" collapsed="false">
      <c r="A905" s="21" t="s">
        <v>1163</v>
      </c>
      <c r="B905" s="21"/>
      <c r="C905" s="21"/>
      <c r="D905" s="37" t="s">
        <v>84</v>
      </c>
      <c r="E905" s="37" t="s">
        <v>84</v>
      </c>
      <c r="F905" s="37" t="s">
        <v>36</v>
      </c>
      <c r="G905" s="21" t="s">
        <v>1141</v>
      </c>
      <c r="H905" s="21" t="n">
        <v>0</v>
      </c>
      <c r="I905" s="21" t="s">
        <v>137</v>
      </c>
    </row>
    <row r="906" customFormat="false" ht="15" hidden="false" customHeight="false" outlineLevel="0" collapsed="false">
      <c r="A906" s="21" t="s">
        <v>1164</v>
      </c>
      <c r="B906" s="21"/>
      <c r="C906" s="21"/>
      <c r="D906" s="37" t="s">
        <v>84</v>
      </c>
      <c r="E906" s="37" t="s">
        <v>84</v>
      </c>
      <c r="F906" s="37" t="s">
        <v>36</v>
      </c>
      <c r="G906" s="21" t="s">
        <v>1141</v>
      </c>
      <c r="H906" s="21" t="n">
        <v>0</v>
      </c>
      <c r="I906" s="21" t="s">
        <v>137</v>
      </c>
    </row>
    <row r="907" customFormat="false" ht="15" hidden="false" customHeight="false" outlineLevel="0" collapsed="false">
      <c r="A907" s="21" t="s">
        <v>1165</v>
      </c>
      <c r="B907" s="21"/>
      <c r="C907" s="21"/>
      <c r="D907" s="37" t="s">
        <v>84</v>
      </c>
      <c r="E907" s="37" t="s">
        <v>84</v>
      </c>
      <c r="F907" s="37" t="s">
        <v>36</v>
      </c>
      <c r="G907" s="21" t="s">
        <v>1141</v>
      </c>
      <c r="H907" s="21" t="n">
        <v>0</v>
      </c>
      <c r="I907" s="21" t="s">
        <v>137</v>
      </c>
    </row>
    <row r="908" customFormat="false" ht="15" hidden="false" customHeight="false" outlineLevel="0" collapsed="false">
      <c r="A908" s="21" t="s">
        <v>1166</v>
      </c>
      <c r="B908" s="21"/>
      <c r="C908" s="21"/>
      <c r="D908" s="37" t="s">
        <v>84</v>
      </c>
      <c r="E908" s="37" t="s">
        <v>84</v>
      </c>
      <c r="F908" s="37" t="s">
        <v>36</v>
      </c>
      <c r="G908" s="21" t="s">
        <v>1141</v>
      </c>
      <c r="H908" s="21" t="n">
        <v>0</v>
      </c>
      <c r="I908" s="21" t="s">
        <v>137</v>
      </c>
    </row>
    <row r="909" customFormat="false" ht="15" hidden="false" customHeight="false" outlineLevel="0" collapsed="false">
      <c r="A909" s="21" t="s">
        <v>1167</v>
      </c>
      <c r="B909" s="21"/>
      <c r="C909" s="21"/>
      <c r="D909" s="37" t="s">
        <v>84</v>
      </c>
      <c r="E909" s="37" t="s">
        <v>84</v>
      </c>
      <c r="F909" s="37" t="s">
        <v>36</v>
      </c>
      <c r="G909" s="21" t="s">
        <v>1141</v>
      </c>
      <c r="H909" s="21" t="n">
        <v>0</v>
      </c>
      <c r="I909" s="21" t="s">
        <v>137</v>
      </c>
    </row>
    <row r="910" customFormat="false" ht="15" hidden="false" customHeight="false" outlineLevel="0" collapsed="false">
      <c r="A910" s="21" t="s">
        <v>1168</v>
      </c>
      <c r="B910" s="21"/>
      <c r="C910" s="21"/>
      <c r="D910" s="37" t="s">
        <v>84</v>
      </c>
      <c r="E910" s="37" t="s">
        <v>84</v>
      </c>
      <c r="F910" s="37" t="s">
        <v>36</v>
      </c>
      <c r="G910" s="21" t="s">
        <v>1141</v>
      </c>
      <c r="H910" s="21" t="n">
        <v>0</v>
      </c>
      <c r="I910" s="21" t="s">
        <v>137</v>
      </c>
    </row>
    <row r="911" customFormat="false" ht="15" hidden="false" customHeight="false" outlineLevel="0" collapsed="false">
      <c r="A911" s="21" t="s">
        <v>1169</v>
      </c>
      <c r="B911" s="21"/>
      <c r="C911" s="21"/>
      <c r="D911" s="37" t="s">
        <v>84</v>
      </c>
      <c r="E911" s="37" t="s">
        <v>84</v>
      </c>
      <c r="F911" s="37" t="s">
        <v>36</v>
      </c>
      <c r="G911" s="21" t="s">
        <v>1141</v>
      </c>
      <c r="H911" s="21" t="n">
        <v>0</v>
      </c>
      <c r="I911" s="21" t="s">
        <v>137</v>
      </c>
    </row>
    <row r="912" customFormat="false" ht="15" hidden="false" customHeight="false" outlineLevel="0" collapsed="false">
      <c r="A912" s="21" t="s">
        <v>1170</v>
      </c>
      <c r="B912" s="21"/>
      <c r="C912" s="21"/>
      <c r="D912" s="37" t="s">
        <v>84</v>
      </c>
      <c r="E912" s="37" t="s">
        <v>84</v>
      </c>
      <c r="F912" s="37" t="s">
        <v>36</v>
      </c>
      <c r="G912" s="21" t="s">
        <v>1141</v>
      </c>
      <c r="H912" s="21" t="n">
        <v>0</v>
      </c>
      <c r="I912" s="21" t="s">
        <v>137</v>
      </c>
    </row>
    <row r="913" customFormat="false" ht="15" hidden="false" customHeight="false" outlineLevel="0" collapsed="false">
      <c r="A913" s="21" t="s">
        <v>1171</v>
      </c>
      <c r="B913" s="21"/>
      <c r="C913" s="21"/>
      <c r="D913" s="37" t="s">
        <v>84</v>
      </c>
      <c r="E913" s="37" t="s">
        <v>84</v>
      </c>
      <c r="F913" s="37" t="s">
        <v>36</v>
      </c>
      <c r="G913" s="21" t="s">
        <v>1141</v>
      </c>
      <c r="H913" s="21" t="n">
        <v>0</v>
      </c>
      <c r="I913" s="21" t="s">
        <v>137</v>
      </c>
    </row>
    <row r="914" customFormat="false" ht="15" hidden="false" customHeight="false" outlineLevel="0" collapsed="false">
      <c r="A914" s="21" t="s">
        <v>1172</v>
      </c>
      <c r="B914" s="21"/>
      <c r="C914" s="21"/>
      <c r="D914" s="37" t="s">
        <v>84</v>
      </c>
      <c r="E914" s="37" t="s">
        <v>84</v>
      </c>
      <c r="F914" s="37" t="s">
        <v>36</v>
      </c>
      <c r="G914" s="21" t="s">
        <v>1141</v>
      </c>
      <c r="H914" s="21" t="n">
        <v>0</v>
      </c>
      <c r="I914" s="21" t="s">
        <v>137</v>
      </c>
    </row>
    <row r="915" customFormat="false" ht="15" hidden="false" customHeight="false" outlineLevel="0" collapsed="false">
      <c r="A915" s="21" t="s">
        <v>1173</v>
      </c>
      <c r="B915" s="21"/>
      <c r="C915" s="21"/>
      <c r="D915" s="37" t="s">
        <v>84</v>
      </c>
      <c r="E915" s="37" t="s">
        <v>84</v>
      </c>
      <c r="F915" s="37" t="s">
        <v>36</v>
      </c>
      <c r="G915" s="21" t="s">
        <v>1141</v>
      </c>
      <c r="H915" s="21" t="n">
        <v>0</v>
      </c>
      <c r="I915" s="21" t="s">
        <v>137</v>
      </c>
    </row>
    <row r="916" customFormat="false" ht="15" hidden="false" customHeight="false" outlineLevel="0" collapsed="false">
      <c r="A916" s="21" t="s">
        <v>1174</v>
      </c>
      <c r="B916" s="21"/>
      <c r="C916" s="21"/>
      <c r="D916" s="37" t="s">
        <v>84</v>
      </c>
      <c r="E916" s="37" t="s">
        <v>84</v>
      </c>
      <c r="F916" s="37" t="s">
        <v>36</v>
      </c>
      <c r="G916" s="21" t="s">
        <v>1141</v>
      </c>
      <c r="H916" s="21" t="n">
        <v>0</v>
      </c>
      <c r="I916" s="21" t="s">
        <v>137</v>
      </c>
    </row>
    <row r="917" customFormat="false" ht="15" hidden="false" customHeight="false" outlineLevel="0" collapsed="false">
      <c r="A917" s="21" t="s">
        <v>1175</v>
      </c>
      <c r="B917" s="21"/>
      <c r="C917" s="21"/>
      <c r="D917" s="37" t="s">
        <v>84</v>
      </c>
      <c r="E917" s="37" t="s">
        <v>84</v>
      </c>
      <c r="F917" s="37" t="s">
        <v>36</v>
      </c>
      <c r="G917" s="21" t="s">
        <v>1141</v>
      </c>
      <c r="H917" s="21" t="n">
        <v>0</v>
      </c>
      <c r="I917" s="21" t="s">
        <v>137</v>
      </c>
    </row>
    <row r="918" customFormat="false" ht="15" hidden="false" customHeight="false" outlineLevel="0" collapsed="false">
      <c r="A918" s="21" t="s">
        <v>1176</v>
      </c>
      <c r="B918" s="21"/>
      <c r="C918" s="21"/>
      <c r="D918" s="37" t="s">
        <v>84</v>
      </c>
      <c r="E918" s="37" t="s">
        <v>84</v>
      </c>
      <c r="F918" s="37" t="s">
        <v>36</v>
      </c>
      <c r="G918" s="21" t="s">
        <v>1141</v>
      </c>
      <c r="H918" s="21" t="n">
        <v>0</v>
      </c>
      <c r="I918" s="21" t="s">
        <v>137</v>
      </c>
    </row>
    <row r="919" customFormat="false" ht="15" hidden="false" customHeight="false" outlineLevel="0" collapsed="false">
      <c r="A919" s="21" t="s">
        <v>1177</v>
      </c>
      <c r="B919" s="21"/>
      <c r="C919" s="21"/>
      <c r="D919" s="37" t="s">
        <v>84</v>
      </c>
      <c r="E919" s="37" t="s">
        <v>84</v>
      </c>
      <c r="F919" s="37" t="s">
        <v>36</v>
      </c>
      <c r="G919" s="21" t="s">
        <v>1141</v>
      </c>
      <c r="H919" s="21" t="n">
        <v>0</v>
      </c>
      <c r="I919" s="21" t="s">
        <v>137</v>
      </c>
    </row>
    <row r="920" customFormat="false" ht="15" hidden="false" customHeight="false" outlineLevel="0" collapsed="false">
      <c r="A920" s="21" t="s">
        <v>1178</v>
      </c>
      <c r="B920" s="21"/>
      <c r="C920" s="21"/>
      <c r="D920" s="37" t="s">
        <v>84</v>
      </c>
      <c r="E920" s="37" t="s">
        <v>84</v>
      </c>
      <c r="F920" s="37" t="s">
        <v>36</v>
      </c>
      <c r="G920" s="21" t="s">
        <v>1141</v>
      </c>
      <c r="H920" s="21" t="n">
        <v>0</v>
      </c>
      <c r="I920" s="21" t="s">
        <v>137</v>
      </c>
    </row>
    <row r="921" customFormat="false" ht="15" hidden="false" customHeight="false" outlineLevel="0" collapsed="false">
      <c r="A921" s="21" t="s">
        <v>1179</v>
      </c>
      <c r="B921" s="21"/>
      <c r="C921" s="21"/>
      <c r="D921" s="37" t="s">
        <v>84</v>
      </c>
      <c r="E921" s="37" t="s">
        <v>84</v>
      </c>
      <c r="F921" s="37" t="s">
        <v>36</v>
      </c>
      <c r="G921" s="21" t="s">
        <v>1141</v>
      </c>
      <c r="H921" s="21" t="n">
        <v>0</v>
      </c>
      <c r="I921" s="21" t="s">
        <v>137</v>
      </c>
    </row>
    <row r="922" customFormat="false" ht="15" hidden="false" customHeight="false" outlineLevel="0" collapsed="false">
      <c r="A922" s="21" t="s">
        <v>1180</v>
      </c>
      <c r="B922" s="21"/>
      <c r="C922" s="21"/>
      <c r="D922" s="37" t="s">
        <v>84</v>
      </c>
      <c r="E922" s="37" t="s">
        <v>84</v>
      </c>
      <c r="F922" s="37" t="s">
        <v>36</v>
      </c>
      <c r="G922" s="21" t="s">
        <v>1141</v>
      </c>
      <c r="H922" s="21" t="n">
        <v>0</v>
      </c>
      <c r="I922" s="21" t="s">
        <v>137</v>
      </c>
    </row>
    <row r="923" customFormat="false" ht="15" hidden="false" customHeight="false" outlineLevel="0" collapsed="false">
      <c r="A923" s="21" t="s">
        <v>1181</v>
      </c>
      <c r="B923" s="21"/>
      <c r="C923" s="21"/>
      <c r="D923" s="37" t="s">
        <v>84</v>
      </c>
      <c r="E923" s="37" t="s">
        <v>84</v>
      </c>
      <c r="F923" s="37" t="s">
        <v>36</v>
      </c>
      <c r="G923" s="21" t="s">
        <v>1141</v>
      </c>
      <c r="H923" s="21" t="n">
        <v>0</v>
      </c>
      <c r="I923" s="21" t="s">
        <v>137</v>
      </c>
    </row>
    <row r="924" customFormat="false" ht="15" hidden="false" customHeight="false" outlineLevel="0" collapsed="false">
      <c r="A924" s="21" t="s">
        <v>1182</v>
      </c>
      <c r="B924" s="21"/>
      <c r="C924" s="21"/>
      <c r="D924" s="37" t="s">
        <v>84</v>
      </c>
      <c r="E924" s="37" t="s">
        <v>84</v>
      </c>
      <c r="F924" s="37" t="s">
        <v>36</v>
      </c>
      <c r="G924" s="21" t="s">
        <v>1141</v>
      </c>
      <c r="H924" s="21" t="n">
        <v>0</v>
      </c>
      <c r="I924" s="21" t="s">
        <v>137</v>
      </c>
    </row>
    <row r="925" customFormat="false" ht="15" hidden="false" customHeight="false" outlineLevel="0" collapsed="false">
      <c r="A925" s="21" t="s">
        <v>1183</v>
      </c>
      <c r="B925" s="21"/>
      <c r="C925" s="21"/>
      <c r="D925" s="37" t="s">
        <v>84</v>
      </c>
      <c r="E925" s="37" t="s">
        <v>84</v>
      </c>
      <c r="F925" s="37" t="s">
        <v>36</v>
      </c>
      <c r="G925" s="21" t="s">
        <v>1141</v>
      </c>
      <c r="H925" s="21" t="n">
        <v>0</v>
      </c>
      <c r="I925" s="21" t="s">
        <v>137</v>
      </c>
    </row>
    <row r="926" customFormat="false" ht="15" hidden="false" customHeight="false" outlineLevel="0" collapsed="false">
      <c r="A926" s="21" t="s">
        <v>1184</v>
      </c>
      <c r="B926" s="21"/>
      <c r="C926" s="21"/>
      <c r="D926" s="37" t="s">
        <v>84</v>
      </c>
      <c r="E926" s="37" t="s">
        <v>84</v>
      </c>
      <c r="F926" s="37" t="s">
        <v>36</v>
      </c>
      <c r="G926" s="21" t="s">
        <v>1141</v>
      </c>
      <c r="H926" s="21" t="n">
        <v>0</v>
      </c>
      <c r="I926" s="21" t="s">
        <v>137</v>
      </c>
    </row>
    <row r="927" customFormat="false" ht="15" hidden="false" customHeight="false" outlineLevel="0" collapsed="false">
      <c r="A927" s="21" t="s">
        <v>1185</v>
      </c>
      <c r="B927" s="21"/>
      <c r="C927" s="21"/>
      <c r="D927" s="37" t="s">
        <v>84</v>
      </c>
      <c r="E927" s="37" t="s">
        <v>84</v>
      </c>
      <c r="F927" s="37" t="s">
        <v>36</v>
      </c>
      <c r="G927" s="21" t="s">
        <v>1141</v>
      </c>
      <c r="H927" s="21" t="n">
        <v>0</v>
      </c>
      <c r="I927" s="21" t="s">
        <v>137</v>
      </c>
    </row>
    <row r="928" customFormat="false" ht="15" hidden="false" customHeight="false" outlineLevel="0" collapsed="false">
      <c r="A928" s="21" t="s">
        <v>1186</v>
      </c>
      <c r="B928" s="21"/>
      <c r="C928" s="21"/>
      <c r="D928" s="37" t="s">
        <v>84</v>
      </c>
      <c r="E928" s="37" t="s">
        <v>84</v>
      </c>
      <c r="F928" s="37" t="s">
        <v>36</v>
      </c>
      <c r="G928" s="21" t="s">
        <v>1141</v>
      </c>
      <c r="H928" s="21" t="n">
        <v>0</v>
      </c>
      <c r="I928" s="21" t="s">
        <v>137</v>
      </c>
    </row>
    <row r="929" customFormat="false" ht="15" hidden="false" customHeight="false" outlineLevel="0" collapsed="false">
      <c r="A929" s="21" t="s">
        <v>1187</v>
      </c>
      <c r="B929" s="21"/>
      <c r="C929" s="21"/>
      <c r="D929" s="37" t="s">
        <v>84</v>
      </c>
      <c r="E929" s="37" t="s">
        <v>84</v>
      </c>
      <c r="F929" s="37" t="s">
        <v>36</v>
      </c>
      <c r="G929" s="21" t="s">
        <v>1141</v>
      </c>
      <c r="H929" s="21" t="n">
        <v>0</v>
      </c>
      <c r="I929" s="21" t="s">
        <v>137</v>
      </c>
    </row>
    <row r="930" customFormat="false" ht="15" hidden="false" customHeight="false" outlineLevel="0" collapsed="false">
      <c r="A930" s="21" t="s">
        <v>1188</v>
      </c>
      <c r="B930" s="21"/>
      <c r="C930" s="21"/>
      <c r="D930" s="37" t="s">
        <v>84</v>
      </c>
      <c r="E930" s="37" t="s">
        <v>84</v>
      </c>
      <c r="F930" s="37" t="s">
        <v>36</v>
      </c>
      <c r="G930" s="21" t="s">
        <v>1141</v>
      </c>
      <c r="H930" s="21" t="n">
        <v>0</v>
      </c>
      <c r="I930" s="21" t="s">
        <v>137</v>
      </c>
    </row>
    <row r="931" customFormat="false" ht="15" hidden="false" customHeight="false" outlineLevel="0" collapsed="false">
      <c r="A931" s="21" t="s">
        <v>1189</v>
      </c>
      <c r="B931" s="21"/>
      <c r="C931" s="21"/>
      <c r="D931" s="37" t="s">
        <v>84</v>
      </c>
      <c r="E931" s="37" t="s">
        <v>84</v>
      </c>
      <c r="F931" s="37" t="s">
        <v>36</v>
      </c>
      <c r="G931" s="21" t="s">
        <v>1141</v>
      </c>
      <c r="H931" s="21" t="n">
        <v>0</v>
      </c>
      <c r="I931" s="21" t="s">
        <v>137</v>
      </c>
    </row>
    <row r="932" customFormat="false" ht="15" hidden="false" customHeight="false" outlineLevel="0" collapsed="false">
      <c r="A932" s="21" t="s">
        <v>1190</v>
      </c>
      <c r="B932" s="21"/>
      <c r="C932" s="21"/>
      <c r="D932" s="37" t="s">
        <v>84</v>
      </c>
      <c r="E932" s="37" t="s">
        <v>84</v>
      </c>
      <c r="F932" s="37" t="s">
        <v>36</v>
      </c>
      <c r="G932" s="21" t="s">
        <v>1141</v>
      </c>
      <c r="H932" s="21" t="n">
        <v>0</v>
      </c>
      <c r="I932" s="21" t="s">
        <v>137</v>
      </c>
    </row>
    <row r="933" customFormat="false" ht="15" hidden="false" customHeight="false" outlineLevel="0" collapsed="false">
      <c r="A933" s="21" t="s">
        <v>1191</v>
      </c>
      <c r="B933" s="21"/>
      <c r="C933" s="21"/>
      <c r="D933" s="37" t="s">
        <v>84</v>
      </c>
      <c r="E933" s="37" t="s">
        <v>84</v>
      </c>
      <c r="F933" s="37" t="s">
        <v>36</v>
      </c>
      <c r="G933" s="21" t="s">
        <v>1141</v>
      </c>
      <c r="H933" s="21" t="n">
        <v>0</v>
      </c>
      <c r="I933" s="21" t="s">
        <v>137</v>
      </c>
    </row>
    <row r="934" customFormat="false" ht="15" hidden="false" customHeight="false" outlineLevel="0" collapsed="false">
      <c r="A934" s="21" t="s">
        <v>1192</v>
      </c>
      <c r="B934" s="21"/>
      <c r="C934" s="21"/>
      <c r="D934" s="37" t="s">
        <v>84</v>
      </c>
      <c r="E934" s="37" t="s">
        <v>84</v>
      </c>
      <c r="F934" s="37" t="s">
        <v>36</v>
      </c>
      <c r="G934" s="21" t="s">
        <v>1141</v>
      </c>
      <c r="H934" s="21" t="n">
        <v>0</v>
      </c>
      <c r="I934" s="21" t="s">
        <v>137</v>
      </c>
    </row>
    <row r="935" customFormat="false" ht="15" hidden="false" customHeight="false" outlineLevel="0" collapsed="false">
      <c r="A935" s="21" t="s">
        <v>1193</v>
      </c>
      <c r="B935" s="21"/>
      <c r="C935" s="21"/>
      <c r="D935" s="37" t="s">
        <v>84</v>
      </c>
      <c r="E935" s="37" t="s">
        <v>84</v>
      </c>
      <c r="F935" s="37" t="s">
        <v>36</v>
      </c>
      <c r="G935" s="21" t="s">
        <v>1141</v>
      </c>
      <c r="H935" s="21" t="n">
        <v>0</v>
      </c>
      <c r="I935" s="21" t="s">
        <v>137</v>
      </c>
    </row>
    <row r="936" customFormat="false" ht="15" hidden="false" customHeight="false" outlineLevel="0" collapsed="false">
      <c r="A936" s="21" t="s">
        <v>1194</v>
      </c>
      <c r="B936" s="21"/>
      <c r="C936" s="21"/>
      <c r="D936" s="37" t="s">
        <v>84</v>
      </c>
      <c r="E936" s="37" t="s">
        <v>84</v>
      </c>
      <c r="F936" s="37" t="s">
        <v>36</v>
      </c>
      <c r="G936" s="21" t="s">
        <v>1141</v>
      </c>
      <c r="H936" s="21" t="n">
        <v>0</v>
      </c>
      <c r="I936" s="21" t="s">
        <v>137</v>
      </c>
    </row>
    <row r="937" customFormat="false" ht="15" hidden="false" customHeight="false" outlineLevel="0" collapsed="false">
      <c r="A937" s="21" t="s">
        <v>1195</v>
      </c>
      <c r="B937" s="21"/>
      <c r="C937" s="21"/>
      <c r="D937" s="37" t="s">
        <v>84</v>
      </c>
      <c r="E937" s="37" t="s">
        <v>84</v>
      </c>
      <c r="F937" s="37" t="s">
        <v>36</v>
      </c>
      <c r="G937" s="21" t="s">
        <v>1141</v>
      </c>
      <c r="H937" s="21" t="n">
        <v>0</v>
      </c>
      <c r="I937" s="21" t="s">
        <v>137</v>
      </c>
    </row>
    <row r="938" customFormat="false" ht="15" hidden="false" customHeight="false" outlineLevel="0" collapsed="false">
      <c r="A938" s="21" t="s">
        <v>1196</v>
      </c>
      <c r="B938" s="21"/>
      <c r="C938" s="21"/>
      <c r="D938" s="37" t="s">
        <v>84</v>
      </c>
      <c r="E938" s="37" t="s">
        <v>84</v>
      </c>
      <c r="F938" s="37" t="s">
        <v>36</v>
      </c>
      <c r="G938" s="21" t="s">
        <v>1141</v>
      </c>
      <c r="H938" s="21" t="n">
        <v>0</v>
      </c>
      <c r="I938" s="21" t="s">
        <v>137</v>
      </c>
    </row>
    <row r="939" customFormat="false" ht="15" hidden="false" customHeight="false" outlineLevel="0" collapsed="false">
      <c r="A939" s="21" t="s">
        <v>1197</v>
      </c>
      <c r="B939" s="21"/>
      <c r="C939" s="21"/>
      <c r="D939" s="37" t="s">
        <v>84</v>
      </c>
      <c r="E939" s="37" t="s">
        <v>84</v>
      </c>
      <c r="F939" s="37" t="s">
        <v>36</v>
      </c>
      <c r="G939" s="21" t="s">
        <v>1141</v>
      </c>
      <c r="H939" s="21" t="n">
        <v>0</v>
      </c>
      <c r="I939" s="21" t="s">
        <v>137</v>
      </c>
    </row>
    <row r="940" customFormat="false" ht="15" hidden="false" customHeight="false" outlineLevel="0" collapsed="false">
      <c r="A940" s="21" t="s">
        <v>1198</v>
      </c>
      <c r="B940" s="21" t="s">
        <v>1026</v>
      </c>
      <c r="C940" s="21"/>
      <c r="D940" s="37" t="s">
        <v>84</v>
      </c>
      <c r="E940" s="37" t="s">
        <v>84</v>
      </c>
      <c r="F940" s="37" t="s">
        <v>36</v>
      </c>
      <c r="G940" s="21" t="s">
        <v>445</v>
      </c>
      <c r="H940" s="21" t="n">
        <v>0</v>
      </c>
      <c r="I940" s="21" t="s">
        <v>137</v>
      </c>
    </row>
    <row r="941" customFormat="false" ht="15" hidden="false" customHeight="false" outlineLevel="0" collapsed="false">
      <c r="A941" s="21" t="s">
        <v>1199</v>
      </c>
      <c r="B941" s="21" t="s">
        <v>1026</v>
      </c>
      <c r="C941" s="21"/>
      <c r="D941" s="37" t="s">
        <v>84</v>
      </c>
      <c r="E941" s="37" t="s">
        <v>84</v>
      </c>
      <c r="F941" s="37" t="s">
        <v>36</v>
      </c>
      <c r="G941" s="21" t="s">
        <v>445</v>
      </c>
      <c r="H941" s="21" t="n">
        <v>0</v>
      </c>
      <c r="I941" s="21" t="s">
        <v>137</v>
      </c>
    </row>
    <row r="942" customFormat="false" ht="15" hidden="false" customHeight="false" outlineLevel="0" collapsed="false">
      <c r="A942" s="21" t="s">
        <v>1200</v>
      </c>
      <c r="B942" s="21" t="s">
        <v>1026</v>
      </c>
      <c r="C942" s="21"/>
      <c r="D942" s="37" t="s">
        <v>211</v>
      </c>
      <c r="E942" s="37" t="s">
        <v>26</v>
      </c>
      <c r="F942" s="37" t="s">
        <v>36</v>
      </c>
      <c r="G942" s="21" t="s">
        <v>445</v>
      </c>
      <c r="H942" s="21" t="n">
        <v>0</v>
      </c>
      <c r="I942" s="21" t="s">
        <v>137</v>
      </c>
    </row>
    <row r="943" customFormat="false" ht="15" hidden="false" customHeight="false" outlineLevel="0" collapsed="false">
      <c r="A943" s="21" t="s">
        <v>1201</v>
      </c>
      <c r="B943" s="21"/>
      <c r="C943" s="21"/>
      <c r="D943" s="37" t="s">
        <v>211</v>
      </c>
      <c r="E943" s="37" t="s">
        <v>26</v>
      </c>
      <c r="F943" s="37" t="s">
        <v>36</v>
      </c>
      <c r="G943" s="21" t="s">
        <v>450</v>
      </c>
      <c r="H943" s="21" t="n">
        <v>0</v>
      </c>
      <c r="I943" s="21" t="s">
        <v>137</v>
      </c>
    </row>
    <row r="944" customFormat="false" ht="15" hidden="false" customHeight="false" outlineLevel="0" collapsed="false">
      <c r="A944" s="21" t="s">
        <v>1202</v>
      </c>
      <c r="B944" s="21"/>
      <c r="C944" s="21"/>
      <c r="D944" s="37" t="s">
        <v>84</v>
      </c>
      <c r="E944" s="37" t="s">
        <v>84</v>
      </c>
      <c r="F944" s="37" t="s">
        <v>36</v>
      </c>
      <c r="G944" s="21" t="s">
        <v>450</v>
      </c>
      <c r="H944" s="21" t="n">
        <v>0</v>
      </c>
      <c r="I944" s="21" t="s">
        <v>137</v>
      </c>
    </row>
    <row r="945" customFormat="false" ht="15" hidden="false" customHeight="false" outlineLevel="0" collapsed="false">
      <c r="A945" s="21" t="s">
        <v>1203</v>
      </c>
      <c r="B945" s="21" t="s">
        <v>1028</v>
      </c>
      <c r="C945" s="21"/>
      <c r="D945" s="37" t="s">
        <v>84</v>
      </c>
      <c r="E945" s="37" t="s">
        <v>84</v>
      </c>
      <c r="F945" s="37" t="s">
        <v>36</v>
      </c>
      <c r="G945" s="21" t="s">
        <v>445</v>
      </c>
      <c r="H945" s="21" t="n">
        <v>0</v>
      </c>
      <c r="I945" s="21" t="s">
        <v>137</v>
      </c>
    </row>
    <row r="946" customFormat="false" ht="15" hidden="false" customHeight="false" outlineLevel="0" collapsed="false">
      <c r="A946" s="21" t="s">
        <v>1204</v>
      </c>
      <c r="B946" s="21" t="s">
        <v>1026</v>
      </c>
      <c r="C946" s="21"/>
      <c r="D946" s="37" t="s">
        <v>84</v>
      </c>
      <c r="E946" s="37" t="s">
        <v>84</v>
      </c>
      <c r="F946" s="37" t="s">
        <v>36</v>
      </c>
      <c r="G946" s="21" t="s">
        <v>445</v>
      </c>
      <c r="H946" s="21" t="n">
        <v>0</v>
      </c>
      <c r="I946" s="21" t="s">
        <v>137</v>
      </c>
    </row>
    <row r="947" customFormat="false" ht="15" hidden="false" customHeight="false" outlineLevel="0" collapsed="false">
      <c r="A947" s="21" t="s">
        <v>1205</v>
      </c>
      <c r="B947" s="21" t="s">
        <v>1028</v>
      </c>
      <c r="C947" s="21"/>
      <c r="D947" s="37" t="s">
        <v>84</v>
      </c>
      <c r="E947" s="37" t="s">
        <v>84</v>
      </c>
      <c r="F947" s="37" t="s">
        <v>36</v>
      </c>
      <c r="G947" s="21" t="s">
        <v>445</v>
      </c>
      <c r="H947" s="21" t="n">
        <v>0</v>
      </c>
      <c r="I947" s="21" t="s">
        <v>137</v>
      </c>
    </row>
    <row r="948" customFormat="false" ht="15" hidden="false" customHeight="false" outlineLevel="0" collapsed="false">
      <c r="A948" s="21" t="s">
        <v>1206</v>
      </c>
      <c r="B948" s="21" t="s">
        <v>1026</v>
      </c>
      <c r="C948" s="21"/>
      <c r="D948" s="37" t="s">
        <v>84</v>
      </c>
      <c r="E948" s="37" t="s">
        <v>84</v>
      </c>
      <c r="F948" s="37" t="s">
        <v>36</v>
      </c>
      <c r="G948" s="21" t="s">
        <v>445</v>
      </c>
      <c r="H948" s="21" t="n">
        <v>0</v>
      </c>
      <c r="I948" s="21" t="s">
        <v>137</v>
      </c>
    </row>
    <row r="949" customFormat="false" ht="15" hidden="false" customHeight="false" outlineLevel="0" collapsed="false">
      <c r="A949" s="21" t="s">
        <v>1207</v>
      </c>
      <c r="B949" s="21" t="s">
        <v>1028</v>
      </c>
      <c r="C949" s="21"/>
      <c r="D949" s="37" t="s">
        <v>84</v>
      </c>
      <c r="E949" s="37" t="s">
        <v>84</v>
      </c>
      <c r="F949" s="37" t="s">
        <v>36</v>
      </c>
      <c r="G949" s="21" t="s">
        <v>445</v>
      </c>
      <c r="H949" s="21" t="n">
        <v>0</v>
      </c>
      <c r="I949" s="21" t="s">
        <v>137</v>
      </c>
    </row>
    <row r="950" customFormat="false" ht="15" hidden="false" customHeight="false" outlineLevel="0" collapsed="false">
      <c r="A950" s="21" t="s">
        <v>1208</v>
      </c>
      <c r="B950" s="21" t="s">
        <v>1028</v>
      </c>
      <c r="C950" s="21"/>
      <c r="D950" s="37" t="s">
        <v>84</v>
      </c>
      <c r="E950" s="37" t="s">
        <v>84</v>
      </c>
      <c r="F950" s="37" t="s">
        <v>36</v>
      </c>
      <c r="G950" s="21" t="s">
        <v>445</v>
      </c>
      <c r="H950" s="21" t="n">
        <v>0</v>
      </c>
      <c r="I950" s="21" t="s">
        <v>137</v>
      </c>
    </row>
    <row r="951" customFormat="false" ht="15" hidden="false" customHeight="false" outlineLevel="0" collapsed="false">
      <c r="A951" s="21" t="s">
        <v>1209</v>
      </c>
      <c r="B951" s="21" t="s">
        <v>1028</v>
      </c>
      <c r="C951" s="21"/>
      <c r="D951" s="37" t="s">
        <v>84</v>
      </c>
      <c r="E951" s="37" t="s">
        <v>84</v>
      </c>
      <c r="F951" s="37" t="s">
        <v>36</v>
      </c>
      <c r="G951" s="21" t="s">
        <v>445</v>
      </c>
      <c r="H951" s="21" t="n">
        <v>0</v>
      </c>
      <c r="I951" s="21" t="s">
        <v>137</v>
      </c>
    </row>
    <row r="952" customFormat="false" ht="15" hidden="false" customHeight="false" outlineLevel="0" collapsed="false">
      <c r="A952" s="21" t="s">
        <v>1210</v>
      </c>
      <c r="B952" s="21" t="s">
        <v>1028</v>
      </c>
      <c r="C952" s="21"/>
      <c r="D952" s="37" t="s">
        <v>84</v>
      </c>
      <c r="E952" s="37" t="s">
        <v>84</v>
      </c>
      <c r="F952" s="37" t="s">
        <v>36</v>
      </c>
      <c r="G952" s="21" t="s">
        <v>445</v>
      </c>
      <c r="H952" s="21" t="n">
        <v>0</v>
      </c>
      <c r="I952" s="21" t="s">
        <v>137</v>
      </c>
    </row>
    <row r="953" customFormat="false" ht="15" hidden="false" customHeight="false" outlineLevel="0" collapsed="false">
      <c r="A953" s="21" t="s">
        <v>1211</v>
      </c>
      <c r="B953" s="21" t="s">
        <v>1028</v>
      </c>
      <c r="C953" s="21"/>
      <c r="D953" s="37" t="s">
        <v>84</v>
      </c>
      <c r="E953" s="37" t="s">
        <v>84</v>
      </c>
      <c r="F953" s="37" t="s">
        <v>36</v>
      </c>
      <c r="G953" s="21" t="s">
        <v>445</v>
      </c>
      <c r="H953" s="21" t="n">
        <v>0</v>
      </c>
      <c r="I953" s="21" t="s">
        <v>137</v>
      </c>
    </row>
    <row r="954" customFormat="false" ht="15" hidden="false" customHeight="false" outlineLevel="0" collapsed="false">
      <c r="A954" s="21" t="s">
        <v>1212</v>
      </c>
      <c r="B954" s="21" t="s">
        <v>1213</v>
      </c>
      <c r="C954" s="21"/>
      <c r="D954" s="37" t="s">
        <v>84</v>
      </c>
      <c r="E954" s="37" t="s">
        <v>84</v>
      </c>
      <c r="F954" s="37" t="s">
        <v>36</v>
      </c>
      <c r="G954" s="21" t="s">
        <v>505</v>
      </c>
      <c r="H954" s="21" t="n">
        <v>0</v>
      </c>
      <c r="I954" s="21" t="s">
        <v>137</v>
      </c>
    </row>
    <row r="955" customFormat="false" ht="15" hidden="false" customHeight="false" outlineLevel="0" collapsed="false">
      <c r="A955" s="21" t="s">
        <v>1214</v>
      </c>
      <c r="B955" s="21" t="s">
        <v>1028</v>
      </c>
      <c r="C955" s="21"/>
      <c r="D955" s="37" t="s">
        <v>84</v>
      </c>
      <c r="E955" s="37" t="s">
        <v>84</v>
      </c>
      <c r="F955" s="37" t="s">
        <v>36</v>
      </c>
      <c r="G955" s="21" t="s">
        <v>445</v>
      </c>
      <c r="H955" s="21" t="n">
        <v>0</v>
      </c>
      <c r="I955" s="21" t="s">
        <v>137</v>
      </c>
    </row>
    <row r="956" customFormat="false" ht="15" hidden="false" customHeight="false" outlineLevel="0" collapsed="false">
      <c r="A956" s="21" t="s">
        <v>1215</v>
      </c>
      <c r="B956" s="21" t="s">
        <v>1026</v>
      </c>
      <c r="C956" s="21"/>
      <c r="D956" s="37" t="s">
        <v>84</v>
      </c>
      <c r="E956" s="37" t="s">
        <v>84</v>
      </c>
      <c r="F956" s="37" t="s">
        <v>36</v>
      </c>
      <c r="G956" s="21" t="s">
        <v>445</v>
      </c>
      <c r="H956" s="21" t="n">
        <v>0</v>
      </c>
      <c r="I956" s="21" t="s">
        <v>137</v>
      </c>
    </row>
    <row r="957" customFormat="false" ht="15" hidden="false" customHeight="false" outlineLevel="0" collapsed="false">
      <c r="A957" s="21" t="s">
        <v>1216</v>
      </c>
      <c r="B957" s="21" t="s">
        <v>1028</v>
      </c>
      <c r="C957" s="21"/>
      <c r="D957" s="37" t="s">
        <v>84</v>
      </c>
      <c r="E957" s="37" t="s">
        <v>84</v>
      </c>
      <c r="F957" s="37" t="s">
        <v>36</v>
      </c>
      <c r="G957" s="21" t="s">
        <v>445</v>
      </c>
      <c r="H957" s="21" t="n">
        <v>0</v>
      </c>
      <c r="I957" s="21" t="s">
        <v>137</v>
      </c>
    </row>
    <row r="958" customFormat="false" ht="15" hidden="false" customHeight="false" outlineLevel="0" collapsed="false">
      <c r="A958" s="21" t="s">
        <v>1217</v>
      </c>
      <c r="B958" s="21" t="s">
        <v>1026</v>
      </c>
      <c r="C958" s="21"/>
      <c r="D958" s="37" t="s">
        <v>84</v>
      </c>
      <c r="E958" s="37" t="s">
        <v>84</v>
      </c>
      <c r="F958" s="37" t="s">
        <v>36</v>
      </c>
      <c r="G958" s="21" t="s">
        <v>445</v>
      </c>
      <c r="H958" s="21" t="n">
        <v>0</v>
      </c>
      <c r="I958" s="21" t="s">
        <v>137</v>
      </c>
    </row>
    <row r="959" customFormat="false" ht="15" hidden="false" customHeight="false" outlineLevel="0" collapsed="false">
      <c r="A959" s="21" t="s">
        <v>1218</v>
      </c>
      <c r="B959" s="21" t="s">
        <v>1026</v>
      </c>
      <c r="C959" s="21"/>
      <c r="D959" s="37" t="s">
        <v>84</v>
      </c>
      <c r="E959" s="37" t="s">
        <v>84</v>
      </c>
      <c r="F959" s="37" t="s">
        <v>36</v>
      </c>
      <c r="G959" s="21" t="s">
        <v>445</v>
      </c>
      <c r="H959" s="21" t="n">
        <v>0</v>
      </c>
      <c r="I959" s="21" t="s">
        <v>137</v>
      </c>
    </row>
    <row r="960" customFormat="false" ht="15" hidden="false" customHeight="false" outlineLevel="0" collapsed="false">
      <c r="A960" s="21" t="s">
        <v>1219</v>
      </c>
      <c r="B960" s="21" t="s">
        <v>1026</v>
      </c>
      <c r="C960" s="21"/>
      <c r="D960" s="37" t="s">
        <v>84</v>
      </c>
      <c r="E960" s="37" t="s">
        <v>84</v>
      </c>
      <c r="F960" s="37" t="s">
        <v>36</v>
      </c>
      <c r="G960" s="21" t="s">
        <v>445</v>
      </c>
      <c r="H960" s="21" t="n">
        <v>0</v>
      </c>
      <c r="I960" s="21" t="s">
        <v>137</v>
      </c>
    </row>
    <row r="961" customFormat="false" ht="15" hidden="false" customHeight="false" outlineLevel="0" collapsed="false">
      <c r="A961" s="21" t="s">
        <v>1220</v>
      </c>
      <c r="B961" s="21" t="s">
        <v>1026</v>
      </c>
      <c r="C961" s="21"/>
      <c r="D961" s="37" t="s">
        <v>84</v>
      </c>
      <c r="E961" s="37" t="s">
        <v>84</v>
      </c>
      <c r="F961" s="37" t="s">
        <v>36</v>
      </c>
      <c r="G961" s="21" t="s">
        <v>445</v>
      </c>
      <c r="H961" s="21" t="n">
        <v>0</v>
      </c>
      <c r="I961" s="21" t="s">
        <v>137</v>
      </c>
    </row>
    <row r="962" customFormat="false" ht="15" hidden="false" customHeight="false" outlineLevel="0" collapsed="false">
      <c r="A962" s="21" t="s">
        <v>1221</v>
      </c>
      <c r="B962" s="21" t="s">
        <v>1026</v>
      </c>
      <c r="C962" s="21"/>
      <c r="D962" s="37" t="s">
        <v>84</v>
      </c>
      <c r="E962" s="37" t="s">
        <v>84</v>
      </c>
      <c r="F962" s="37" t="s">
        <v>36</v>
      </c>
      <c r="G962" s="21" t="s">
        <v>445</v>
      </c>
      <c r="H962" s="21" t="n">
        <v>0</v>
      </c>
      <c r="I962" s="21" t="s">
        <v>137</v>
      </c>
    </row>
    <row r="963" customFormat="false" ht="15" hidden="false" customHeight="false" outlineLevel="0" collapsed="false">
      <c r="A963" s="21" t="s">
        <v>1222</v>
      </c>
      <c r="B963" s="21" t="s">
        <v>1026</v>
      </c>
      <c r="C963" s="21"/>
      <c r="D963" s="37" t="s">
        <v>84</v>
      </c>
      <c r="E963" s="37" t="s">
        <v>84</v>
      </c>
      <c r="F963" s="37" t="s">
        <v>36</v>
      </c>
      <c r="G963" s="21" t="s">
        <v>445</v>
      </c>
      <c r="H963" s="21" t="n">
        <v>0</v>
      </c>
      <c r="I963" s="21" t="s">
        <v>137</v>
      </c>
    </row>
    <row r="964" customFormat="false" ht="15" hidden="false" customHeight="false" outlineLevel="0" collapsed="false">
      <c r="A964" s="21" t="s">
        <v>1223</v>
      </c>
      <c r="B964" s="21" t="s">
        <v>1028</v>
      </c>
      <c r="C964" s="21"/>
      <c r="D964" s="37" t="s">
        <v>84</v>
      </c>
      <c r="E964" s="37" t="s">
        <v>84</v>
      </c>
      <c r="F964" s="37" t="s">
        <v>36</v>
      </c>
      <c r="G964" s="21" t="s">
        <v>445</v>
      </c>
      <c r="H964" s="21" t="n">
        <v>0</v>
      </c>
      <c r="I964" s="21" t="s">
        <v>137</v>
      </c>
    </row>
    <row r="965" customFormat="false" ht="15" hidden="false" customHeight="false" outlineLevel="0" collapsed="false">
      <c r="A965" s="21" t="s">
        <v>1224</v>
      </c>
      <c r="B965" s="21" t="s">
        <v>1028</v>
      </c>
      <c r="C965" s="21"/>
      <c r="D965" s="37" t="s">
        <v>84</v>
      </c>
      <c r="E965" s="37" t="s">
        <v>84</v>
      </c>
      <c r="F965" s="37" t="s">
        <v>36</v>
      </c>
      <c r="G965" s="21" t="s">
        <v>445</v>
      </c>
      <c r="H965" s="21" t="n">
        <v>0</v>
      </c>
      <c r="I965" s="21" t="s">
        <v>137</v>
      </c>
    </row>
    <row r="966" customFormat="false" ht="15" hidden="false" customHeight="false" outlineLevel="0" collapsed="false">
      <c r="A966" s="21" t="s">
        <v>1225</v>
      </c>
      <c r="B966" s="21" t="s">
        <v>1028</v>
      </c>
      <c r="C966" s="21"/>
      <c r="D966" s="37" t="s">
        <v>84</v>
      </c>
      <c r="E966" s="37" t="s">
        <v>84</v>
      </c>
      <c r="F966" s="37" t="s">
        <v>36</v>
      </c>
      <c r="G966" s="21" t="s">
        <v>445</v>
      </c>
      <c r="H966" s="21" t="n">
        <v>0</v>
      </c>
      <c r="I966" s="21" t="s">
        <v>137</v>
      </c>
    </row>
    <row r="967" customFormat="false" ht="15" hidden="false" customHeight="false" outlineLevel="0" collapsed="false">
      <c r="A967" s="21" t="s">
        <v>1226</v>
      </c>
      <c r="B967" s="21" t="s">
        <v>1026</v>
      </c>
      <c r="C967" s="21"/>
      <c r="D967" s="37" t="s">
        <v>84</v>
      </c>
      <c r="E967" s="37" t="s">
        <v>84</v>
      </c>
      <c r="F967" s="37" t="s">
        <v>36</v>
      </c>
      <c r="G967" s="21" t="s">
        <v>445</v>
      </c>
      <c r="H967" s="21" t="n">
        <v>0</v>
      </c>
      <c r="I967" s="21" t="s">
        <v>137</v>
      </c>
    </row>
    <row r="968" customFormat="false" ht="15" hidden="false" customHeight="false" outlineLevel="0" collapsed="false">
      <c r="A968" s="21" t="s">
        <v>1227</v>
      </c>
      <c r="B968" s="21" t="s">
        <v>1032</v>
      </c>
      <c r="C968" s="21"/>
      <c r="D968" s="37" t="s">
        <v>84</v>
      </c>
      <c r="E968" s="37" t="s">
        <v>84</v>
      </c>
      <c r="F968" s="37" t="s">
        <v>36</v>
      </c>
      <c r="G968" s="21" t="s">
        <v>445</v>
      </c>
      <c r="H968" s="21" t="n">
        <v>0</v>
      </c>
      <c r="I968" s="21" t="s">
        <v>137</v>
      </c>
    </row>
    <row r="969" customFormat="false" ht="15" hidden="false" customHeight="false" outlineLevel="0" collapsed="false">
      <c r="A969" s="21" t="s">
        <v>1228</v>
      </c>
      <c r="B969" s="21" t="s">
        <v>1026</v>
      </c>
      <c r="C969" s="21"/>
      <c r="D969" s="37" t="s">
        <v>84</v>
      </c>
      <c r="E969" s="37" t="s">
        <v>84</v>
      </c>
      <c r="F969" s="37" t="s">
        <v>36</v>
      </c>
      <c r="G969" s="21" t="s">
        <v>445</v>
      </c>
      <c r="H969" s="21" t="n">
        <v>0</v>
      </c>
      <c r="I969" s="21" t="s">
        <v>137</v>
      </c>
    </row>
    <row r="970" customFormat="false" ht="15" hidden="false" customHeight="false" outlineLevel="0" collapsed="false">
      <c r="A970" s="21" t="s">
        <v>1229</v>
      </c>
      <c r="B970" s="21" t="s">
        <v>1026</v>
      </c>
      <c r="C970" s="21"/>
      <c r="D970" s="37" t="s">
        <v>84</v>
      </c>
      <c r="E970" s="37" t="s">
        <v>84</v>
      </c>
      <c r="F970" s="37" t="s">
        <v>36</v>
      </c>
      <c r="G970" s="21" t="s">
        <v>445</v>
      </c>
      <c r="H970" s="21" t="n">
        <v>0</v>
      </c>
      <c r="I970" s="21" t="s">
        <v>137</v>
      </c>
    </row>
    <row r="971" customFormat="false" ht="15" hidden="false" customHeight="false" outlineLevel="0" collapsed="false">
      <c r="A971" s="21" t="s">
        <v>1230</v>
      </c>
      <c r="B971" s="21" t="s">
        <v>1026</v>
      </c>
      <c r="C971" s="21"/>
      <c r="D971" s="37" t="s">
        <v>84</v>
      </c>
      <c r="E971" s="37" t="s">
        <v>84</v>
      </c>
      <c r="F971" s="37" t="s">
        <v>36</v>
      </c>
      <c r="G971" s="21" t="s">
        <v>445</v>
      </c>
      <c r="H971" s="21" t="n">
        <v>0</v>
      </c>
      <c r="I971" s="21" t="s">
        <v>137</v>
      </c>
    </row>
    <row r="972" customFormat="false" ht="15" hidden="false" customHeight="false" outlineLevel="0" collapsed="false">
      <c r="A972" s="21" t="s">
        <v>1231</v>
      </c>
      <c r="B972" s="21" t="s">
        <v>1026</v>
      </c>
      <c r="C972" s="21"/>
      <c r="D972" s="37" t="s">
        <v>84</v>
      </c>
      <c r="E972" s="37" t="s">
        <v>84</v>
      </c>
      <c r="F972" s="37" t="s">
        <v>36</v>
      </c>
      <c r="G972" s="21" t="s">
        <v>445</v>
      </c>
      <c r="H972" s="21" t="n">
        <v>0</v>
      </c>
      <c r="I972" s="21" t="s">
        <v>137</v>
      </c>
    </row>
    <row r="973" customFormat="false" ht="15" hidden="false" customHeight="false" outlineLevel="0" collapsed="false">
      <c r="A973" s="21" t="s">
        <v>1232</v>
      </c>
      <c r="B973" s="21" t="s">
        <v>1028</v>
      </c>
      <c r="C973" s="21"/>
      <c r="D973" s="37" t="s">
        <v>84</v>
      </c>
      <c r="E973" s="37" t="s">
        <v>84</v>
      </c>
      <c r="F973" s="37" t="s">
        <v>36</v>
      </c>
      <c r="G973" s="21" t="s">
        <v>445</v>
      </c>
      <c r="H973" s="21" t="n">
        <v>0</v>
      </c>
      <c r="I973" s="21" t="s">
        <v>137</v>
      </c>
    </row>
    <row r="974" customFormat="false" ht="15" hidden="false" customHeight="false" outlineLevel="0" collapsed="false">
      <c r="A974" s="21" t="s">
        <v>1233</v>
      </c>
      <c r="B974" s="21"/>
      <c r="C974" s="21"/>
      <c r="D974" s="37" t="s">
        <v>84</v>
      </c>
      <c r="E974" s="37" t="s">
        <v>84</v>
      </c>
      <c r="F974" s="37" t="s">
        <v>36</v>
      </c>
      <c r="G974" s="21" t="s">
        <v>1141</v>
      </c>
      <c r="H974" s="21" t="n">
        <v>0</v>
      </c>
      <c r="I974" s="21" t="s">
        <v>137</v>
      </c>
    </row>
    <row r="975" customFormat="false" ht="15" hidden="false" customHeight="false" outlineLevel="0" collapsed="false">
      <c r="A975" s="21" t="s">
        <v>1234</v>
      </c>
      <c r="B975" s="21" t="s">
        <v>1028</v>
      </c>
      <c r="C975" s="21"/>
      <c r="D975" s="37" t="s">
        <v>84</v>
      </c>
      <c r="E975" s="37" t="s">
        <v>84</v>
      </c>
      <c r="F975" s="37" t="s">
        <v>36</v>
      </c>
      <c r="G975" s="21" t="s">
        <v>445</v>
      </c>
      <c r="H975" s="21" t="n">
        <v>0</v>
      </c>
      <c r="I975" s="21" t="s">
        <v>137</v>
      </c>
    </row>
    <row r="976" customFormat="false" ht="15" hidden="false" customHeight="false" outlineLevel="0" collapsed="false">
      <c r="A976" s="21" t="s">
        <v>1235</v>
      </c>
      <c r="B976" s="21" t="s">
        <v>1026</v>
      </c>
      <c r="C976" s="21"/>
      <c r="D976" s="37" t="s">
        <v>84</v>
      </c>
      <c r="E976" s="37" t="s">
        <v>84</v>
      </c>
      <c r="F976" s="37" t="s">
        <v>36</v>
      </c>
      <c r="G976" s="21" t="s">
        <v>445</v>
      </c>
      <c r="H976" s="21" t="n">
        <v>0</v>
      </c>
      <c r="I976" s="21" t="s">
        <v>137</v>
      </c>
    </row>
    <row r="977" customFormat="false" ht="15" hidden="false" customHeight="false" outlineLevel="0" collapsed="false">
      <c r="A977" s="21" t="s">
        <v>1236</v>
      </c>
      <c r="B977" s="21" t="s">
        <v>1026</v>
      </c>
      <c r="C977" s="21"/>
      <c r="D977" s="37" t="s">
        <v>84</v>
      </c>
      <c r="E977" s="37" t="s">
        <v>84</v>
      </c>
      <c r="F977" s="37" t="s">
        <v>36</v>
      </c>
      <c r="G977" s="21" t="s">
        <v>445</v>
      </c>
      <c r="H977" s="21" t="n">
        <v>0</v>
      </c>
      <c r="I977" s="21" t="s">
        <v>137</v>
      </c>
    </row>
    <row r="978" customFormat="false" ht="15" hidden="false" customHeight="false" outlineLevel="0" collapsed="false">
      <c r="A978" s="21" t="s">
        <v>1237</v>
      </c>
      <c r="B978" s="21" t="s">
        <v>1026</v>
      </c>
      <c r="C978" s="21"/>
      <c r="D978" s="37" t="s">
        <v>84</v>
      </c>
      <c r="E978" s="37" t="s">
        <v>84</v>
      </c>
      <c r="F978" s="37" t="s">
        <v>36</v>
      </c>
      <c r="G978" s="21" t="s">
        <v>445</v>
      </c>
      <c r="H978" s="21" t="n">
        <v>0</v>
      </c>
      <c r="I978" s="21" t="s">
        <v>137</v>
      </c>
    </row>
    <row r="979" customFormat="false" ht="15" hidden="false" customHeight="false" outlineLevel="0" collapsed="false">
      <c r="A979" s="21" t="s">
        <v>1238</v>
      </c>
      <c r="B979" s="21" t="s">
        <v>1028</v>
      </c>
      <c r="C979" s="21"/>
      <c r="D979" s="37" t="s">
        <v>84</v>
      </c>
      <c r="E979" s="37" t="s">
        <v>84</v>
      </c>
      <c r="F979" s="37" t="s">
        <v>36</v>
      </c>
      <c r="G979" s="21" t="s">
        <v>445</v>
      </c>
      <c r="H979" s="21" t="n">
        <v>0</v>
      </c>
      <c r="I979" s="21" t="s">
        <v>137</v>
      </c>
    </row>
    <row r="980" customFormat="false" ht="15" hidden="false" customHeight="false" outlineLevel="0" collapsed="false">
      <c r="A980" s="21" t="s">
        <v>1239</v>
      </c>
      <c r="B980" s="21" t="s">
        <v>1026</v>
      </c>
      <c r="C980" s="21"/>
      <c r="D980" s="37" t="s">
        <v>84</v>
      </c>
      <c r="E980" s="37" t="s">
        <v>84</v>
      </c>
      <c r="F980" s="37" t="s">
        <v>36</v>
      </c>
      <c r="G980" s="21" t="s">
        <v>445</v>
      </c>
      <c r="H980" s="21" t="n">
        <v>0</v>
      </c>
      <c r="I980" s="21" t="s">
        <v>137</v>
      </c>
    </row>
    <row r="981" customFormat="false" ht="15" hidden="false" customHeight="false" outlineLevel="0" collapsed="false">
      <c r="A981" s="21" t="s">
        <v>1240</v>
      </c>
      <c r="B981" s="21" t="s">
        <v>1028</v>
      </c>
      <c r="C981" s="21"/>
      <c r="D981" s="37" t="s">
        <v>84</v>
      </c>
      <c r="E981" s="37" t="s">
        <v>84</v>
      </c>
      <c r="F981" s="37" t="s">
        <v>36</v>
      </c>
      <c r="G981" s="21" t="s">
        <v>445</v>
      </c>
      <c r="H981" s="21" t="n">
        <v>0</v>
      </c>
      <c r="I981" s="21" t="s">
        <v>137</v>
      </c>
    </row>
    <row r="982" customFormat="false" ht="15" hidden="false" customHeight="false" outlineLevel="0" collapsed="false">
      <c r="A982" s="21" t="s">
        <v>1241</v>
      </c>
      <c r="B982" s="21" t="s">
        <v>1032</v>
      </c>
      <c r="C982" s="21"/>
      <c r="D982" s="37" t="s">
        <v>84</v>
      </c>
      <c r="E982" s="37" t="s">
        <v>84</v>
      </c>
      <c r="F982" s="37" t="s">
        <v>36</v>
      </c>
      <c r="G982" s="21" t="s">
        <v>445</v>
      </c>
      <c r="H982" s="21" t="n">
        <v>0</v>
      </c>
      <c r="I982" s="21" t="s">
        <v>137</v>
      </c>
    </row>
    <row r="983" customFormat="false" ht="15" hidden="false" customHeight="false" outlineLevel="0" collapsed="false">
      <c r="A983" s="21" t="s">
        <v>1242</v>
      </c>
      <c r="B983" s="21" t="s">
        <v>1026</v>
      </c>
      <c r="C983" s="21"/>
      <c r="D983" s="37" t="s">
        <v>84</v>
      </c>
      <c r="E983" s="37" t="s">
        <v>84</v>
      </c>
      <c r="F983" s="37" t="s">
        <v>36</v>
      </c>
      <c r="G983" s="21" t="s">
        <v>445</v>
      </c>
      <c r="H983" s="21" t="n">
        <v>0</v>
      </c>
      <c r="I983" s="21" t="s">
        <v>137</v>
      </c>
    </row>
    <row r="984" customFormat="false" ht="15" hidden="false" customHeight="false" outlineLevel="0" collapsed="false">
      <c r="A984" s="21" t="s">
        <v>1243</v>
      </c>
      <c r="B984" s="21" t="s">
        <v>1028</v>
      </c>
      <c r="C984" s="21"/>
      <c r="D984" s="37" t="s">
        <v>84</v>
      </c>
      <c r="E984" s="37" t="s">
        <v>84</v>
      </c>
      <c r="F984" s="37" t="s">
        <v>36</v>
      </c>
      <c r="G984" s="21" t="s">
        <v>445</v>
      </c>
      <c r="H984" s="21" t="n">
        <v>0</v>
      </c>
      <c r="I984" s="21" t="s">
        <v>137</v>
      </c>
    </row>
    <row r="985" customFormat="false" ht="15" hidden="false" customHeight="false" outlineLevel="0" collapsed="false">
      <c r="A985" s="21" t="s">
        <v>1244</v>
      </c>
      <c r="B985" s="21" t="s">
        <v>1026</v>
      </c>
      <c r="C985" s="21"/>
      <c r="D985" s="37" t="s">
        <v>84</v>
      </c>
      <c r="E985" s="37" t="s">
        <v>84</v>
      </c>
      <c r="F985" s="37" t="s">
        <v>36</v>
      </c>
      <c r="G985" s="21" t="s">
        <v>445</v>
      </c>
      <c r="H985" s="21" t="n">
        <v>0</v>
      </c>
      <c r="I985" s="21" t="s">
        <v>137</v>
      </c>
    </row>
    <row r="986" customFormat="false" ht="15" hidden="false" customHeight="false" outlineLevel="0" collapsed="false">
      <c r="A986" s="21" t="s">
        <v>1245</v>
      </c>
      <c r="B986" s="21" t="s">
        <v>1026</v>
      </c>
      <c r="C986" s="21"/>
      <c r="D986" s="37" t="s">
        <v>84</v>
      </c>
      <c r="E986" s="37" t="s">
        <v>84</v>
      </c>
      <c r="F986" s="37" t="s">
        <v>36</v>
      </c>
      <c r="G986" s="21" t="s">
        <v>445</v>
      </c>
      <c r="H986" s="21" t="n">
        <v>0</v>
      </c>
      <c r="I986" s="21" t="s">
        <v>137</v>
      </c>
    </row>
    <row r="987" customFormat="false" ht="15" hidden="false" customHeight="false" outlineLevel="0" collapsed="false">
      <c r="A987" s="21" t="s">
        <v>1246</v>
      </c>
      <c r="B987" s="21" t="s">
        <v>1028</v>
      </c>
      <c r="C987" s="21"/>
      <c r="D987" s="37" t="s">
        <v>84</v>
      </c>
      <c r="E987" s="37" t="s">
        <v>84</v>
      </c>
      <c r="F987" s="37" t="s">
        <v>36</v>
      </c>
      <c r="G987" s="21" t="s">
        <v>445</v>
      </c>
      <c r="H987" s="21" t="n">
        <v>0</v>
      </c>
      <c r="I987" s="21" t="s">
        <v>137</v>
      </c>
    </row>
    <row r="988" customFormat="false" ht="15" hidden="false" customHeight="false" outlineLevel="0" collapsed="false">
      <c r="A988" s="21" t="s">
        <v>1247</v>
      </c>
      <c r="B988" s="21" t="s">
        <v>1032</v>
      </c>
      <c r="C988" s="21"/>
      <c r="D988" s="37" t="s">
        <v>84</v>
      </c>
      <c r="E988" s="37" t="s">
        <v>84</v>
      </c>
      <c r="F988" s="37" t="s">
        <v>36</v>
      </c>
      <c r="G988" s="21" t="s">
        <v>445</v>
      </c>
      <c r="H988" s="21" t="n">
        <v>0</v>
      </c>
      <c r="I988" s="21" t="s">
        <v>137</v>
      </c>
    </row>
    <row r="989" customFormat="false" ht="15" hidden="false" customHeight="false" outlineLevel="0" collapsed="false">
      <c r="A989" s="21" t="s">
        <v>1248</v>
      </c>
      <c r="B989" s="21" t="s">
        <v>1026</v>
      </c>
      <c r="C989" s="21"/>
      <c r="D989" s="37" t="s">
        <v>84</v>
      </c>
      <c r="E989" s="37" t="s">
        <v>84</v>
      </c>
      <c r="F989" s="37" t="s">
        <v>36</v>
      </c>
      <c r="G989" s="21" t="s">
        <v>445</v>
      </c>
      <c r="H989" s="21" t="n">
        <v>0</v>
      </c>
      <c r="I989" s="21" t="s">
        <v>137</v>
      </c>
    </row>
    <row r="990" customFormat="false" ht="15" hidden="false" customHeight="false" outlineLevel="0" collapsed="false">
      <c r="A990" s="21" t="s">
        <v>1249</v>
      </c>
      <c r="B990" s="21" t="s">
        <v>1026</v>
      </c>
      <c r="C990" s="21"/>
      <c r="D990" s="37" t="s">
        <v>84</v>
      </c>
      <c r="E990" s="37" t="s">
        <v>84</v>
      </c>
      <c r="F990" s="37" t="s">
        <v>36</v>
      </c>
      <c r="G990" s="21" t="s">
        <v>445</v>
      </c>
      <c r="H990" s="21" t="n">
        <v>0</v>
      </c>
      <c r="I990" s="21" t="s">
        <v>137</v>
      </c>
    </row>
    <row r="991" customFormat="false" ht="15" hidden="false" customHeight="false" outlineLevel="0" collapsed="false">
      <c r="A991" s="21" t="s">
        <v>1250</v>
      </c>
      <c r="B991" s="21" t="s">
        <v>1026</v>
      </c>
      <c r="C991" s="21"/>
      <c r="D991" s="37" t="s">
        <v>84</v>
      </c>
      <c r="E991" s="37" t="s">
        <v>84</v>
      </c>
      <c r="F991" s="37" t="s">
        <v>36</v>
      </c>
      <c r="G991" s="21" t="s">
        <v>445</v>
      </c>
      <c r="H991" s="21" t="n">
        <v>0</v>
      </c>
      <c r="I991" s="21" t="s">
        <v>137</v>
      </c>
    </row>
    <row r="992" customFormat="false" ht="15" hidden="false" customHeight="false" outlineLevel="0" collapsed="false">
      <c r="A992" s="21" t="s">
        <v>1251</v>
      </c>
      <c r="B992" s="21" t="s">
        <v>1026</v>
      </c>
      <c r="C992" s="21"/>
      <c r="D992" s="37" t="s">
        <v>84</v>
      </c>
      <c r="E992" s="37" t="s">
        <v>84</v>
      </c>
      <c r="F992" s="37" t="s">
        <v>36</v>
      </c>
      <c r="G992" s="21" t="s">
        <v>445</v>
      </c>
      <c r="H992" s="21" t="n">
        <v>0</v>
      </c>
      <c r="I992" s="21" t="s">
        <v>137</v>
      </c>
    </row>
    <row r="993" customFormat="false" ht="15" hidden="false" customHeight="false" outlineLevel="0" collapsed="false">
      <c r="A993" s="21" t="s">
        <v>1252</v>
      </c>
      <c r="B993" s="21" t="s">
        <v>1032</v>
      </c>
      <c r="C993" s="21"/>
      <c r="D993" s="37" t="s">
        <v>84</v>
      </c>
      <c r="E993" s="37" t="s">
        <v>84</v>
      </c>
      <c r="F993" s="37" t="s">
        <v>36</v>
      </c>
      <c r="G993" s="21" t="s">
        <v>445</v>
      </c>
      <c r="H993" s="21" t="n">
        <v>0</v>
      </c>
      <c r="I993" s="21" t="s">
        <v>137</v>
      </c>
    </row>
    <row r="994" customFormat="false" ht="15" hidden="false" customHeight="false" outlineLevel="0" collapsed="false">
      <c r="A994" s="21" t="s">
        <v>1253</v>
      </c>
      <c r="B994" s="21"/>
      <c r="C994" s="21"/>
      <c r="D994" s="37" t="s">
        <v>84</v>
      </c>
      <c r="E994" s="37" t="s">
        <v>84</v>
      </c>
      <c r="F994" s="37" t="s">
        <v>36</v>
      </c>
      <c r="G994" s="21" t="s">
        <v>450</v>
      </c>
      <c r="H994" s="21" t="n">
        <v>0</v>
      </c>
      <c r="I994" s="21" t="s">
        <v>137</v>
      </c>
    </row>
    <row r="995" customFormat="false" ht="15" hidden="false" customHeight="false" outlineLevel="0" collapsed="false">
      <c r="A995" s="21" t="s">
        <v>1254</v>
      </c>
      <c r="B995" s="21" t="s">
        <v>1026</v>
      </c>
      <c r="C995" s="21"/>
      <c r="D995" s="37" t="s">
        <v>84</v>
      </c>
      <c r="E995" s="37" t="s">
        <v>84</v>
      </c>
      <c r="F995" s="37" t="s">
        <v>36</v>
      </c>
      <c r="G995" s="21" t="s">
        <v>445</v>
      </c>
      <c r="H995" s="21" t="n">
        <v>0</v>
      </c>
      <c r="I995" s="21" t="s">
        <v>137</v>
      </c>
    </row>
    <row r="996" customFormat="false" ht="15" hidden="false" customHeight="false" outlineLevel="0" collapsed="false">
      <c r="A996" s="21" t="s">
        <v>1255</v>
      </c>
      <c r="B996" s="21" t="s">
        <v>1028</v>
      </c>
      <c r="C996" s="21"/>
      <c r="D996" s="37" t="s">
        <v>84</v>
      </c>
      <c r="E996" s="37" t="s">
        <v>84</v>
      </c>
      <c r="F996" s="37" t="s">
        <v>36</v>
      </c>
      <c r="G996" s="21" t="s">
        <v>445</v>
      </c>
      <c r="H996" s="21" t="n">
        <v>0</v>
      </c>
      <c r="I996" s="21" t="s">
        <v>137</v>
      </c>
    </row>
    <row r="997" customFormat="false" ht="15" hidden="false" customHeight="false" outlineLevel="0" collapsed="false">
      <c r="A997" s="21" t="s">
        <v>1256</v>
      </c>
      <c r="B997" s="21" t="s">
        <v>1026</v>
      </c>
      <c r="C997" s="21"/>
      <c r="D997" s="37" t="s">
        <v>84</v>
      </c>
      <c r="E997" s="37" t="s">
        <v>84</v>
      </c>
      <c r="F997" s="37" t="s">
        <v>36</v>
      </c>
      <c r="G997" s="21" t="s">
        <v>445</v>
      </c>
      <c r="H997" s="21" t="n">
        <v>0</v>
      </c>
      <c r="I997" s="21" t="s">
        <v>137</v>
      </c>
    </row>
    <row r="998" customFormat="false" ht="15" hidden="false" customHeight="false" outlineLevel="0" collapsed="false">
      <c r="A998" s="21" t="s">
        <v>1257</v>
      </c>
      <c r="B998" s="21" t="s">
        <v>1026</v>
      </c>
      <c r="C998" s="21"/>
      <c r="D998" s="37" t="s">
        <v>84</v>
      </c>
      <c r="E998" s="37" t="s">
        <v>84</v>
      </c>
      <c r="F998" s="37" t="s">
        <v>36</v>
      </c>
      <c r="G998" s="21" t="s">
        <v>445</v>
      </c>
      <c r="H998" s="21" t="n">
        <v>0</v>
      </c>
      <c r="I998" s="21" t="s">
        <v>137</v>
      </c>
    </row>
    <row r="999" customFormat="false" ht="15" hidden="false" customHeight="false" outlineLevel="0" collapsed="false">
      <c r="A999" s="21" t="s">
        <v>1258</v>
      </c>
      <c r="B999" s="21" t="s">
        <v>1032</v>
      </c>
      <c r="C999" s="21"/>
      <c r="D999" s="37" t="s">
        <v>84</v>
      </c>
      <c r="E999" s="37" t="s">
        <v>84</v>
      </c>
      <c r="F999" s="37" t="s">
        <v>36</v>
      </c>
      <c r="G999" s="21" t="s">
        <v>445</v>
      </c>
      <c r="H999" s="21" t="n">
        <v>0</v>
      </c>
      <c r="I999" s="21" t="s">
        <v>137</v>
      </c>
    </row>
    <row r="1000" customFormat="false" ht="15" hidden="false" customHeight="false" outlineLevel="0" collapsed="false">
      <c r="A1000" s="21" t="s">
        <v>1259</v>
      </c>
      <c r="B1000" s="21" t="s">
        <v>1260</v>
      </c>
      <c r="C1000" s="21"/>
      <c r="D1000" s="37" t="s">
        <v>84</v>
      </c>
      <c r="E1000" s="37" t="s">
        <v>84</v>
      </c>
      <c r="F1000" s="37" t="s">
        <v>36</v>
      </c>
      <c r="G1000" s="21" t="s">
        <v>514</v>
      </c>
      <c r="H1000" s="21" t="n">
        <v>0</v>
      </c>
      <c r="I1000" s="21" t="s">
        <v>137</v>
      </c>
    </row>
    <row r="1001" customFormat="false" ht="15" hidden="false" customHeight="false" outlineLevel="0" collapsed="false">
      <c r="A1001" s="21" t="s">
        <v>1261</v>
      </c>
      <c r="B1001" s="21" t="s">
        <v>1026</v>
      </c>
      <c r="C1001" s="21"/>
      <c r="D1001" s="37" t="s">
        <v>84</v>
      </c>
      <c r="E1001" s="37" t="s">
        <v>84</v>
      </c>
      <c r="F1001" s="37" t="s">
        <v>36</v>
      </c>
      <c r="G1001" s="21" t="s">
        <v>445</v>
      </c>
      <c r="H1001" s="21" t="n">
        <v>0</v>
      </c>
      <c r="I1001" s="21" t="s">
        <v>137</v>
      </c>
    </row>
    <row r="1002" customFormat="false" ht="15" hidden="false" customHeight="false" outlineLevel="0" collapsed="false">
      <c r="A1002" s="21" t="s">
        <v>1262</v>
      </c>
      <c r="B1002" s="21"/>
      <c r="C1002" s="21"/>
      <c r="D1002" s="37" t="s">
        <v>84</v>
      </c>
      <c r="E1002" s="37" t="s">
        <v>84</v>
      </c>
      <c r="F1002" s="37" t="s">
        <v>36</v>
      </c>
      <c r="G1002" s="21" t="s">
        <v>1141</v>
      </c>
      <c r="H1002" s="21" t="n">
        <v>0</v>
      </c>
      <c r="I1002" s="21" t="s">
        <v>137</v>
      </c>
    </row>
    <row r="1003" customFormat="false" ht="15" hidden="false" customHeight="false" outlineLevel="0" collapsed="false">
      <c r="A1003" s="21" t="s">
        <v>1263</v>
      </c>
      <c r="B1003" s="21" t="s">
        <v>1026</v>
      </c>
      <c r="C1003" s="21"/>
      <c r="D1003" s="37" t="s">
        <v>84</v>
      </c>
      <c r="E1003" s="37" t="s">
        <v>84</v>
      </c>
      <c r="F1003" s="37" t="s">
        <v>36</v>
      </c>
      <c r="G1003" s="21" t="s">
        <v>445</v>
      </c>
      <c r="H1003" s="21" t="n">
        <v>0</v>
      </c>
      <c r="I1003" s="21" t="s">
        <v>137</v>
      </c>
    </row>
    <row r="1004" customFormat="false" ht="15" hidden="false" customHeight="false" outlineLevel="0" collapsed="false">
      <c r="A1004" s="21" t="s">
        <v>1264</v>
      </c>
      <c r="B1004" s="21" t="s">
        <v>1026</v>
      </c>
      <c r="C1004" s="21"/>
      <c r="D1004" s="37" t="s">
        <v>84</v>
      </c>
      <c r="E1004" s="37" t="s">
        <v>84</v>
      </c>
      <c r="F1004" s="37" t="s">
        <v>36</v>
      </c>
      <c r="G1004" s="21" t="s">
        <v>445</v>
      </c>
      <c r="H1004" s="21" t="n">
        <v>0</v>
      </c>
      <c r="I1004" s="21" t="s">
        <v>137</v>
      </c>
    </row>
    <row r="1005" customFormat="false" ht="15" hidden="false" customHeight="false" outlineLevel="0" collapsed="false">
      <c r="A1005" s="21" t="s">
        <v>1265</v>
      </c>
      <c r="B1005" s="21" t="s">
        <v>1028</v>
      </c>
      <c r="C1005" s="21"/>
      <c r="D1005" s="37" t="s">
        <v>84</v>
      </c>
      <c r="E1005" s="37" t="s">
        <v>84</v>
      </c>
      <c r="F1005" s="37" t="s">
        <v>36</v>
      </c>
      <c r="G1005" s="21" t="s">
        <v>445</v>
      </c>
      <c r="H1005" s="21" t="n">
        <v>0</v>
      </c>
      <c r="I1005" s="21" t="s">
        <v>137</v>
      </c>
    </row>
    <row r="1006" customFormat="false" ht="15" hidden="false" customHeight="false" outlineLevel="0" collapsed="false">
      <c r="A1006" s="21" t="s">
        <v>1266</v>
      </c>
      <c r="B1006" s="21" t="s">
        <v>1032</v>
      </c>
      <c r="C1006" s="21"/>
      <c r="D1006" s="37" t="s">
        <v>84</v>
      </c>
      <c r="E1006" s="37" t="s">
        <v>84</v>
      </c>
      <c r="F1006" s="37" t="s">
        <v>36</v>
      </c>
      <c r="G1006" s="21" t="s">
        <v>445</v>
      </c>
      <c r="H1006" s="21" t="n">
        <v>0</v>
      </c>
      <c r="I1006" s="21" t="s">
        <v>137</v>
      </c>
    </row>
    <row r="1007" customFormat="false" ht="15" hidden="false" customHeight="false" outlineLevel="0" collapsed="false">
      <c r="A1007" s="21" t="s">
        <v>1267</v>
      </c>
      <c r="B1007" s="21" t="s">
        <v>1026</v>
      </c>
      <c r="C1007" s="21"/>
      <c r="D1007" s="37" t="s">
        <v>84</v>
      </c>
      <c r="E1007" s="37" t="s">
        <v>84</v>
      </c>
      <c r="F1007" s="37" t="s">
        <v>36</v>
      </c>
      <c r="G1007" s="21" t="s">
        <v>445</v>
      </c>
      <c r="H1007" s="21" t="n">
        <v>0</v>
      </c>
      <c r="I1007" s="21" t="s">
        <v>137</v>
      </c>
    </row>
    <row r="1008" customFormat="false" ht="15" hidden="false" customHeight="false" outlineLevel="0" collapsed="false">
      <c r="A1008" s="21" t="s">
        <v>1268</v>
      </c>
      <c r="B1008" s="21" t="s">
        <v>1028</v>
      </c>
      <c r="C1008" s="21"/>
      <c r="D1008" s="37" t="s">
        <v>84</v>
      </c>
      <c r="E1008" s="37" t="s">
        <v>84</v>
      </c>
      <c r="F1008" s="37" t="s">
        <v>36</v>
      </c>
      <c r="G1008" s="21" t="s">
        <v>445</v>
      </c>
      <c r="H1008" s="21" t="n">
        <v>0</v>
      </c>
      <c r="I1008" s="21" t="s">
        <v>137</v>
      </c>
    </row>
    <row r="1009" customFormat="false" ht="15" hidden="false" customHeight="false" outlineLevel="0" collapsed="false">
      <c r="A1009" s="21" t="s">
        <v>1269</v>
      </c>
      <c r="B1009" s="21" t="s">
        <v>1028</v>
      </c>
      <c r="C1009" s="21"/>
      <c r="D1009" s="37" t="s">
        <v>84</v>
      </c>
      <c r="E1009" s="37" t="s">
        <v>84</v>
      </c>
      <c r="F1009" s="37" t="s">
        <v>36</v>
      </c>
      <c r="G1009" s="21" t="s">
        <v>445</v>
      </c>
      <c r="H1009" s="21" t="n">
        <v>0</v>
      </c>
      <c r="I1009" s="21" t="s">
        <v>137</v>
      </c>
    </row>
    <row r="1010" customFormat="false" ht="15" hidden="false" customHeight="false" outlineLevel="0" collapsed="false">
      <c r="A1010" s="21" t="s">
        <v>1270</v>
      </c>
      <c r="B1010" s="21" t="s">
        <v>1028</v>
      </c>
      <c r="C1010" s="21"/>
      <c r="D1010" s="37" t="s">
        <v>84</v>
      </c>
      <c r="E1010" s="37" t="s">
        <v>84</v>
      </c>
      <c r="F1010" s="37" t="s">
        <v>36</v>
      </c>
      <c r="G1010" s="21" t="s">
        <v>445</v>
      </c>
      <c r="H1010" s="21" t="n">
        <v>0</v>
      </c>
      <c r="I1010" s="21" t="s">
        <v>137</v>
      </c>
    </row>
    <row r="1011" customFormat="false" ht="15" hidden="false" customHeight="false" outlineLevel="0" collapsed="false">
      <c r="A1011" s="21" t="s">
        <v>1271</v>
      </c>
      <c r="B1011" s="21" t="s">
        <v>1026</v>
      </c>
      <c r="C1011" s="21"/>
      <c r="D1011" s="37" t="s">
        <v>84</v>
      </c>
      <c r="E1011" s="37" t="s">
        <v>84</v>
      </c>
      <c r="F1011" s="37" t="s">
        <v>36</v>
      </c>
      <c r="G1011" s="21" t="s">
        <v>445</v>
      </c>
      <c r="H1011" s="21" t="n">
        <v>0</v>
      </c>
      <c r="I1011" s="21" t="s">
        <v>137</v>
      </c>
    </row>
    <row r="1012" customFormat="false" ht="15" hidden="false" customHeight="false" outlineLevel="0" collapsed="false">
      <c r="A1012" s="21" t="s">
        <v>1272</v>
      </c>
      <c r="B1012" s="21" t="s">
        <v>1026</v>
      </c>
      <c r="C1012" s="21"/>
      <c r="D1012" s="37" t="s">
        <v>84</v>
      </c>
      <c r="E1012" s="37" t="s">
        <v>84</v>
      </c>
      <c r="F1012" s="37" t="s">
        <v>36</v>
      </c>
      <c r="G1012" s="21" t="s">
        <v>445</v>
      </c>
      <c r="H1012" s="21" t="n">
        <v>0</v>
      </c>
      <c r="I1012" s="21" t="s">
        <v>137</v>
      </c>
    </row>
    <row r="1013" customFormat="false" ht="15" hidden="false" customHeight="false" outlineLevel="0" collapsed="false">
      <c r="A1013" s="21" t="s">
        <v>1273</v>
      </c>
      <c r="B1013" s="21" t="s">
        <v>1028</v>
      </c>
      <c r="C1013" s="21"/>
      <c r="D1013" s="37" t="s">
        <v>84</v>
      </c>
      <c r="E1013" s="37" t="s">
        <v>84</v>
      </c>
      <c r="F1013" s="37" t="s">
        <v>36</v>
      </c>
      <c r="G1013" s="21" t="s">
        <v>445</v>
      </c>
      <c r="H1013" s="21" t="n">
        <v>0</v>
      </c>
      <c r="I1013" s="21" t="s">
        <v>137</v>
      </c>
    </row>
    <row r="1014" customFormat="false" ht="15" hidden="false" customHeight="false" outlineLevel="0" collapsed="false">
      <c r="A1014" s="21" t="s">
        <v>1274</v>
      </c>
      <c r="B1014" s="21" t="s">
        <v>1026</v>
      </c>
      <c r="C1014" s="21"/>
      <c r="D1014" s="37" t="s">
        <v>84</v>
      </c>
      <c r="E1014" s="37" t="s">
        <v>84</v>
      </c>
      <c r="F1014" s="37" t="s">
        <v>36</v>
      </c>
      <c r="G1014" s="21" t="s">
        <v>445</v>
      </c>
      <c r="H1014" s="21" t="n">
        <v>0</v>
      </c>
      <c r="I1014" s="21" t="s">
        <v>137</v>
      </c>
    </row>
    <row r="1015" customFormat="false" ht="15" hidden="false" customHeight="false" outlineLevel="0" collapsed="false">
      <c r="A1015" s="21" t="s">
        <v>1275</v>
      </c>
      <c r="B1015" s="21" t="s">
        <v>1028</v>
      </c>
      <c r="C1015" s="21"/>
      <c r="D1015" s="37" t="s">
        <v>84</v>
      </c>
      <c r="E1015" s="37" t="s">
        <v>84</v>
      </c>
      <c r="F1015" s="37" t="s">
        <v>36</v>
      </c>
      <c r="G1015" s="21" t="s">
        <v>445</v>
      </c>
      <c r="H1015" s="21" t="n">
        <v>0</v>
      </c>
      <c r="I1015" s="21" t="s">
        <v>137</v>
      </c>
    </row>
    <row r="1016" customFormat="false" ht="15" hidden="false" customHeight="false" outlineLevel="0" collapsed="false">
      <c r="A1016" s="21" t="s">
        <v>1276</v>
      </c>
      <c r="B1016" s="21" t="s">
        <v>1028</v>
      </c>
      <c r="C1016" s="21"/>
      <c r="D1016" s="37" t="s">
        <v>84</v>
      </c>
      <c r="E1016" s="37" t="s">
        <v>84</v>
      </c>
      <c r="F1016" s="37" t="s">
        <v>36</v>
      </c>
      <c r="G1016" s="21" t="s">
        <v>445</v>
      </c>
      <c r="H1016" s="21" t="n">
        <v>0</v>
      </c>
      <c r="I1016" s="21" t="s">
        <v>137</v>
      </c>
    </row>
    <row r="1017" customFormat="false" ht="15" hidden="false" customHeight="false" outlineLevel="0" collapsed="false">
      <c r="A1017" s="21" t="s">
        <v>1277</v>
      </c>
      <c r="B1017" s="21" t="s">
        <v>1032</v>
      </c>
      <c r="C1017" s="21"/>
      <c r="D1017" s="37" t="s">
        <v>84</v>
      </c>
      <c r="E1017" s="37" t="s">
        <v>84</v>
      </c>
      <c r="F1017" s="37" t="s">
        <v>36</v>
      </c>
      <c r="G1017" s="21" t="s">
        <v>445</v>
      </c>
      <c r="H1017" s="21" t="n">
        <v>0</v>
      </c>
      <c r="I1017" s="21" t="s">
        <v>137</v>
      </c>
    </row>
    <row r="1018" customFormat="false" ht="15" hidden="false" customHeight="false" outlineLevel="0" collapsed="false">
      <c r="A1018" s="21" t="s">
        <v>1278</v>
      </c>
      <c r="B1018" s="21"/>
      <c r="C1018" s="21"/>
      <c r="D1018" s="37" t="s">
        <v>84</v>
      </c>
      <c r="E1018" s="37" t="s">
        <v>84</v>
      </c>
      <c r="F1018" s="37" t="s">
        <v>36</v>
      </c>
      <c r="G1018" s="21" t="s">
        <v>1141</v>
      </c>
      <c r="H1018" s="21" t="n">
        <v>0</v>
      </c>
      <c r="I1018" s="21" t="s">
        <v>137</v>
      </c>
    </row>
    <row r="1019" customFormat="false" ht="15" hidden="false" customHeight="false" outlineLevel="0" collapsed="false">
      <c r="A1019" s="21" t="s">
        <v>1279</v>
      </c>
      <c r="B1019" s="21" t="s">
        <v>1026</v>
      </c>
      <c r="C1019" s="21"/>
      <c r="D1019" s="37" t="s">
        <v>84</v>
      </c>
      <c r="E1019" s="37" t="s">
        <v>84</v>
      </c>
      <c r="F1019" s="37" t="s">
        <v>36</v>
      </c>
      <c r="G1019" s="21" t="s">
        <v>445</v>
      </c>
      <c r="H1019" s="21" t="n">
        <v>0</v>
      </c>
      <c r="I1019" s="21" t="s">
        <v>137</v>
      </c>
    </row>
    <row r="1020" customFormat="false" ht="15" hidden="false" customHeight="false" outlineLevel="0" collapsed="false">
      <c r="A1020" s="21" t="s">
        <v>1280</v>
      </c>
      <c r="B1020" s="21" t="s">
        <v>1032</v>
      </c>
      <c r="C1020" s="21"/>
      <c r="D1020" s="37" t="s">
        <v>84</v>
      </c>
      <c r="E1020" s="37" t="s">
        <v>84</v>
      </c>
      <c r="F1020" s="37" t="s">
        <v>36</v>
      </c>
      <c r="G1020" s="21" t="s">
        <v>445</v>
      </c>
      <c r="H1020" s="21" t="n">
        <v>0</v>
      </c>
      <c r="I1020" s="21" t="s">
        <v>137</v>
      </c>
    </row>
    <row r="1021" customFormat="false" ht="15" hidden="false" customHeight="false" outlineLevel="0" collapsed="false">
      <c r="A1021" s="21" t="s">
        <v>1281</v>
      </c>
      <c r="B1021" s="21" t="s">
        <v>1026</v>
      </c>
      <c r="C1021" s="21"/>
      <c r="D1021" s="37" t="s">
        <v>84</v>
      </c>
      <c r="E1021" s="37" t="s">
        <v>84</v>
      </c>
      <c r="F1021" s="37" t="s">
        <v>36</v>
      </c>
      <c r="G1021" s="21" t="s">
        <v>445</v>
      </c>
      <c r="H1021" s="21" t="n">
        <v>0</v>
      </c>
      <c r="I1021" s="21" t="s">
        <v>137</v>
      </c>
    </row>
    <row r="1022" customFormat="false" ht="15" hidden="false" customHeight="false" outlineLevel="0" collapsed="false">
      <c r="A1022" s="21" t="s">
        <v>1282</v>
      </c>
      <c r="B1022" s="21" t="s">
        <v>1026</v>
      </c>
      <c r="C1022" s="21"/>
      <c r="D1022" s="37" t="s">
        <v>84</v>
      </c>
      <c r="E1022" s="37" t="s">
        <v>84</v>
      </c>
      <c r="F1022" s="37" t="s">
        <v>36</v>
      </c>
      <c r="G1022" s="21" t="s">
        <v>445</v>
      </c>
      <c r="H1022" s="21" t="n">
        <v>0</v>
      </c>
      <c r="I1022" s="21" t="s">
        <v>137</v>
      </c>
    </row>
    <row r="1023" customFormat="false" ht="15" hidden="false" customHeight="false" outlineLevel="0" collapsed="false">
      <c r="A1023" s="21" t="s">
        <v>1283</v>
      </c>
      <c r="B1023" s="21" t="s">
        <v>1028</v>
      </c>
      <c r="C1023" s="21"/>
      <c r="D1023" s="37" t="s">
        <v>84</v>
      </c>
      <c r="E1023" s="37" t="s">
        <v>84</v>
      </c>
      <c r="F1023" s="37" t="s">
        <v>36</v>
      </c>
      <c r="G1023" s="21" t="s">
        <v>445</v>
      </c>
      <c r="H1023" s="21" t="n">
        <v>0</v>
      </c>
      <c r="I1023" s="21" t="s">
        <v>137</v>
      </c>
    </row>
    <row r="1024" customFormat="false" ht="15" hidden="false" customHeight="false" outlineLevel="0" collapsed="false">
      <c r="A1024" s="21" t="s">
        <v>1284</v>
      </c>
      <c r="B1024" s="21" t="s">
        <v>1026</v>
      </c>
      <c r="C1024" s="21"/>
      <c r="D1024" s="37" t="s">
        <v>84</v>
      </c>
      <c r="E1024" s="37" t="s">
        <v>84</v>
      </c>
      <c r="F1024" s="37" t="s">
        <v>36</v>
      </c>
      <c r="G1024" s="21" t="s">
        <v>445</v>
      </c>
      <c r="H1024" s="21" t="n">
        <v>0</v>
      </c>
      <c r="I1024" s="21" t="s">
        <v>137</v>
      </c>
    </row>
    <row r="1025" customFormat="false" ht="15" hidden="false" customHeight="false" outlineLevel="0" collapsed="false">
      <c r="A1025" s="21" t="s">
        <v>1285</v>
      </c>
      <c r="B1025" s="21" t="s">
        <v>1026</v>
      </c>
      <c r="C1025" s="21"/>
      <c r="D1025" s="37" t="s">
        <v>84</v>
      </c>
      <c r="E1025" s="37" t="s">
        <v>84</v>
      </c>
      <c r="F1025" s="37" t="s">
        <v>36</v>
      </c>
      <c r="G1025" s="21" t="s">
        <v>445</v>
      </c>
      <c r="H1025" s="21" t="n">
        <v>0</v>
      </c>
      <c r="I1025" s="21" t="s">
        <v>137</v>
      </c>
    </row>
    <row r="1026" customFormat="false" ht="15" hidden="false" customHeight="false" outlineLevel="0" collapsed="false">
      <c r="A1026" s="21" t="s">
        <v>1286</v>
      </c>
      <c r="B1026" s="21" t="s">
        <v>1026</v>
      </c>
      <c r="C1026" s="21"/>
      <c r="D1026" s="37" t="s">
        <v>84</v>
      </c>
      <c r="E1026" s="37" t="s">
        <v>84</v>
      </c>
      <c r="F1026" s="37" t="s">
        <v>36</v>
      </c>
      <c r="G1026" s="21" t="s">
        <v>445</v>
      </c>
      <c r="H1026" s="21" t="n">
        <v>0</v>
      </c>
      <c r="I1026" s="21" t="s">
        <v>137</v>
      </c>
    </row>
    <row r="1027" customFormat="false" ht="15" hidden="false" customHeight="false" outlineLevel="0" collapsed="false">
      <c r="A1027" s="21" t="s">
        <v>1287</v>
      </c>
      <c r="B1027" s="21" t="s">
        <v>1026</v>
      </c>
      <c r="C1027" s="21"/>
      <c r="D1027" s="37" t="s">
        <v>84</v>
      </c>
      <c r="E1027" s="37" t="s">
        <v>84</v>
      </c>
      <c r="F1027" s="37" t="s">
        <v>36</v>
      </c>
      <c r="G1027" s="21" t="s">
        <v>445</v>
      </c>
      <c r="H1027" s="21" t="n">
        <v>0</v>
      </c>
      <c r="I1027" s="21" t="s">
        <v>137</v>
      </c>
    </row>
    <row r="1028" customFormat="false" ht="15" hidden="false" customHeight="false" outlineLevel="0" collapsed="false">
      <c r="A1028" s="21" t="s">
        <v>1288</v>
      </c>
      <c r="B1028" s="21" t="s">
        <v>1026</v>
      </c>
      <c r="C1028" s="21"/>
      <c r="D1028" s="37" t="s">
        <v>84</v>
      </c>
      <c r="E1028" s="37" t="s">
        <v>84</v>
      </c>
      <c r="F1028" s="37" t="s">
        <v>36</v>
      </c>
      <c r="G1028" s="21" t="s">
        <v>445</v>
      </c>
      <c r="H1028" s="21" t="n">
        <v>0</v>
      </c>
      <c r="I1028" s="21" t="s">
        <v>137</v>
      </c>
    </row>
    <row r="1029" customFormat="false" ht="15" hidden="false" customHeight="false" outlineLevel="0" collapsed="false">
      <c r="A1029" s="21" t="s">
        <v>1289</v>
      </c>
      <c r="B1029" s="21" t="s">
        <v>1026</v>
      </c>
      <c r="C1029" s="21"/>
      <c r="D1029" s="37" t="s">
        <v>84</v>
      </c>
      <c r="E1029" s="37" t="s">
        <v>84</v>
      </c>
      <c r="F1029" s="37" t="s">
        <v>36</v>
      </c>
      <c r="G1029" s="21" t="s">
        <v>445</v>
      </c>
      <c r="H1029" s="21" t="n">
        <v>0</v>
      </c>
      <c r="I1029" s="21" t="s">
        <v>137</v>
      </c>
    </row>
    <row r="1030" customFormat="false" ht="15" hidden="false" customHeight="false" outlineLevel="0" collapsed="false">
      <c r="A1030" s="21" t="s">
        <v>1290</v>
      </c>
      <c r="B1030" s="21" t="s">
        <v>1032</v>
      </c>
      <c r="C1030" s="21"/>
      <c r="D1030" s="37" t="s">
        <v>84</v>
      </c>
      <c r="E1030" s="37" t="s">
        <v>84</v>
      </c>
      <c r="F1030" s="37" t="s">
        <v>36</v>
      </c>
      <c r="G1030" s="21" t="s">
        <v>445</v>
      </c>
      <c r="H1030" s="21" t="n">
        <v>0</v>
      </c>
      <c r="I1030" s="21" t="s">
        <v>137</v>
      </c>
    </row>
    <row r="1031" customFormat="false" ht="15" hidden="false" customHeight="false" outlineLevel="0" collapsed="false">
      <c r="A1031" s="21" t="s">
        <v>1291</v>
      </c>
      <c r="B1031" s="21" t="s">
        <v>1026</v>
      </c>
      <c r="C1031" s="21"/>
      <c r="D1031" s="37" t="s">
        <v>84</v>
      </c>
      <c r="E1031" s="37" t="s">
        <v>84</v>
      </c>
      <c r="F1031" s="37" t="s">
        <v>36</v>
      </c>
      <c r="G1031" s="21" t="s">
        <v>445</v>
      </c>
      <c r="H1031" s="21" t="n">
        <v>0</v>
      </c>
      <c r="I1031" s="21" t="s">
        <v>137</v>
      </c>
    </row>
    <row r="1032" customFormat="false" ht="15" hidden="false" customHeight="false" outlineLevel="0" collapsed="false">
      <c r="A1032" s="21" t="s">
        <v>1292</v>
      </c>
      <c r="B1032" s="21" t="s">
        <v>1028</v>
      </c>
      <c r="C1032" s="21"/>
      <c r="D1032" s="37" t="s">
        <v>84</v>
      </c>
      <c r="E1032" s="37" t="s">
        <v>84</v>
      </c>
      <c r="F1032" s="37" t="s">
        <v>36</v>
      </c>
      <c r="G1032" s="21" t="s">
        <v>445</v>
      </c>
      <c r="H1032" s="21" t="n">
        <v>0</v>
      </c>
      <c r="I1032" s="21" t="s">
        <v>137</v>
      </c>
    </row>
    <row r="1033" customFormat="false" ht="15" hidden="false" customHeight="false" outlineLevel="0" collapsed="false">
      <c r="A1033" s="21" t="s">
        <v>1293</v>
      </c>
      <c r="B1033" s="21" t="s">
        <v>1032</v>
      </c>
      <c r="C1033" s="21"/>
      <c r="D1033" s="37" t="s">
        <v>84</v>
      </c>
      <c r="E1033" s="37" t="s">
        <v>84</v>
      </c>
      <c r="F1033" s="37" t="s">
        <v>36</v>
      </c>
      <c r="G1033" s="21" t="s">
        <v>445</v>
      </c>
      <c r="H1033" s="21" t="n">
        <v>0</v>
      </c>
      <c r="I1033" s="21" t="s">
        <v>137</v>
      </c>
    </row>
    <row r="1034" customFormat="false" ht="15" hidden="false" customHeight="false" outlineLevel="0" collapsed="false">
      <c r="A1034" s="21" t="s">
        <v>1294</v>
      </c>
      <c r="B1034" s="21" t="s">
        <v>1026</v>
      </c>
      <c r="C1034" s="21"/>
      <c r="D1034" s="37" t="s">
        <v>84</v>
      </c>
      <c r="E1034" s="37" t="s">
        <v>84</v>
      </c>
      <c r="F1034" s="37" t="s">
        <v>36</v>
      </c>
      <c r="G1034" s="21" t="s">
        <v>445</v>
      </c>
      <c r="H1034" s="21" t="n">
        <v>0</v>
      </c>
      <c r="I1034" s="21" t="s">
        <v>137</v>
      </c>
    </row>
    <row r="1035" customFormat="false" ht="15" hidden="false" customHeight="false" outlineLevel="0" collapsed="false">
      <c r="A1035" s="21" t="s">
        <v>1295</v>
      </c>
      <c r="B1035" s="21" t="s">
        <v>1026</v>
      </c>
      <c r="C1035" s="21"/>
      <c r="D1035" s="37" t="s">
        <v>84</v>
      </c>
      <c r="E1035" s="37" t="s">
        <v>84</v>
      </c>
      <c r="F1035" s="37" t="s">
        <v>36</v>
      </c>
      <c r="G1035" s="21" t="s">
        <v>445</v>
      </c>
      <c r="H1035" s="21" t="n">
        <v>0</v>
      </c>
      <c r="I1035" s="21" t="s">
        <v>137</v>
      </c>
    </row>
    <row r="1036" customFormat="false" ht="15" hidden="false" customHeight="false" outlineLevel="0" collapsed="false">
      <c r="A1036" s="21" t="s">
        <v>1296</v>
      </c>
      <c r="B1036" s="21" t="s">
        <v>1026</v>
      </c>
      <c r="C1036" s="21"/>
      <c r="D1036" s="37" t="s">
        <v>84</v>
      </c>
      <c r="E1036" s="37" t="s">
        <v>84</v>
      </c>
      <c r="F1036" s="37" t="s">
        <v>36</v>
      </c>
      <c r="G1036" s="21" t="s">
        <v>445</v>
      </c>
      <c r="H1036" s="21" t="n">
        <v>0</v>
      </c>
      <c r="I1036" s="21" t="s">
        <v>137</v>
      </c>
    </row>
    <row r="1037" customFormat="false" ht="15" hidden="false" customHeight="false" outlineLevel="0" collapsed="false">
      <c r="A1037" s="21" t="s">
        <v>1297</v>
      </c>
      <c r="B1037" s="21" t="s">
        <v>1028</v>
      </c>
      <c r="C1037" s="21"/>
      <c r="D1037" s="37" t="s">
        <v>84</v>
      </c>
      <c r="E1037" s="37" t="s">
        <v>84</v>
      </c>
      <c r="F1037" s="37" t="s">
        <v>36</v>
      </c>
      <c r="G1037" s="21" t="s">
        <v>445</v>
      </c>
      <c r="H1037" s="21" t="n">
        <v>0</v>
      </c>
      <c r="I1037" s="21" t="s">
        <v>137</v>
      </c>
    </row>
    <row r="1038" customFormat="false" ht="15" hidden="false" customHeight="false" outlineLevel="0" collapsed="false">
      <c r="A1038" s="21" t="s">
        <v>1298</v>
      </c>
      <c r="B1038" s="21" t="s">
        <v>1028</v>
      </c>
      <c r="C1038" s="21"/>
      <c r="D1038" s="37" t="s">
        <v>84</v>
      </c>
      <c r="E1038" s="37" t="s">
        <v>84</v>
      </c>
      <c r="F1038" s="37" t="s">
        <v>36</v>
      </c>
      <c r="G1038" s="21" t="s">
        <v>445</v>
      </c>
      <c r="H1038" s="21" t="n">
        <v>0</v>
      </c>
      <c r="I1038" s="21" t="s">
        <v>137</v>
      </c>
    </row>
    <row r="1039" customFormat="false" ht="15" hidden="false" customHeight="false" outlineLevel="0" collapsed="false">
      <c r="A1039" s="21" t="s">
        <v>1299</v>
      </c>
      <c r="B1039" s="21" t="s">
        <v>1026</v>
      </c>
      <c r="C1039" s="21"/>
      <c r="D1039" s="37" t="s">
        <v>84</v>
      </c>
      <c r="E1039" s="37" t="s">
        <v>84</v>
      </c>
      <c r="F1039" s="37" t="s">
        <v>36</v>
      </c>
      <c r="G1039" s="21" t="s">
        <v>445</v>
      </c>
      <c r="H1039" s="21" t="n">
        <v>0</v>
      </c>
      <c r="I1039" s="21" t="s">
        <v>137</v>
      </c>
    </row>
    <row r="1040" customFormat="false" ht="15" hidden="false" customHeight="false" outlineLevel="0" collapsed="false">
      <c r="A1040" s="21" t="s">
        <v>1300</v>
      </c>
      <c r="B1040" s="21" t="s">
        <v>1026</v>
      </c>
      <c r="C1040" s="21"/>
      <c r="D1040" s="37" t="s">
        <v>84</v>
      </c>
      <c r="E1040" s="37" t="s">
        <v>84</v>
      </c>
      <c r="F1040" s="37" t="s">
        <v>36</v>
      </c>
      <c r="G1040" s="21" t="s">
        <v>445</v>
      </c>
      <c r="H1040" s="21" t="n">
        <v>0</v>
      </c>
      <c r="I1040" s="21" t="s">
        <v>137</v>
      </c>
    </row>
    <row r="1041" customFormat="false" ht="15" hidden="false" customHeight="false" outlineLevel="0" collapsed="false">
      <c r="A1041" s="21" t="s">
        <v>1301</v>
      </c>
      <c r="B1041" s="21" t="s">
        <v>1026</v>
      </c>
      <c r="C1041" s="21"/>
      <c r="D1041" s="37" t="s">
        <v>84</v>
      </c>
      <c r="E1041" s="37" t="s">
        <v>84</v>
      </c>
      <c r="F1041" s="37" t="s">
        <v>36</v>
      </c>
      <c r="G1041" s="21" t="s">
        <v>445</v>
      </c>
      <c r="H1041" s="21" t="n">
        <v>0</v>
      </c>
      <c r="I1041" s="21" t="s">
        <v>137</v>
      </c>
    </row>
    <row r="1042" customFormat="false" ht="15" hidden="false" customHeight="false" outlineLevel="0" collapsed="false">
      <c r="A1042" s="21" t="s">
        <v>1302</v>
      </c>
      <c r="B1042" s="21" t="s">
        <v>1026</v>
      </c>
      <c r="C1042" s="21"/>
      <c r="D1042" s="37" t="s">
        <v>84</v>
      </c>
      <c r="E1042" s="37" t="s">
        <v>84</v>
      </c>
      <c r="F1042" s="37" t="s">
        <v>36</v>
      </c>
      <c r="G1042" s="21" t="s">
        <v>445</v>
      </c>
      <c r="H1042" s="21" t="n">
        <v>0</v>
      </c>
      <c r="I1042" s="21" t="s">
        <v>137</v>
      </c>
    </row>
    <row r="1043" customFormat="false" ht="15" hidden="false" customHeight="false" outlineLevel="0" collapsed="false">
      <c r="A1043" s="21" t="s">
        <v>1303</v>
      </c>
      <c r="B1043" s="21" t="s">
        <v>1026</v>
      </c>
      <c r="C1043" s="21"/>
      <c r="D1043" s="37" t="s">
        <v>84</v>
      </c>
      <c r="E1043" s="37" t="s">
        <v>84</v>
      </c>
      <c r="F1043" s="37" t="s">
        <v>36</v>
      </c>
      <c r="G1043" s="21" t="s">
        <v>445</v>
      </c>
      <c r="H1043" s="21" t="n">
        <v>0</v>
      </c>
      <c r="I1043" s="21" t="s">
        <v>137</v>
      </c>
    </row>
    <row r="1044" customFormat="false" ht="15" hidden="false" customHeight="false" outlineLevel="0" collapsed="false">
      <c r="A1044" s="21" t="s">
        <v>1304</v>
      </c>
      <c r="B1044" s="21" t="s">
        <v>1026</v>
      </c>
      <c r="C1044" s="21"/>
      <c r="D1044" s="37" t="s">
        <v>84</v>
      </c>
      <c r="E1044" s="37" t="s">
        <v>84</v>
      </c>
      <c r="F1044" s="37" t="s">
        <v>36</v>
      </c>
      <c r="G1044" s="21" t="s">
        <v>445</v>
      </c>
      <c r="H1044" s="21" t="n">
        <v>0</v>
      </c>
      <c r="I1044" s="21" t="s">
        <v>137</v>
      </c>
    </row>
    <row r="1045" customFormat="false" ht="15" hidden="false" customHeight="false" outlineLevel="0" collapsed="false">
      <c r="A1045" s="21" t="s">
        <v>1305</v>
      </c>
      <c r="B1045" s="21" t="s">
        <v>1028</v>
      </c>
      <c r="C1045" s="21"/>
      <c r="D1045" s="37" t="s">
        <v>84</v>
      </c>
      <c r="E1045" s="37" t="s">
        <v>84</v>
      </c>
      <c r="F1045" s="37" t="s">
        <v>36</v>
      </c>
      <c r="G1045" s="21" t="s">
        <v>445</v>
      </c>
      <c r="H1045" s="21" t="n">
        <v>0</v>
      </c>
      <c r="I1045" s="21" t="s">
        <v>137</v>
      </c>
    </row>
    <row r="1046" customFormat="false" ht="15" hidden="false" customHeight="false" outlineLevel="0" collapsed="false">
      <c r="A1046" s="21" t="s">
        <v>1306</v>
      </c>
      <c r="B1046" s="21" t="s">
        <v>1028</v>
      </c>
      <c r="C1046" s="21"/>
      <c r="D1046" s="37" t="s">
        <v>84</v>
      </c>
      <c r="E1046" s="37" t="s">
        <v>84</v>
      </c>
      <c r="F1046" s="37" t="s">
        <v>36</v>
      </c>
      <c r="G1046" s="21" t="s">
        <v>445</v>
      </c>
      <c r="H1046" s="21" t="n">
        <v>0</v>
      </c>
      <c r="I1046" s="21" t="s">
        <v>137</v>
      </c>
    </row>
    <row r="1047" customFormat="false" ht="15" hidden="false" customHeight="false" outlineLevel="0" collapsed="false">
      <c r="A1047" s="21" t="s">
        <v>1307</v>
      </c>
      <c r="B1047" s="21" t="s">
        <v>1026</v>
      </c>
      <c r="C1047" s="21"/>
      <c r="D1047" s="37" t="s">
        <v>84</v>
      </c>
      <c r="E1047" s="37" t="s">
        <v>84</v>
      </c>
      <c r="F1047" s="37" t="s">
        <v>36</v>
      </c>
      <c r="G1047" s="21" t="s">
        <v>445</v>
      </c>
      <c r="H1047" s="21" t="n">
        <v>0</v>
      </c>
      <c r="I1047" s="21" t="s">
        <v>137</v>
      </c>
    </row>
    <row r="1048" customFormat="false" ht="15" hidden="false" customHeight="false" outlineLevel="0" collapsed="false">
      <c r="A1048" s="21" t="s">
        <v>1308</v>
      </c>
      <c r="B1048" s="21" t="s">
        <v>1026</v>
      </c>
      <c r="C1048" s="21"/>
      <c r="D1048" s="37" t="s">
        <v>84</v>
      </c>
      <c r="E1048" s="37" t="s">
        <v>84</v>
      </c>
      <c r="F1048" s="37" t="s">
        <v>36</v>
      </c>
      <c r="G1048" s="21" t="s">
        <v>445</v>
      </c>
      <c r="H1048" s="21" t="n">
        <v>0</v>
      </c>
      <c r="I1048" s="21" t="s">
        <v>137</v>
      </c>
    </row>
    <row r="1049" customFormat="false" ht="15" hidden="false" customHeight="false" outlineLevel="0" collapsed="false">
      <c r="A1049" s="21" t="s">
        <v>1309</v>
      </c>
      <c r="B1049" s="21" t="s">
        <v>1028</v>
      </c>
      <c r="C1049" s="21"/>
      <c r="D1049" s="37" t="s">
        <v>84</v>
      </c>
      <c r="E1049" s="37" t="s">
        <v>84</v>
      </c>
      <c r="F1049" s="37" t="s">
        <v>36</v>
      </c>
      <c r="G1049" s="21" t="s">
        <v>445</v>
      </c>
      <c r="H1049" s="21" t="n">
        <v>0</v>
      </c>
      <c r="I1049" s="21" t="s">
        <v>137</v>
      </c>
    </row>
    <row r="1050" customFormat="false" ht="15" hidden="false" customHeight="false" outlineLevel="0" collapsed="false">
      <c r="A1050" s="21" t="s">
        <v>1310</v>
      </c>
      <c r="B1050" s="21" t="s">
        <v>1028</v>
      </c>
      <c r="C1050" s="21"/>
      <c r="D1050" s="37" t="s">
        <v>84</v>
      </c>
      <c r="E1050" s="37" t="s">
        <v>84</v>
      </c>
      <c r="F1050" s="37" t="s">
        <v>36</v>
      </c>
      <c r="G1050" s="21" t="s">
        <v>445</v>
      </c>
      <c r="H1050" s="21" t="n">
        <v>0</v>
      </c>
      <c r="I1050" s="21" t="s">
        <v>137</v>
      </c>
    </row>
    <row r="1051" customFormat="false" ht="15" hidden="false" customHeight="false" outlineLevel="0" collapsed="false">
      <c r="A1051" s="21" t="s">
        <v>1311</v>
      </c>
      <c r="B1051" s="21" t="s">
        <v>1026</v>
      </c>
      <c r="C1051" s="21"/>
      <c r="D1051" s="37" t="s">
        <v>84</v>
      </c>
      <c r="E1051" s="37" t="s">
        <v>84</v>
      </c>
      <c r="F1051" s="37" t="s">
        <v>36</v>
      </c>
      <c r="G1051" s="21" t="s">
        <v>445</v>
      </c>
      <c r="H1051" s="21" t="n">
        <v>0</v>
      </c>
      <c r="I1051" s="21" t="s">
        <v>137</v>
      </c>
    </row>
    <row r="1052" customFormat="false" ht="15" hidden="false" customHeight="false" outlineLevel="0" collapsed="false">
      <c r="A1052" s="21" t="s">
        <v>1312</v>
      </c>
      <c r="B1052" s="21" t="s">
        <v>1026</v>
      </c>
      <c r="C1052" s="21"/>
      <c r="D1052" s="37" t="s">
        <v>84</v>
      </c>
      <c r="E1052" s="37" t="s">
        <v>84</v>
      </c>
      <c r="F1052" s="37" t="s">
        <v>36</v>
      </c>
      <c r="G1052" s="21" t="s">
        <v>445</v>
      </c>
      <c r="H1052" s="21" t="n">
        <v>0</v>
      </c>
      <c r="I1052" s="21" t="s">
        <v>137</v>
      </c>
    </row>
    <row r="1053" customFormat="false" ht="15" hidden="false" customHeight="false" outlineLevel="0" collapsed="false">
      <c r="A1053" s="21" t="s">
        <v>1313</v>
      </c>
      <c r="B1053" s="21" t="s">
        <v>1026</v>
      </c>
      <c r="C1053" s="21"/>
      <c r="D1053" s="37" t="s">
        <v>84</v>
      </c>
      <c r="E1053" s="37" t="s">
        <v>84</v>
      </c>
      <c r="F1053" s="37" t="s">
        <v>36</v>
      </c>
      <c r="G1053" s="21" t="s">
        <v>445</v>
      </c>
      <c r="H1053" s="21" t="n">
        <v>0</v>
      </c>
      <c r="I1053" s="21" t="s">
        <v>137</v>
      </c>
    </row>
    <row r="1054" customFormat="false" ht="15" hidden="false" customHeight="false" outlineLevel="0" collapsed="false">
      <c r="A1054" s="21" t="s">
        <v>1314</v>
      </c>
      <c r="B1054" s="21"/>
      <c r="C1054" s="21"/>
      <c r="D1054" s="37" t="s">
        <v>84</v>
      </c>
      <c r="E1054" s="37" t="s">
        <v>84</v>
      </c>
      <c r="F1054" s="37" t="s">
        <v>36</v>
      </c>
      <c r="G1054" s="21" t="s">
        <v>450</v>
      </c>
      <c r="H1054" s="21" t="n">
        <v>0</v>
      </c>
      <c r="I1054" s="21" t="s">
        <v>137</v>
      </c>
    </row>
    <row r="1055" customFormat="false" ht="15" hidden="false" customHeight="false" outlineLevel="0" collapsed="false">
      <c r="A1055" s="21" t="s">
        <v>1315</v>
      </c>
      <c r="B1055" s="21" t="s">
        <v>1028</v>
      </c>
      <c r="C1055" s="21"/>
      <c r="D1055" s="37" t="s">
        <v>84</v>
      </c>
      <c r="E1055" s="37" t="s">
        <v>84</v>
      </c>
      <c r="F1055" s="37" t="s">
        <v>36</v>
      </c>
      <c r="G1055" s="21" t="s">
        <v>445</v>
      </c>
      <c r="H1055" s="21" t="n">
        <v>0</v>
      </c>
      <c r="I1055" s="21" t="s">
        <v>137</v>
      </c>
    </row>
    <row r="1056" customFormat="false" ht="15" hidden="false" customHeight="false" outlineLevel="0" collapsed="false">
      <c r="A1056" s="21" t="s">
        <v>1316</v>
      </c>
      <c r="B1056" s="21" t="s">
        <v>1032</v>
      </c>
      <c r="C1056" s="21"/>
      <c r="D1056" s="37" t="s">
        <v>84</v>
      </c>
      <c r="E1056" s="37" t="s">
        <v>84</v>
      </c>
      <c r="F1056" s="37" t="s">
        <v>36</v>
      </c>
      <c r="G1056" s="21" t="s">
        <v>445</v>
      </c>
      <c r="H1056" s="21" t="n">
        <v>0</v>
      </c>
      <c r="I1056" s="21" t="s">
        <v>137</v>
      </c>
    </row>
    <row r="1057" customFormat="false" ht="15" hidden="false" customHeight="false" outlineLevel="0" collapsed="false">
      <c r="A1057" s="21" t="s">
        <v>1317</v>
      </c>
      <c r="B1057" s="21" t="s">
        <v>1028</v>
      </c>
      <c r="C1057" s="21"/>
      <c r="D1057" s="37" t="s">
        <v>84</v>
      </c>
      <c r="E1057" s="37" t="s">
        <v>84</v>
      </c>
      <c r="F1057" s="37" t="s">
        <v>36</v>
      </c>
      <c r="G1057" s="21" t="s">
        <v>445</v>
      </c>
      <c r="H1057" s="21" t="n">
        <v>0</v>
      </c>
      <c r="I1057" s="21" t="s">
        <v>137</v>
      </c>
    </row>
    <row r="1058" customFormat="false" ht="15" hidden="false" customHeight="false" outlineLevel="0" collapsed="false">
      <c r="A1058" s="21" t="s">
        <v>1318</v>
      </c>
      <c r="B1058" s="21" t="s">
        <v>1028</v>
      </c>
      <c r="C1058" s="21"/>
      <c r="D1058" s="37" t="s">
        <v>84</v>
      </c>
      <c r="E1058" s="37" t="s">
        <v>84</v>
      </c>
      <c r="F1058" s="37" t="s">
        <v>36</v>
      </c>
      <c r="G1058" s="21" t="s">
        <v>445</v>
      </c>
      <c r="H1058" s="21" t="n">
        <v>0</v>
      </c>
      <c r="I1058" s="21" t="s">
        <v>137</v>
      </c>
    </row>
    <row r="1059" customFormat="false" ht="15" hidden="false" customHeight="false" outlineLevel="0" collapsed="false">
      <c r="A1059" s="21" t="s">
        <v>1319</v>
      </c>
      <c r="B1059" s="21" t="s">
        <v>1026</v>
      </c>
      <c r="C1059" s="21"/>
      <c r="D1059" s="37" t="s">
        <v>84</v>
      </c>
      <c r="E1059" s="37" t="s">
        <v>84</v>
      </c>
      <c r="F1059" s="37" t="s">
        <v>36</v>
      </c>
      <c r="G1059" s="21" t="s">
        <v>445</v>
      </c>
      <c r="H1059" s="21" t="n">
        <v>0</v>
      </c>
      <c r="I1059" s="21" t="s">
        <v>137</v>
      </c>
    </row>
    <row r="1060" customFormat="false" ht="15" hidden="false" customHeight="false" outlineLevel="0" collapsed="false">
      <c r="A1060" s="21" t="s">
        <v>1320</v>
      </c>
      <c r="B1060" s="21" t="s">
        <v>1028</v>
      </c>
      <c r="C1060" s="21"/>
      <c r="D1060" s="37" t="s">
        <v>84</v>
      </c>
      <c r="E1060" s="37" t="s">
        <v>84</v>
      </c>
      <c r="F1060" s="37" t="s">
        <v>36</v>
      </c>
      <c r="G1060" s="21" t="s">
        <v>445</v>
      </c>
      <c r="H1060" s="21" t="n">
        <v>0</v>
      </c>
      <c r="I1060" s="21" t="s">
        <v>137</v>
      </c>
    </row>
    <row r="1061" customFormat="false" ht="15" hidden="false" customHeight="false" outlineLevel="0" collapsed="false">
      <c r="A1061" s="21" t="s">
        <v>1321</v>
      </c>
      <c r="B1061" s="21" t="s">
        <v>1032</v>
      </c>
      <c r="C1061" s="21"/>
      <c r="D1061" s="37" t="s">
        <v>84</v>
      </c>
      <c r="E1061" s="37" t="s">
        <v>84</v>
      </c>
      <c r="F1061" s="37" t="s">
        <v>36</v>
      </c>
      <c r="G1061" s="21" t="s">
        <v>445</v>
      </c>
      <c r="H1061" s="21" t="n">
        <v>0</v>
      </c>
      <c r="I1061" s="21" t="s">
        <v>137</v>
      </c>
    </row>
    <row r="1062" customFormat="false" ht="15" hidden="false" customHeight="false" outlineLevel="0" collapsed="false">
      <c r="A1062" s="21" t="s">
        <v>1322</v>
      </c>
      <c r="B1062" s="21" t="s">
        <v>1026</v>
      </c>
      <c r="C1062" s="21"/>
      <c r="D1062" s="37" t="s">
        <v>84</v>
      </c>
      <c r="E1062" s="37" t="s">
        <v>84</v>
      </c>
      <c r="F1062" s="37" t="s">
        <v>36</v>
      </c>
      <c r="G1062" s="21" t="s">
        <v>445</v>
      </c>
      <c r="H1062" s="21" t="n">
        <v>0</v>
      </c>
      <c r="I1062" s="21" t="s">
        <v>137</v>
      </c>
    </row>
    <row r="1063" customFormat="false" ht="15" hidden="false" customHeight="false" outlineLevel="0" collapsed="false">
      <c r="A1063" s="21" t="s">
        <v>1323</v>
      </c>
      <c r="B1063" s="21"/>
      <c r="C1063" s="21"/>
      <c r="D1063" s="37" t="s">
        <v>84</v>
      </c>
      <c r="E1063" s="37" t="s">
        <v>84</v>
      </c>
      <c r="F1063" s="37" t="s">
        <v>36</v>
      </c>
      <c r="G1063" s="21" t="s">
        <v>1141</v>
      </c>
      <c r="H1063" s="21" t="n">
        <v>0</v>
      </c>
      <c r="I1063" s="21" t="s">
        <v>137</v>
      </c>
    </row>
    <row r="1064" customFormat="false" ht="15" hidden="false" customHeight="false" outlineLevel="0" collapsed="false">
      <c r="A1064" s="21" t="s">
        <v>1324</v>
      </c>
      <c r="B1064" s="21" t="s">
        <v>1026</v>
      </c>
      <c r="C1064" s="21"/>
      <c r="D1064" s="37" t="s">
        <v>84</v>
      </c>
      <c r="E1064" s="37" t="s">
        <v>84</v>
      </c>
      <c r="F1064" s="37" t="s">
        <v>36</v>
      </c>
      <c r="G1064" s="21" t="s">
        <v>445</v>
      </c>
      <c r="H1064" s="21" t="n">
        <v>0</v>
      </c>
      <c r="I1064" s="21" t="s">
        <v>137</v>
      </c>
    </row>
    <row r="1065" customFormat="false" ht="15" hidden="false" customHeight="false" outlineLevel="0" collapsed="false">
      <c r="A1065" s="21" t="s">
        <v>1325</v>
      </c>
      <c r="B1065" s="21" t="s">
        <v>1026</v>
      </c>
      <c r="C1065" s="21"/>
      <c r="D1065" s="37" t="s">
        <v>84</v>
      </c>
      <c r="E1065" s="37" t="s">
        <v>84</v>
      </c>
      <c r="F1065" s="37" t="s">
        <v>36</v>
      </c>
      <c r="G1065" s="21" t="s">
        <v>445</v>
      </c>
      <c r="H1065" s="21" t="n">
        <v>0</v>
      </c>
      <c r="I1065" s="21" t="s">
        <v>137</v>
      </c>
    </row>
    <row r="1066" customFormat="false" ht="15" hidden="false" customHeight="false" outlineLevel="0" collapsed="false">
      <c r="A1066" s="21" t="s">
        <v>1326</v>
      </c>
      <c r="B1066" s="21" t="s">
        <v>1032</v>
      </c>
      <c r="C1066" s="21"/>
      <c r="D1066" s="37" t="s">
        <v>84</v>
      </c>
      <c r="E1066" s="37" t="s">
        <v>84</v>
      </c>
      <c r="F1066" s="37" t="s">
        <v>36</v>
      </c>
      <c r="G1066" s="21" t="s">
        <v>445</v>
      </c>
      <c r="H1066" s="21" t="n">
        <v>0</v>
      </c>
      <c r="I1066" s="21" t="s">
        <v>137</v>
      </c>
    </row>
    <row r="1067" customFormat="false" ht="15" hidden="false" customHeight="false" outlineLevel="0" collapsed="false">
      <c r="A1067" s="21" t="s">
        <v>1327</v>
      </c>
      <c r="B1067" s="21" t="s">
        <v>1028</v>
      </c>
      <c r="C1067" s="21"/>
      <c r="D1067" s="37" t="s">
        <v>84</v>
      </c>
      <c r="E1067" s="37" t="s">
        <v>84</v>
      </c>
      <c r="F1067" s="37" t="s">
        <v>36</v>
      </c>
      <c r="G1067" s="21" t="s">
        <v>445</v>
      </c>
      <c r="H1067" s="21" t="n">
        <v>0</v>
      </c>
      <c r="I1067" s="21" t="s">
        <v>137</v>
      </c>
    </row>
    <row r="1068" customFormat="false" ht="15" hidden="false" customHeight="false" outlineLevel="0" collapsed="false">
      <c r="A1068" s="21" t="s">
        <v>1328</v>
      </c>
      <c r="B1068" s="21"/>
      <c r="C1068" s="21"/>
      <c r="D1068" s="37" t="s">
        <v>84</v>
      </c>
      <c r="E1068" s="37" t="s">
        <v>84</v>
      </c>
      <c r="F1068" s="37" t="s">
        <v>36</v>
      </c>
      <c r="G1068" s="21" t="s">
        <v>450</v>
      </c>
      <c r="H1068" s="21" t="n">
        <v>0</v>
      </c>
      <c r="I1068" s="21" t="s">
        <v>137</v>
      </c>
    </row>
    <row r="1069" customFormat="false" ht="15" hidden="false" customHeight="false" outlineLevel="0" collapsed="false">
      <c r="A1069" s="21" t="s">
        <v>1329</v>
      </c>
      <c r="B1069" s="21"/>
      <c r="C1069" s="21"/>
      <c r="D1069" s="37" t="s">
        <v>84</v>
      </c>
      <c r="E1069" s="37" t="s">
        <v>84</v>
      </c>
      <c r="F1069" s="37" t="s">
        <v>36</v>
      </c>
      <c r="G1069" s="21" t="s">
        <v>450</v>
      </c>
      <c r="H1069" s="21" t="n">
        <v>0</v>
      </c>
      <c r="I1069" s="21" t="s">
        <v>137</v>
      </c>
    </row>
    <row r="1070" customFormat="false" ht="15" hidden="false" customHeight="false" outlineLevel="0" collapsed="false">
      <c r="A1070" s="21" t="s">
        <v>1330</v>
      </c>
      <c r="B1070" s="21"/>
      <c r="C1070" s="21"/>
      <c r="D1070" s="37" t="s">
        <v>84</v>
      </c>
      <c r="E1070" s="37" t="s">
        <v>84</v>
      </c>
      <c r="F1070" s="37" t="s">
        <v>36</v>
      </c>
      <c r="G1070" s="21" t="s">
        <v>450</v>
      </c>
      <c r="H1070" s="21" t="n">
        <v>0</v>
      </c>
      <c r="I1070" s="21" t="s">
        <v>137</v>
      </c>
    </row>
    <row r="1071" customFormat="false" ht="15" hidden="false" customHeight="false" outlineLevel="0" collapsed="false">
      <c r="A1071" s="21" t="s">
        <v>1331</v>
      </c>
      <c r="B1071" s="21"/>
      <c r="C1071" s="21"/>
      <c r="D1071" s="37" t="s">
        <v>84</v>
      </c>
      <c r="E1071" s="37" t="s">
        <v>84</v>
      </c>
      <c r="F1071" s="37" t="s">
        <v>36</v>
      </c>
      <c r="G1071" s="21" t="s">
        <v>450</v>
      </c>
      <c r="H1071" s="21" t="n">
        <v>0</v>
      </c>
      <c r="I1071" s="21" t="s">
        <v>137</v>
      </c>
    </row>
    <row r="1072" customFormat="false" ht="15" hidden="false" customHeight="false" outlineLevel="0" collapsed="false">
      <c r="A1072" s="21" t="s">
        <v>1332</v>
      </c>
      <c r="B1072" s="21" t="s">
        <v>1026</v>
      </c>
      <c r="C1072" s="21"/>
      <c r="D1072" s="37" t="s">
        <v>84</v>
      </c>
      <c r="E1072" s="37" t="s">
        <v>84</v>
      </c>
      <c r="F1072" s="37" t="s">
        <v>36</v>
      </c>
      <c r="G1072" s="21" t="s">
        <v>445</v>
      </c>
      <c r="H1072" s="21" t="n">
        <v>0</v>
      </c>
      <c r="I1072" s="21" t="s">
        <v>137</v>
      </c>
    </row>
    <row r="1073" customFormat="false" ht="15" hidden="false" customHeight="false" outlineLevel="0" collapsed="false">
      <c r="A1073" s="21" t="s">
        <v>1333</v>
      </c>
      <c r="B1073" s="21" t="s">
        <v>1032</v>
      </c>
      <c r="C1073" s="21"/>
      <c r="D1073" s="37" t="s">
        <v>84</v>
      </c>
      <c r="E1073" s="37" t="s">
        <v>84</v>
      </c>
      <c r="F1073" s="37" t="s">
        <v>36</v>
      </c>
      <c r="G1073" s="21" t="s">
        <v>445</v>
      </c>
      <c r="H1073" s="21" t="n">
        <v>0</v>
      </c>
      <c r="I1073" s="21" t="s">
        <v>137</v>
      </c>
    </row>
    <row r="1074" customFormat="false" ht="15" hidden="false" customHeight="false" outlineLevel="0" collapsed="false">
      <c r="A1074" s="21" t="s">
        <v>1334</v>
      </c>
      <c r="B1074" s="21" t="s">
        <v>1026</v>
      </c>
      <c r="C1074" s="21"/>
      <c r="D1074" s="37" t="s">
        <v>84</v>
      </c>
      <c r="E1074" s="37" t="s">
        <v>84</v>
      </c>
      <c r="F1074" s="37" t="s">
        <v>36</v>
      </c>
      <c r="G1074" s="21" t="s">
        <v>445</v>
      </c>
      <c r="H1074" s="21" t="n">
        <v>0</v>
      </c>
      <c r="I1074" s="21" t="s">
        <v>137</v>
      </c>
    </row>
    <row r="1075" customFormat="false" ht="15" hidden="false" customHeight="false" outlineLevel="0" collapsed="false">
      <c r="A1075" s="21" t="s">
        <v>1335</v>
      </c>
      <c r="B1075" s="21" t="s">
        <v>1026</v>
      </c>
      <c r="C1075" s="21"/>
      <c r="D1075" s="37" t="s">
        <v>84</v>
      </c>
      <c r="E1075" s="37" t="s">
        <v>84</v>
      </c>
      <c r="F1075" s="37" t="s">
        <v>36</v>
      </c>
      <c r="G1075" s="21" t="s">
        <v>445</v>
      </c>
      <c r="H1075" s="21" t="n">
        <v>0</v>
      </c>
      <c r="I1075" s="21" t="s">
        <v>137</v>
      </c>
    </row>
    <row r="1076" customFormat="false" ht="15" hidden="false" customHeight="false" outlineLevel="0" collapsed="false">
      <c r="A1076" s="21" t="s">
        <v>1336</v>
      </c>
      <c r="B1076" s="21" t="s">
        <v>1026</v>
      </c>
      <c r="C1076" s="21"/>
      <c r="D1076" s="37" t="s">
        <v>84</v>
      </c>
      <c r="E1076" s="37" t="s">
        <v>84</v>
      </c>
      <c r="F1076" s="37" t="s">
        <v>36</v>
      </c>
      <c r="G1076" s="21" t="s">
        <v>445</v>
      </c>
      <c r="H1076" s="21" t="n">
        <v>0</v>
      </c>
      <c r="I1076" s="21" t="s">
        <v>137</v>
      </c>
    </row>
    <row r="1077" customFormat="false" ht="15" hidden="false" customHeight="false" outlineLevel="0" collapsed="false">
      <c r="A1077" s="21" t="s">
        <v>1337</v>
      </c>
      <c r="B1077" s="21" t="s">
        <v>1026</v>
      </c>
      <c r="C1077" s="21"/>
      <c r="D1077" s="37" t="s">
        <v>84</v>
      </c>
      <c r="E1077" s="37" t="s">
        <v>84</v>
      </c>
      <c r="F1077" s="37" t="s">
        <v>36</v>
      </c>
      <c r="G1077" s="21" t="s">
        <v>445</v>
      </c>
      <c r="H1077" s="21" t="n">
        <v>0</v>
      </c>
      <c r="I1077" s="21" t="s">
        <v>137</v>
      </c>
    </row>
    <row r="1078" customFormat="false" ht="15" hidden="false" customHeight="false" outlineLevel="0" collapsed="false">
      <c r="A1078" s="21" t="s">
        <v>1338</v>
      </c>
      <c r="B1078" s="21" t="s">
        <v>1032</v>
      </c>
      <c r="C1078" s="21"/>
      <c r="D1078" s="37" t="s">
        <v>84</v>
      </c>
      <c r="E1078" s="37" t="s">
        <v>84</v>
      </c>
      <c r="F1078" s="37" t="s">
        <v>36</v>
      </c>
      <c r="G1078" s="21" t="s">
        <v>445</v>
      </c>
      <c r="H1078" s="21" t="n">
        <v>0</v>
      </c>
      <c r="I1078" s="21" t="s">
        <v>137</v>
      </c>
    </row>
    <row r="1079" customFormat="false" ht="15" hidden="false" customHeight="false" outlineLevel="0" collapsed="false">
      <c r="A1079" s="21" t="s">
        <v>1339</v>
      </c>
      <c r="B1079" s="21" t="s">
        <v>1026</v>
      </c>
      <c r="C1079" s="21"/>
      <c r="D1079" s="37" t="s">
        <v>84</v>
      </c>
      <c r="E1079" s="37" t="s">
        <v>84</v>
      </c>
      <c r="F1079" s="37" t="s">
        <v>36</v>
      </c>
      <c r="G1079" s="21" t="s">
        <v>445</v>
      </c>
      <c r="H1079" s="21" t="n">
        <v>0</v>
      </c>
      <c r="I1079" s="21" t="s">
        <v>137</v>
      </c>
    </row>
    <row r="1080" customFormat="false" ht="15" hidden="false" customHeight="false" outlineLevel="0" collapsed="false">
      <c r="A1080" s="21" t="s">
        <v>1340</v>
      </c>
      <c r="B1080" s="21" t="s">
        <v>1026</v>
      </c>
      <c r="C1080" s="21"/>
      <c r="D1080" s="37" t="s">
        <v>84</v>
      </c>
      <c r="E1080" s="37" t="s">
        <v>84</v>
      </c>
      <c r="F1080" s="37" t="s">
        <v>36</v>
      </c>
      <c r="G1080" s="21" t="s">
        <v>445</v>
      </c>
      <c r="H1080" s="21" t="n">
        <v>0</v>
      </c>
      <c r="I1080" s="21" t="s">
        <v>137</v>
      </c>
    </row>
    <row r="1081" customFormat="false" ht="15" hidden="false" customHeight="false" outlineLevel="0" collapsed="false">
      <c r="A1081" s="21" t="s">
        <v>1341</v>
      </c>
      <c r="B1081" s="21" t="s">
        <v>1028</v>
      </c>
      <c r="C1081" s="21"/>
      <c r="D1081" s="37" t="s">
        <v>84</v>
      </c>
      <c r="E1081" s="37" t="s">
        <v>84</v>
      </c>
      <c r="F1081" s="37" t="s">
        <v>36</v>
      </c>
      <c r="G1081" s="21" t="s">
        <v>445</v>
      </c>
      <c r="H1081" s="21" t="n">
        <v>0</v>
      </c>
      <c r="I1081" s="21" t="s">
        <v>137</v>
      </c>
    </row>
    <row r="1082" customFormat="false" ht="15" hidden="false" customHeight="false" outlineLevel="0" collapsed="false">
      <c r="A1082" s="21" t="s">
        <v>1342</v>
      </c>
      <c r="B1082" s="21" t="s">
        <v>1026</v>
      </c>
      <c r="C1082" s="21"/>
      <c r="D1082" s="37" t="s">
        <v>84</v>
      </c>
      <c r="E1082" s="37" t="s">
        <v>84</v>
      </c>
      <c r="F1082" s="37" t="s">
        <v>36</v>
      </c>
      <c r="G1082" s="21" t="s">
        <v>445</v>
      </c>
      <c r="H1082" s="21" t="n">
        <v>0</v>
      </c>
      <c r="I1082" s="21" t="s">
        <v>137</v>
      </c>
    </row>
    <row r="1083" customFormat="false" ht="15" hidden="false" customHeight="false" outlineLevel="0" collapsed="false">
      <c r="A1083" s="21" t="s">
        <v>1343</v>
      </c>
      <c r="B1083" s="21"/>
      <c r="C1083" s="21"/>
      <c r="D1083" s="37" t="s">
        <v>84</v>
      </c>
      <c r="E1083" s="37" t="s">
        <v>84</v>
      </c>
      <c r="F1083" s="37" t="s">
        <v>36</v>
      </c>
      <c r="G1083" s="21" t="s">
        <v>1141</v>
      </c>
      <c r="H1083" s="21" t="n">
        <v>0</v>
      </c>
      <c r="I1083" s="21" t="s">
        <v>137</v>
      </c>
    </row>
    <row r="1084" customFormat="false" ht="15" hidden="false" customHeight="false" outlineLevel="0" collapsed="false">
      <c r="A1084" s="21" t="s">
        <v>1344</v>
      </c>
      <c r="B1084" s="21"/>
      <c r="C1084" s="21"/>
      <c r="D1084" s="37" t="s">
        <v>84</v>
      </c>
      <c r="E1084" s="37" t="s">
        <v>84</v>
      </c>
      <c r="F1084" s="37" t="s">
        <v>36</v>
      </c>
      <c r="G1084" s="21" t="s">
        <v>1141</v>
      </c>
      <c r="H1084" s="21" t="n">
        <v>0</v>
      </c>
      <c r="I1084" s="21" t="s">
        <v>137</v>
      </c>
    </row>
    <row r="1085" customFormat="false" ht="15" hidden="false" customHeight="false" outlineLevel="0" collapsed="false">
      <c r="A1085" s="21" t="s">
        <v>1345</v>
      </c>
      <c r="B1085" s="21"/>
      <c r="C1085" s="21"/>
      <c r="D1085" s="37" t="s">
        <v>84</v>
      </c>
      <c r="E1085" s="37" t="s">
        <v>84</v>
      </c>
      <c r="F1085" s="37" t="s">
        <v>36</v>
      </c>
      <c r="G1085" s="21" t="s">
        <v>1141</v>
      </c>
      <c r="H1085" s="21" t="n">
        <v>0</v>
      </c>
      <c r="I1085" s="21" t="s">
        <v>137</v>
      </c>
    </row>
    <row r="1086" customFormat="false" ht="15" hidden="false" customHeight="false" outlineLevel="0" collapsed="false">
      <c r="A1086" s="21" t="s">
        <v>1346</v>
      </c>
      <c r="B1086" s="21" t="s">
        <v>1028</v>
      </c>
      <c r="C1086" s="21"/>
      <c r="D1086" s="37" t="s">
        <v>84</v>
      </c>
      <c r="E1086" s="37" t="s">
        <v>84</v>
      </c>
      <c r="F1086" s="37" t="s">
        <v>36</v>
      </c>
      <c r="G1086" s="21" t="s">
        <v>445</v>
      </c>
      <c r="H1086" s="21" t="n">
        <v>0</v>
      </c>
      <c r="I1086" s="21" t="s">
        <v>137</v>
      </c>
    </row>
    <row r="1087" customFormat="false" ht="15" hidden="false" customHeight="false" outlineLevel="0" collapsed="false">
      <c r="A1087" s="21" t="s">
        <v>1347</v>
      </c>
      <c r="B1087" s="21" t="s">
        <v>1026</v>
      </c>
      <c r="C1087" s="21"/>
      <c r="D1087" s="37" t="s">
        <v>84</v>
      </c>
      <c r="E1087" s="37" t="s">
        <v>84</v>
      </c>
      <c r="F1087" s="37" t="s">
        <v>36</v>
      </c>
      <c r="G1087" s="21" t="s">
        <v>445</v>
      </c>
      <c r="H1087" s="21" t="n">
        <v>0</v>
      </c>
      <c r="I1087" s="21" t="s">
        <v>137</v>
      </c>
    </row>
    <row r="1088" customFormat="false" ht="15" hidden="false" customHeight="false" outlineLevel="0" collapsed="false">
      <c r="A1088" s="21" t="s">
        <v>1348</v>
      </c>
      <c r="B1088" s="21" t="s">
        <v>1028</v>
      </c>
      <c r="C1088" s="21"/>
      <c r="D1088" s="37" t="s">
        <v>84</v>
      </c>
      <c r="E1088" s="37" t="s">
        <v>84</v>
      </c>
      <c r="F1088" s="37" t="s">
        <v>36</v>
      </c>
      <c r="G1088" s="21" t="s">
        <v>445</v>
      </c>
      <c r="H1088" s="21" t="n">
        <v>0</v>
      </c>
      <c r="I1088" s="21" t="s">
        <v>137</v>
      </c>
    </row>
    <row r="1089" customFormat="false" ht="15" hidden="false" customHeight="false" outlineLevel="0" collapsed="false">
      <c r="A1089" s="21" t="s">
        <v>1349</v>
      </c>
      <c r="B1089" s="21" t="s">
        <v>1026</v>
      </c>
      <c r="C1089" s="21"/>
      <c r="D1089" s="37" t="s">
        <v>84</v>
      </c>
      <c r="E1089" s="37" t="s">
        <v>84</v>
      </c>
      <c r="F1089" s="37" t="s">
        <v>36</v>
      </c>
      <c r="G1089" s="21" t="s">
        <v>445</v>
      </c>
      <c r="H1089" s="21" t="n">
        <v>0</v>
      </c>
      <c r="I1089" s="21" t="s">
        <v>137</v>
      </c>
    </row>
    <row r="1090" customFormat="false" ht="15" hidden="false" customHeight="false" outlineLevel="0" collapsed="false">
      <c r="A1090" s="21" t="s">
        <v>1350</v>
      </c>
      <c r="B1090" s="21" t="s">
        <v>1026</v>
      </c>
      <c r="C1090" s="21"/>
      <c r="D1090" s="37" t="s">
        <v>84</v>
      </c>
      <c r="E1090" s="37" t="s">
        <v>84</v>
      </c>
      <c r="F1090" s="37" t="s">
        <v>36</v>
      </c>
      <c r="G1090" s="21" t="s">
        <v>445</v>
      </c>
      <c r="H1090" s="21" t="n">
        <v>0</v>
      </c>
      <c r="I1090" s="21" t="s">
        <v>137</v>
      </c>
    </row>
    <row r="1091" customFormat="false" ht="15" hidden="false" customHeight="false" outlineLevel="0" collapsed="false">
      <c r="A1091" s="21" t="s">
        <v>1351</v>
      </c>
      <c r="B1091" s="21" t="s">
        <v>1026</v>
      </c>
      <c r="C1091" s="21"/>
      <c r="D1091" s="37" t="s">
        <v>84</v>
      </c>
      <c r="E1091" s="37" t="s">
        <v>84</v>
      </c>
      <c r="F1091" s="37" t="s">
        <v>36</v>
      </c>
      <c r="G1091" s="21" t="s">
        <v>445</v>
      </c>
      <c r="H1091" s="21" t="n">
        <v>0</v>
      </c>
      <c r="I1091" s="21" t="s">
        <v>137</v>
      </c>
    </row>
    <row r="1092" customFormat="false" ht="15" hidden="false" customHeight="false" outlineLevel="0" collapsed="false">
      <c r="A1092" s="21" t="s">
        <v>1352</v>
      </c>
      <c r="B1092" s="21" t="s">
        <v>1028</v>
      </c>
      <c r="C1092" s="21"/>
      <c r="D1092" s="37" t="s">
        <v>84</v>
      </c>
      <c r="E1092" s="37" t="s">
        <v>84</v>
      </c>
      <c r="F1092" s="37" t="s">
        <v>36</v>
      </c>
      <c r="G1092" s="21" t="s">
        <v>445</v>
      </c>
      <c r="H1092" s="21" t="n">
        <v>0</v>
      </c>
      <c r="I1092" s="21" t="s">
        <v>137</v>
      </c>
    </row>
    <row r="1093" customFormat="false" ht="15" hidden="false" customHeight="false" outlineLevel="0" collapsed="false">
      <c r="A1093" s="21" t="s">
        <v>1353</v>
      </c>
      <c r="B1093" s="21" t="s">
        <v>1026</v>
      </c>
      <c r="C1093" s="21"/>
      <c r="D1093" s="37" t="s">
        <v>84</v>
      </c>
      <c r="E1093" s="37" t="s">
        <v>84</v>
      </c>
      <c r="F1093" s="37" t="s">
        <v>36</v>
      </c>
      <c r="G1093" s="21" t="s">
        <v>445</v>
      </c>
      <c r="H1093" s="21" t="n">
        <v>0</v>
      </c>
      <c r="I1093" s="21" t="s">
        <v>137</v>
      </c>
    </row>
    <row r="1094" customFormat="false" ht="15" hidden="false" customHeight="false" outlineLevel="0" collapsed="false">
      <c r="A1094" s="21" t="s">
        <v>1354</v>
      </c>
      <c r="B1094" s="21" t="s">
        <v>1026</v>
      </c>
      <c r="C1094" s="21"/>
      <c r="D1094" s="37" t="s">
        <v>84</v>
      </c>
      <c r="E1094" s="37" t="s">
        <v>84</v>
      </c>
      <c r="F1094" s="37" t="s">
        <v>36</v>
      </c>
      <c r="G1094" s="21" t="s">
        <v>445</v>
      </c>
      <c r="H1094" s="21" t="n">
        <v>0</v>
      </c>
      <c r="I1094" s="21" t="s">
        <v>137</v>
      </c>
    </row>
    <row r="1095" customFormat="false" ht="15" hidden="false" customHeight="false" outlineLevel="0" collapsed="false">
      <c r="A1095" s="21" t="s">
        <v>1355</v>
      </c>
      <c r="B1095" s="21" t="s">
        <v>1026</v>
      </c>
      <c r="C1095" s="21"/>
      <c r="D1095" s="37" t="s">
        <v>84</v>
      </c>
      <c r="E1095" s="37" t="s">
        <v>84</v>
      </c>
      <c r="F1095" s="37" t="s">
        <v>36</v>
      </c>
      <c r="G1095" s="21" t="s">
        <v>445</v>
      </c>
      <c r="H1095" s="21" t="n">
        <v>0</v>
      </c>
      <c r="I1095" s="21" t="s">
        <v>137</v>
      </c>
    </row>
    <row r="1096" customFormat="false" ht="15" hidden="false" customHeight="false" outlineLevel="0" collapsed="false">
      <c r="A1096" s="21" t="s">
        <v>1356</v>
      </c>
      <c r="B1096" s="21" t="s">
        <v>1032</v>
      </c>
      <c r="C1096" s="21"/>
      <c r="D1096" s="37" t="s">
        <v>84</v>
      </c>
      <c r="E1096" s="37" t="s">
        <v>84</v>
      </c>
      <c r="F1096" s="37" t="s">
        <v>36</v>
      </c>
      <c r="G1096" s="21" t="s">
        <v>445</v>
      </c>
      <c r="H1096" s="21" t="n">
        <v>0</v>
      </c>
      <c r="I1096" s="21" t="s">
        <v>137</v>
      </c>
    </row>
    <row r="1097" customFormat="false" ht="15" hidden="false" customHeight="false" outlineLevel="0" collapsed="false">
      <c r="A1097" s="21" t="s">
        <v>1357</v>
      </c>
      <c r="B1097" s="21" t="s">
        <v>1026</v>
      </c>
      <c r="C1097" s="21"/>
      <c r="D1097" s="37" t="s">
        <v>84</v>
      </c>
      <c r="E1097" s="37" t="s">
        <v>84</v>
      </c>
      <c r="F1097" s="37" t="s">
        <v>36</v>
      </c>
      <c r="G1097" s="21" t="s">
        <v>445</v>
      </c>
      <c r="H1097" s="21" t="n">
        <v>0</v>
      </c>
      <c r="I1097" s="21" t="s">
        <v>137</v>
      </c>
    </row>
    <row r="1098" customFormat="false" ht="15" hidden="false" customHeight="false" outlineLevel="0" collapsed="false">
      <c r="A1098" s="21" t="s">
        <v>1358</v>
      </c>
      <c r="B1098" s="21" t="s">
        <v>1028</v>
      </c>
      <c r="C1098" s="21"/>
      <c r="D1098" s="37" t="s">
        <v>84</v>
      </c>
      <c r="E1098" s="37" t="s">
        <v>84</v>
      </c>
      <c r="F1098" s="37" t="s">
        <v>36</v>
      </c>
      <c r="G1098" s="21" t="s">
        <v>445</v>
      </c>
      <c r="H1098" s="21" t="n">
        <v>0</v>
      </c>
      <c r="I1098" s="21" t="s">
        <v>137</v>
      </c>
    </row>
    <row r="1099" customFormat="false" ht="15" hidden="false" customHeight="false" outlineLevel="0" collapsed="false">
      <c r="A1099" s="21" t="s">
        <v>1359</v>
      </c>
      <c r="B1099" s="21" t="s">
        <v>1028</v>
      </c>
      <c r="C1099" s="21"/>
      <c r="D1099" s="37" t="s">
        <v>84</v>
      </c>
      <c r="E1099" s="37" t="s">
        <v>84</v>
      </c>
      <c r="F1099" s="37" t="s">
        <v>36</v>
      </c>
      <c r="G1099" s="21" t="s">
        <v>445</v>
      </c>
      <c r="H1099" s="21" t="n">
        <v>0</v>
      </c>
      <c r="I1099" s="21" t="s">
        <v>137</v>
      </c>
    </row>
    <row r="1100" customFormat="false" ht="15" hidden="false" customHeight="false" outlineLevel="0" collapsed="false">
      <c r="A1100" s="21" t="s">
        <v>1360</v>
      </c>
      <c r="B1100" s="21" t="s">
        <v>1026</v>
      </c>
      <c r="C1100" s="21"/>
      <c r="D1100" s="37" t="s">
        <v>84</v>
      </c>
      <c r="E1100" s="37" t="s">
        <v>84</v>
      </c>
      <c r="F1100" s="37" t="s">
        <v>36</v>
      </c>
      <c r="G1100" s="21" t="s">
        <v>445</v>
      </c>
      <c r="H1100" s="21" t="n">
        <v>0</v>
      </c>
      <c r="I1100" s="21" t="s">
        <v>137</v>
      </c>
    </row>
    <row r="1101" customFormat="false" ht="15" hidden="false" customHeight="false" outlineLevel="0" collapsed="false">
      <c r="A1101" s="21" t="s">
        <v>1361</v>
      </c>
      <c r="B1101" s="21" t="s">
        <v>1026</v>
      </c>
      <c r="C1101" s="21"/>
      <c r="D1101" s="37" t="s">
        <v>84</v>
      </c>
      <c r="E1101" s="37" t="s">
        <v>84</v>
      </c>
      <c r="F1101" s="37" t="s">
        <v>36</v>
      </c>
      <c r="G1101" s="21" t="s">
        <v>445</v>
      </c>
      <c r="H1101" s="21" t="n">
        <v>0</v>
      </c>
      <c r="I1101" s="21" t="s">
        <v>137</v>
      </c>
    </row>
    <row r="1102" customFormat="false" ht="15" hidden="false" customHeight="false" outlineLevel="0" collapsed="false">
      <c r="A1102" s="21" t="s">
        <v>1362</v>
      </c>
      <c r="B1102" s="21" t="s">
        <v>1028</v>
      </c>
      <c r="C1102" s="21"/>
      <c r="D1102" s="37" t="s">
        <v>84</v>
      </c>
      <c r="E1102" s="37" t="s">
        <v>84</v>
      </c>
      <c r="F1102" s="37" t="s">
        <v>36</v>
      </c>
      <c r="G1102" s="21" t="s">
        <v>445</v>
      </c>
      <c r="H1102" s="21" t="n">
        <v>0</v>
      </c>
      <c r="I1102" s="21" t="s">
        <v>137</v>
      </c>
    </row>
    <row r="1103" customFormat="false" ht="15" hidden="false" customHeight="false" outlineLevel="0" collapsed="false">
      <c r="A1103" s="21" t="s">
        <v>1363</v>
      </c>
      <c r="B1103" s="21" t="s">
        <v>1026</v>
      </c>
      <c r="C1103" s="21"/>
      <c r="D1103" s="37" t="s">
        <v>84</v>
      </c>
      <c r="E1103" s="37" t="s">
        <v>84</v>
      </c>
      <c r="F1103" s="37" t="s">
        <v>36</v>
      </c>
      <c r="G1103" s="21" t="s">
        <v>445</v>
      </c>
      <c r="H1103" s="21" t="n">
        <v>0</v>
      </c>
      <c r="I1103" s="21" t="s">
        <v>137</v>
      </c>
    </row>
    <row r="1104" customFormat="false" ht="15" hidden="false" customHeight="false" outlineLevel="0" collapsed="false">
      <c r="A1104" s="21" t="s">
        <v>1364</v>
      </c>
      <c r="B1104" s="21" t="s">
        <v>1032</v>
      </c>
      <c r="C1104" s="21"/>
      <c r="D1104" s="37" t="s">
        <v>84</v>
      </c>
      <c r="E1104" s="37" t="s">
        <v>84</v>
      </c>
      <c r="F1104" s="37" t="s">
        <v>36</v>
      </c>
      <c r="G1104" s="21" t="s">
        <v>445</v>
      </c>
      <c r="H1104" s="21" t="n">
        <v>0</v>
      </c>
      <c r="I1104" s="21" t="s">
        <v>137</v>
      </c>
    </row>
    <row r="1105" customFormat="false" ht="15" hidden="false" customHeight="false" outlineLevel="0" collapsed="false">
      <c r="A1105" s="21" t="s">
        <v>1365</v>
      </c>
      <c r="B1105" s="21"/>
      <c r="C1105" s="21"/>
      <c r="D1105" s="37" t="s">
        <v>84</v>
      </c>
      <c r="E1105" s="37" t="s">
        <v>84</v>
      </c>
      <c r="F1105" s="37" t="s">
        <v>36</v>
      </c>
      <c r="G1105" s="21" t="s">
        <v>450</v>
      </c>
      <c r="H1105" s="21" t="n">
        <v>0</v>
      </c>
      <c r="I1105" s="21" t="s">
        <v>137</v>
      </c>
    </row>
    <row r="1106" customFormat="false" ht="15" hidden="false" customHeight="false" outlineLevel="0" collapsed="false">
      <c r="A1106" s="21" t="s">
        <v>1366</v>
      </c>
      <c r="B1106" s="21" t="s">
        <v>1032</v>
      </c>
      <c r="C1106" s="21"/>
      <c r="D1106" s="37" t="s">
        <v>84</v>
      </c>
      <c r="E1106" s="37" t="s">
        <v>84</v>
      </c>
      <c r="F1106" s="37" t="s">
        <v>36</v>
      </c>
      <c r="G1106" s="21" t="s">
        <v>445</v>
      </c>
      <c r="H1106" s="21" t="n">
        <v>0</v>
      </c>
      <c r="I1106" s="21" t="s">
        <v>137</v>
      </c>
    </row>
    <row r="1107" customFormat="false" ht="15" hidden="false" customHeight="false" outlineLevel="0" collapsed="false">
      <c r="A1107" s="21" t="s">
        <v>1367</v>
      </c>
      <c r="B1107" s="21" t="s">
        <v>1026</v>
      </c>
      <c r="C1107" s="21"/>
      <c r="D1107" s="37" t="s">
        <v>84</v>
      </c>
      <c r="E1107" s="37" t="s">
        <v>84</v>
      </c>
      <c r="F1107" s="37" t="s">
        <v>36</v>
      </c>
      <c r="G1107" s="21" t="s">
        <v>445</v>
      </c>
      <c r="H1107" s="21" t="n">
        <v>0</v>
      </c>
      <c r="I1107" s="21" t="s">
        <v>137</v>
      </c>
    </row>
    <row r="1108" customFormat="false" ht="15" hidden="false" customHeight="false" outlineLevel="0" collapsed="false">
      <c r="A1108" s="21" t="s">
        <v>1368</v>
      </c>
      <c r="B1108" s="21" t="s">
        <v>1032</v>
      </c>
      <c r="C1108" s="21"/>
      <c r="D1108" s="37" t="s">
        <v>84</v>
      </c>
      <c r="E1108" s="37" t="s">
        <v>84</v>
      </c>
      <c r="F1108" s="37" t="s">
        <v>36</v>
      </c>
      <c r="G1108" s="21" t="s">
        <v>445</v>
      </c>
      <c r="H1108" s="21" t="n">
        <v>0</v>
      </c>
      <c r="I1108" s="21" t="s">
        <v>137</v>
      </c>
    </row>
    <row r="1109" customFormat="false" ht="15" hidden="false" customHeight="false" outlineLevel="0" collapsed="false">
      <c r="A1109" s="21" t="s">
        <v>1369</v>
      </c>
      <c r="B1109" s="21" t="s">
        <v>1028</v>
      </c>
      <c r="C1109" s="21"/>
      <c r="D1109" s="37" t="s">
        <v>84</v>
      </c>
      <c r="E1109" s="37" t="s">
        <v>84</v>
      </c>
      <c r="F1109" s="37" t="s">
        <v>36</v>
      </c>
      <c r="G1109" s="21" t="s">
        <v>445</v>
      </c>
      <c r="H1109" s="21" t="n">
        <v>0</v>
      </c>
      <c r="I1109" s="21" t="s">
        <v>137</v>
      </c>
    </row>
    <row r="1110" customFormat="false" ht="15" hidden="false" customHeight="false" outlineLevel="0" collapsed="false">
      <c r="A1110" s="21" t="s">
        <v>1370</v>
      </c>
      <c r="B1110" s="21" t="s">
        <v>1032</v>
      </c>
      <c r="C1110" s="21"/>
      <c r="D1110" s="37" t="s">
        <v>84</v>
      </c>
      <c r="E1110" s="37" t="s">
        <v>84</v>
      </c>
      <c r="F1110" s="37" t="s">
        <v>36</v>
      </c>
      <c r="G1110" s="21" t="s">
        <v>445</v>
      </c>
      <c r="H1110" s="21" t="n">
        <v>0</v>
      </c>
      <c r="I1110" s="21" t="s">
        <v>137</v>
      </c>
    </row>
    <row r="1111" customFormat="false" ht="15" hidden="false" customHeight="false" outlineLevel="0" collapsed="false">
      <c r="A1111" s="21" t="s">
        <v>1371</v>
      </c>
      <c r="B1111" s="21" t="s">
        <v>1026</v>
      </c>
      <c r="C1111" s="21"/>
      <c r="D1111" s="37" t="s">
        <v>84</v>
      </c>
      <c r="E1111" s="37" t="s">
        <v>84</v>
      </c>
      <c r="F1111" s="37" t="s">
        <v>36</v>
      </c>
      <c r="G1111" s="21" t="s">
        <v>445</v>
      </c>
      <c r="H1111" s="21" t="n">
        <v>0</v>
      </c>
      <c r="I1111" s="21" t="s">
        <v>137</v>
      </c>
    </row>
    <row r="1112" customFormat="false" ht="15" hidden="false" customHeight="false" outlineLevel="0" collapsed="false">
      <c r="A1112" s="21" t="s">
        <v>1372</v>
      </c>
      <c r="B1112" s="21" t="s">
        <v>1026</v>
      </c>
      <c r="C1112" s="21"/>
      <c r="D1112" s="37" t="s">
        <v>84</v>
      </c>
      <c r="E1112" s="37" t="s">
        <v>84</v>
      </c>
      <c r="F1112" s="37" t="s">
        <v>36</v>
      </c>
      <c r="G1112" s="21" t="s">
        <v>445</v>
      </c>
      <c r="H1112" s="21" t="n">
        <v>0</v>
      </c>
      <c r="I1112" s="21" t="s">
        <v>137</v>
      </c>
    </row>
    <row r="1113" customFormat="false" ht="15" hidden="false" customHeight="false" outlineLevel="0" collapsed="false">
      <c r="A1113" s="21" t="s">
        <v>1373</v>
      </c>
      <c r="B1113" s="21" t="s">
        <v>1026</v>
      </c>
      <c r="C1113" s="21"/>
      <c r="D1113" s="37" t="s">
        <v>84</v>
      </c>
      <c r="E1113" s="37" t="s">
        <v>84</v>
      </c>
      <c r="F1113" s="37" t="s">
        <v>36</v>
      </c>
      <c r="G1113" s="21" t="s">
        <v>445</v>
      </c>
      <c r="H1113" s="21" t="n">
        <v>0</v>
      </c>
      <c r="I1113" s="21" t="s">
        <v>137</v>
      </c>
    </row>
    <row r="1114" customFormat="false" ht="15" hidden="false" customHeight="false" outlineLevel="0" collapsed="false">
      <c r="A1114" s="21" t="s">
        <v>1374</v>
      </c>
      <c r="B1114" s="21" t="s">
        <v>1028</v>
      </c>
      <c r="C1114" s="21"/>
      <c r="D1114" s="37" t="s">
        <v>84</v>
      </c>
      <c r="E1114" s="37" t="s">
        <v>84</v>
      </c>
      <c r="F1114" s="37" t="s">
        <v>36</v>
      </c>
      <c r="G1114" s="21" t="s">
        <v>445</v>
      </c>
      <c r="H1114" s="21" t="n">
        <v>0</v>
      </c>
      <c r="I1114" s="21" t="s">
        <v>137</v>
      </c>
    </row>
    <row r="1115" customFormat="false" ht="15" hidden="false" customHeight="false" outlineLevel="0" collapsed="false">
      <c r="A1115" s="21" t="s">
        <v>1375</v>
      </c>
      <c r="B1115" s="21" t="s">
        <v>1032</v>
      </c>
      <c r="C1115" s="21"/>
      <c r="D1115" s="37" t="s">
        <v>84</v>
      </c>
      <c r="E1115" s="37" t="s">
        <v>84</v>
      </c>
      <c r="F1115" s="37" t="s">
        <v>36</v>
      </c>
      <c r="G1115" s="21" t="s">
        <v>445</v>
      </c>
      <c r="H1115" s="21" t="n">
        <v>0</v>
      </c>
      <c r="I1115" s="21" t="s">
        <v>137</v>
      </c>
    </row>
    <row r="1116" customFormat="false" ht="15" hidden="false" customHeight="false" outlineLevel="0" collapsed="false">
      <c r="A1116" s="21" t="s">
        <v>1376</v>
      </c>
      <c r="B1116" s="21" t="s">
        <v>1026</v>
      </c>
      <c r="C1116" s="21"/>
      <c r="D1116" s="37" t="s">
        <v>84</v>
      </c>
      <c r="E1116" s="37" t="s">
        <v>84</v>
      </c>
      <c r="F1116" s="37" t="s">
        <v>36</v>
      </c>
      <c r="G1116" s="21" t="s">
        <v>445</v>
      </c>
      <c r="H1116" s="21" t="n">
        <v>0</v>
      </c>
      <c r="I1116" s="21" t="s">
        <v>137</v>
      </c>
    </row>
    <row r="1117" customFormat="false" ht="15" hidden="false" customHeight="false" outlineLevel="0" collapsed="false">
      <c r="A1117" s="21" t="s">
        <v>1377</v>
      </c>
      <c r="B1117" s="21" t="s">
        <v>1026</v>
      </c>
      <c r="C1117" s="21"/>
      <c r="D1117" s="37" t="s">
        <v>84</v>
      </c>
      <c r="E1117" s="37" t="s">
        <v>84</v>
      </c>
      <c r="F1117" s="37" t="s">
        <v>36</v>
      </c>
      <c r="G1117" s="21" t="s">
        <v>445</v>
      </c>
      <c r="H1117" s="21" t="n">
        <v>0</v>
      </c>
      <c r="I1117" s="21" t="s">
        <v>137</v>
      </c>
    </row>
    <row r="1118" customFormat="false" ht="15" hidden="false" customHeight="false" outlineLevel="0" collapsed="false">
      <c r="A1118" s="21" t="s">
        <v>1378</v>
      </c>
      <c r="B1118" s="21" t="s">
        <v>1032</v>
      </c>
      <c r="C1118" s="21"/>
      <c r="D1118" s="37" t="s">
        <v>84</v>
      </c>
      <c r="E1118" s="37" t="s">
        <v>84</v>
      </c>
      <c r="F1118" s="37" t="s">
        <v>36</v>
      </c>
      <c r="G1118" s="21" t="s">
        <v>445</v>
      </c>
      <c r="H1118" s="21" t="n">
        <v>0</v>
      </c>
      <c r="I1118" s="21" t="s">
        <v>137</v>
      </c>
    </row>
    <row r="1119" customFormat="false" ht="15" hidden="false" customHeight="false" outlineLevel="0" collapsed="false">
      <c r="A1119" s="21" t="s">
        <v>1379</v>
      </c>
      <c r="B1119" s="21" t="s">
        <v>1026</v>
      </c>
      <c r="C1119" s="21"/>
      <c r="D1119" s="37" t="s">
        <v>84</v>
      </c>
      <c r="E1119" s="37" t="s">
        <v>84</v>
      </c>
      <c r="F1119" s="37" t="s">
        <v>36</v>
      </c>
      <c r="G1119" s="21" t="s">
        <v>445</v>
      </c>
      <c r="H1119" s="21" t="n">
        <v>0</v>
      </c>
      <c r="I1119" s="21" t="s">
        <v>137</v>
      </c>
    </row>
    <row r="1120" customFormat="false" ht="15" hidden="false" customHeight="false" outlineLevel="0" collapsed="false">
      <c r="A1120" s="21" t="s">
        <v>1380</v>
      </c>
      <c r="B1120" s="21" t="s">
        <v>1028</v>
      </c>
      <c r="C1120" s="21"/>
      <c r="D1120" s="37" t="s">
        <v>84</v>
      </c>
      <c r="E1120" s="37" t="s">
        <v>84</v>
      </c>
      <c r="F1120" s="37" t="s">
        <v>36</v>
      </c>
      <c r="G1120" s="21" t="s">
        <v>445</v>
      </c>
      <c r="H1120" s="21" t="n">
        <v>0</v>
      </c>
      <c r="I1120" s="21" t="s">
        <v>137</v>
      </c>
    </row>
    <row r="1121" customFormat="false" ht="15" hidden="false" customHeight="false" outlineLevel="0" collapsed="false">
      <c r="A1121" s="21" t="s">
        <v>1381</v>
      </c>
      <c r="B1121" s="21" t="s">
        <v>1026</v>
      </c>
      <c r="C1121" s="21"/>
      <c r="D1121" s="37" t="s">
        <v>84</v>
      </c>
      <c r="E1121" s="37" t="s">
        <v>84</v>
      </c>
      <c r="F1121" s="37" t="s">
        <v>36</v>
      </c>
      <c r="G1121" s="21" t="s">
        <v>445</v>
      </c>
      <c r="H1121" s="21" t="n">
        <v>0</v>
      </c>
      <c r="I1121" s="21" t="s">
        <v>137</v>
      </c>
    </row>
    <row r="1122" customFormat="false" ht="15" hidden="false" customHeight="false" outlineLevel="0" collapsed="false">
      <c r="A1122" s="21" t="s">
        <v>1382</v>
      </c>
      <c r="B1122" s="21" t="s">
        <v>1028</v>
      </c>
      <c r="C1122" s="21"/>
      <c r="D1122" s="37" t="s">
        <v>84</v>
      </c>
      <c r="E1122" s="37" t="s">
        <v>84</v>
      </c>
      <c r="F1122" s="37" t="s">
        <v>36</v>
      </c>
      <c r="G1122" s="21" t="s">
        <v>445</v>
      </c>
      <c r="H1122" s="21" t="n">
        <v>0</v>
      </c>
      <c r="I1122" s="21" t="s">
        <v>137</v>
      </c>
    </row>
    <row r="1123" customFormat="false" ht="15" hidden="false" customHeight="false" outlineLevel="0" collapsed="false">
      <c r="A1123" s="21" t="s">
        <v>1383</v>
      </c>
      <c r="B1123" s="21" t="s">
        <v>1032</v>
      </c>
      <c r="C1123" s="21"/>
      <c r="D1123" s="37" t="s">
        <v>84</v>
      </c>
      <c r="E1123" s="37" t="s">
        <v>84</v>
      </c>
      <c r="F1123" s="37" t="s">
        <v>36</v>
      </c>
      <c r="G1123" s="21" t="s">
        <v>445</v>
      </c>
      <c r="H1123" s="21" t="n">
        <v>0</v>
      </c>
      <c r="I1123" s="21" t="s">
        <v>137</v>
      </c>
    </row>
    <row r="1124" customFormat="false" ht="15" hidden="false" customHeight="false" outlineLevel="0" collapsed="false">
      <c r="A1124" s="21" t="s">
        <v>1384</v>
      </c>
      <c r="B1124" s="21" t="s">
        <v>1028</v>
      </c>
      <c r="C1124" s="21"/>
      <c r="D1124" s="37" t="s">
        <v>84</v>
      </c>
      <c r="E1124" s="37" t="s">
        <v>84</v>
      </c>
      <c r="F1124" s="37" t="s">
        <v>36</v>
      </c>
      <c r="G1124" s="21" t="s">
        <v>445</v>
      </c>
      <c r="H1124" s="21" t="n">
        <v>0</v>
      </c>
      <c r="I1124" s="21" t="s">
        <v>137</v>
      </c>
    </row>
    <row r="1125" customFormat="false" ht="15" hidden="false" customHeight="false" outlineLevel="0" collapsed="false">
      <c r="A1125" s="21" t="s">
        <v>1385</v>
      </c>
      <c r="B1125" s="21" t="s">
        <v>1032</v>
      </c>
      <c r="C1125" s="21"/>
      <c r="D1125" s="37" t="s">
        <v>84</v>
      </c>
      <c r="E1125" s="37" t="s">
        <v>84</v>
      </c>
      <c r="F1125" s="37" t="s">
        <v>36</v>
      </c>
      <c r="G1125" s="21" t="s">
        <v>445</v>
      </c>
      <c r="H1125" s="21" t="n">
        <v>0</v>
      </c>
      <c r="I1125" s="21" t="s">
        <v>137</v>
      </c>
    </row>
    <row r="1126" customFormat="false" ht="15" hidden="false" customHeight="false" outlineLevel="0" collapsed="false">
      <c r="A1126" s="21" t="s">
        <v>1386</v>
      </c>
      <c r="B1126" s="21" t="s">
        <v>1028</v>
      </c>
      <c r="C1126" s="21"/>
      <c r="D1126" s="37" t="s">
        <v>84</v>
      </c>
      <c r="E1126" s="37" t="s">
        <v>84</v>
      </c>
      <c r="F1126" s="37" t="s">
        <v>36</v>
      </c>
      <c r="G1126" s="21" t="s">
        <v>445</v>
      </c>
      <c r="H1126" s="21" t="n">
        <v>0</v>
      </c>
      <c r="I1126" s="21" t="s">
        <v>137</v>
      </c>
    </row>
    <row r="1127" customFormat="false" ht="15" hidden="false" customHeight="false" outlineLevel="0" collapsed="false">
      <c r="A1127" s="21" t="s">
        <v>1387</v>
      </c>
      <c r="B1127" s="21" t="s">
        <v>1032</v>
      </c>
      <c r="C1127" s="21"/>
      <c r="D1127" s="37" t="s">
        <v>84</v>
      </c>
      <c r="E1127" s="37" t="s">
        <v>84</v>
      </c>
      <c r="F1127" s="37" t="s">
        <v>36</v>
      </c>
      <c r="G1127" s="21" t="s">
        <v>445</v>
      </c>
      <c r="H1127" s="21" t="n">
        <v>0</v>
      </c>
      <c r="I1127" s="21" t="s">
        <v>137</v>
      </c>
    </row>
    <row r="1128" customFormat="false" ht="15" hidden="false" customHeight="false" outlineLevel="0" collapsed="false">
      <c r="A1128" s="21" t="s">
        <v>1388</v>
      </c>
      <c r="B1128" s="21" t="s">
        <v>1032</v>
      </c>
      <c r="C1128" s="21"/>
      <c r="D1128" s="37" t="s">
        <v>84</v>
      </c>
      <c r="E1128" s="37" t="s">
        <v>84</v>
      </c>
      <c r="F1128" s="37" t="s">
        <v>36</v>
      </c>
      <c r="G1128" s="21" t="s">
        <v>445</v>
      </c>
      <c r="H1128" s="21" t="n">
        <v>0</v>
      </c>
      <c r="I1128" s="21" t="s">
        <v>137</v>
      </c>
    </row>
    <row r="1129" customFormat="false" ht="15" hidden="false" customHeight="false" outlineLevel="0" collapsed="false">
      <c r="A1129" s="21" t="s">
        <v>1389</v>
      </c>
      <c r="B1129" s="21" t="s">
        <v>1028</v>
      </c>
      <c r="C1129" s="21"/>
      <c r="D1129" s="37" t="s">
        <v>84</v>
      </c>
      <c r="E1129" s="37" t="s">
        <v>84</v>
      </c>
      <c r="F1129" s="37" t="s">
        <v>36</v>
      </c>
      <c r="G1129" s="21" t="s">
        <v>445</v>
      </c>
      <c r="H1129" s="21" t="n">
        <v>0</v>
      </c>
      <c r="I1129" s="21" t="s">
        <v>137</v>
      </c>
    </row>
    <row r="1130" customFormat="false" ht="15" hidden="false" customHeight="false" outlineLevel="0" collapsed="false">
      <c r="A1130" s="21" t="s">
        <v>1390</v>
      </c>
      <c r="B1130" s="21" t="s">
        <v>1026</v>
      </c>
      <c r="C1130" s="21"/>
      <c r="D1130" s="37" t="s">
        <v>84</v>
      </c>
      <c r="E1130" s="37" t="s">
        <v>84</v>
      </c>
      <c r="F1130" s="37" t="s">
        <v>36</v>
      </c>
      <c r="G1130" s="21" t="s">
        <v>445</v>
      </c>
      <c r="H1130" s="21" t="n">
        <v>0</v>
      </c>
      <c r="I1130" s="21" t="s">
        <v>137</v>
      </c>
    </row>
    <row r="1131" customFormat="false" ht="15" hidden="false" customHeight="false" outlineLevel="0" collapsed="false">
      <c r="A1131" s="21" t="s">
        <v>1391</v>
      </c>
      <c r="B1131" s="21" t="s">
        <v>1026</v>
      </c>
      <c r="C1131" s="21"/>
      <c r="D1131" s="37" t="s">
        <v>84</v>
      </c>
      <c r="E1131" s="37" t="s">
        <v>84</v>
      </c>
      <c r="F1131" s="37" t="s">
        <v>36</v>
      </c>
      <c r="G1131" s="21" t="s">
        <v>445</v>
      </c>
      <c r="H1131" s="21" t="n">
        <v>0</v>
      </c>
      <c r="I1131" s="21" t="s">
        <v>137</v>
      </c>
    </row>
    <row r="1132" customFormat="false" ht="15" hidden="false" customHeight="false" outlineLevel="0" collapsed="false">
      <c r="A1132" s="21" t="s">
        <v>1392</v>
      </c>
      <c r="B1132" s="21" t="s">
        <v>1026</v>
      </c>
      <c r="C1132" s="21"/>
      <c r="D1132" s="37" t="s">
        <v>84</v>
      </c>
      <c r="E1132" s="37" t="s">
        <v>84</v>
      </c>
      <c r="F1132" s="37" t="s">
        <v>36</v>
      </c>
      <c r="G1132" s="21" t="s">
        <v>445</v>
      </c>
      <c r="H1132" s="21" t="n">
        <v>0</v>
      </c>
      <c r="I1132" s="21" t="s">
        <v>137</v>
      </c>
    </row>
    <row r="1133" customFormat="false" ht="15" hidden="false" customHeight="false" outlineLevel="0" collapsed="false">
      <c r="A1133" s="21" t="s">
        <v>1393</v>
      </c>
      <c r="B1133" s="21" t="s">
        <v>1028</v>
      </c>
      <c r="C1133" s="21"/>
      <c r="D1133" s="37" t="s">
        <v>84</v>
      </c>
      <c r="E1133" s="37" t="s">
        <v>84</v>
      </c>
      <c r="F1133" s="37" t="s">
        <v>36</v>
      </c>
      <c r="G1133" s="21" t="s">
        <v>445</v>
      </c>
      <c r="H1133" s="21" t="n">
        <v>0</v>
      </c>
      <c r="I1133" s="21" t="s">
        <v>137</v>
      </c>
    </row>
    <row r="1134" customFormat="false" ht="15" hidden="false" customHeight="false" outlineLevel="0" collapsed="false">
      <c r="A1134" s="21" t="s">
        <v>1394</v>
      </c>
      <c r="B1134" s="21" t="s">
        <v>1028</v>
      </c>
      <c r="C1134" s="21"/>
      <c r="D1134" s="37" t="s">
        <v>84</v>
      </c>
      <c r="E1134" s="37" t="s">
        <v>84</v>
      </c>
      <c r="F1134" s="37" t="s">
        <v>36</v>
      </c>
      <c r="G1134" s="21" t="s">
        <v>445</v>
      </c>
      <c r="H1134" s="21" t="n">
        <v>0</v>
      </c>
      <c r="I1134" s="21" t="s">
        <v>137</v>
      </c>
    </row>
    <row r="1135" customFormat="false" ht="15" hidden="false" customHeight="false" outlineLevel="0" collapsed="false">
      <c r="A1135" s="21" t="s">
        <v>1395</v>
      </c>
      <c r="B1135" s="21" t="s">
        <v>1032</v>
      </c>
      <c r="C1135" s="21"/>
      <c r="D1135" s="37" t="s">
        <v>84</v>
      </c>
      <c r="E1135" s="37" t="s">
        <v>84</v>
      </c>
      <c r="F1135" s="37" t="s">
        <v>36</v>
      </c>
      <c r="G1135" s="21" t="s">
        <v>445</v>
      </c>
      <c r="H1135" s="21" t="n">
        <v>0</v>
      </c>
      <c r="I1135" s="21" t="s">
        <v>137</v>
      </c>
    </row>
    <row r="1136" customFormat="false" ht="15" hidden="false" customHeight="false" outlineLevel="0" collapsed="false">
      <c r="A1136" s="21" t="s">
        <v>1396</v>
      </c>
      <c r="B1136" s="21" t="s">
        <v>1026</v>
      </c>
      <c r="C1136" s="21"/>
      <c r="D1136" s="37" t="s">
        <v>84</v>
      </c>
      <c r="E1136" s="37" t="s">
        <v>84</v>
      </c>
      <c r="F1136" s="37" t="s">
        <v>36</v>
      </c>
      <c r="G1136" s="21" t="s">
        <v>445</v>
      </c>
      <c r="H1136" s="21" t="n">
        <v>0</v>
      </c>
      <c r="I1136" s="21" t="s">
        <v>137</v>
      </c>
    </row>
    <row r="1137" customFormat="false" ht="15" hidden="false" customHeight="false" outlineLevel="0" collapsed="false">
      <c r="A1137" s="21" t="s">
        <v>1397</v>
      </c>
      <c r="B1137" s="21" t="s">
        <v>1028</v>
      </c>
      <c r="C1137" s="21"/>
      <c r="D1137" s="37" t="s">
        <v>84</v>
      </c>
      <c r="E1137" s="37" t="s">
        <v>84</v>
      </c>
      <c r="F1137" s="37" t="s">
        <v>36</v>
      </c>
      <c r="G1137" s="21" t="s">
        <v>445</v>
      </c>
      <c r="H1137" s="21" t="n">
        <v>0</v>
      </c>
      <c r="I1137" s="21" t="s">
        <v>137</v>
      </c>
    </row>
    <row r="1138" customFormat="false" ht="15" hidden="false" customHeight="false" outlineLevel="0" collapsed="false">
      <c r="A1138" s="21" t="s">
        <v>1398</v>
      </c>
      <c r="B1138" s="21" t="s">
        <v>1032</v>
      </c>
      <c r="C1138" s="21"/>
      <c r="D1138" s="37" t="s">
        <v>84</v>
      </c>
      <c r="E1138" s="37" t="s">
        <v>84</v>
      </c>
      <c r="F1138" s="37" t="s">
        <v>36</v>
      </c>
      <c r="G1138" s="21" t="s">
        <v>445</v>
      </c>
      <c r="H1138" s="21" t="n">
        <v>0</v>
      </c>
      <c r="I1138" s="21" t="s">
        <v>137</v>
      </c>
    </row>
    <row r="1139" customFormat="false" ht="15" hidden="false" customHeight="false" outlineLevel="0" collapsed="false">
      <c r="A1139" s="21" t="s">
        <v>1399</v>
      </c>
      <c r="B1139" s="21" t="s">
        <v>1032</v>
      </c>
      <c r="C1139" s="21"/>
      <c r="D1139" s="37" t="s">
        <v>84</v>
      </c>
      <c r="E1139" s="37" t="s">
        <v>84</v>
      </c>
      <c r="F1139" s="37" t="s">
        <v>36</v>
      </c>
      <c r="G1139" s="21" t="s">
        <v>445</v>
      </c>
      <c r="H1139" s="21" t="n">
        <v>0</v>
      </c>
      <c r="I1139" s="21" t="s">
        <v>137</v>
      </c>
    </row>
    <row r="1140" customFormat="false" ht="15" hidden="false" customHeight="false" outlineLevel="0" collapsed="false">
      <c r="A1140" s="21" t="s">
        <v>1400</v>
      </c>
      <c r="B1140" s="21" t="s">
        <v>1401</v>
      </c>
      <c r="C1140" s="21"/>
      <c r="D1140" s="37" t="s">
        <v>152</v>
      </c>
      <c r="E1140" s="37" t="s">
        <v>26</v>
      </c>
      <c r="F1140" s="37" t="s">
        <v>36</v>
      </c>
      <c r="G1140" s="21" t="s">
        <v>505</v>
      </c>
      <c r="H1140" s="21" t="n">
        <v>0</v>
      </c>
      <c r="I1140" s="21" t="s">
        <v>137</v>
      </c>
    </row>
    <row r="1141" customFormat="false" ht="15" hidden="false" customHeight="false" outlineLevel="0" collapsed="false">
      <c r="A1141" s="21" t="s">
        <v>1402</v>
      </c>
      <c r="B1141" s="21" t="s">
        <v>1026</v>
      </c>
      <c r="C1141" s="21"/>
      <c r="D1141" s="37" t="s">
        <v>84</v>
      </c>
      <c r="E1141" s="37" t="s">
        <v>84</v>
      </c>
      <c r="F1141" s="37" t="s">
        <v>36</v>
      </c>
      <c r="G1141" s="21" t="s">
        <v>445</v>
      </c>
      <c r="H1141" s="21" t="n">
        <v>0</v>
      </c>
      <c r="I1141" s="21" t="s">
        <v>137</v>
      </c>
    </row>
    <row r="1142" customFormat="false" ht="15" hidden="false" customHeight="false" outlineLevel="0" collapsed="false">
      <c r="A1142" s="21" t="s">
        <v>1403</v>
      </c>
      <c r="B1142" s="21" t="s">
        <v>1032</v>
      </c>
      <c r="C1142" s="21"/>
      <c r="D1142" s="37" t="s">
        <v>84</v>
      </c>
      <c r="E1142" s="37" t="s">
        <v>84</v>
      </c>
      <c r="F1142" s="37" t="s">
        <v>36</v>
      </c>
      <c r="G1142" s="21" t="s">
        <v>445</v>
      </c>
      <c r="H1142" s="21" t="n">
        <v>0</v>
      </c>
      <c r="I1142" s="21" t="s">
        <v>137</v>
      </c>
    </row>
    <row r="1143" customFormat="false" ht="15" hidden="false" customHeight="false" outlineLevel="0" collapsed="false">
      <c r="A1143" s="21" t="s">
        <v>1404</v>
      </c>
      <c r="B1143" s="21" t="s">
        <v>1026</v>
      </c>
      <c r="C1143" s="21"/>
      <c r="D1143" s="37" t="s">
        <v>84</v>
      </c>
      <c r="E1143" s="37" t="s">
        <v>84</v>
      </c>
      <c r="F1143" s="37" t="s">
        <v>36</v>
      </c>
      <c r="G1143" s="21" t="s">
        <v>445</v>
      </c>
      <c r="H1143" s="21" t="n">
        <v>0</v>
      </c>
      <c r="I1143" s="21" t="s">
        <v>137</v>
      </c>
    </row>
    <row r="1144" customFormat="false" ht="15" hidden="false" customHeight="false" outlineLevel="0" collapsed="false">
      <c r="A1144" s="21" t="s">
        <v>1405</v>
      </c>
      <c r="B1144" s="21" t="s">
        <v>1032</v>
      </c>
      <c r="C1144" s="21"/>
      <c r="D1144" s="37" t="s">
        <v>84</v>
      </c>
      <c r="E1144" s="37" t="s">
        <v>84</v>
      </c>
      <c r="F1144" s="37" t="s">
        <v>36</v>
      </c>
      <c r="G1144" s="21" t="s">
        <v>445</v>
      </c>
      <c r="H1144" s="21" t="n">
        <v>0</v>
      </c>
      <c r="I1144" s="21" t="s">
        <v>137</v>
      </c>
    </row>
    <row r="1145" customFormat="false" ht="15" hidden="false" customHeight="false" outlineLevel="0" collapsed="false">
      <c r="A1145" s="21" t="s">
        <v>1406</v>
      </c>
      <c r="B1145" s="21" t="s">
        <v>1028</v>
      </c>
      <c r="C1145" s="21"/>
      <c r="D1145" s="37" t="s">
        <v>84</v>
      </c>
      <c r="E1145" s="37" t="s">
        <v>84</v>
      </c>
      <c r="F1145" s="37" t="s">
        <v>36</v>
      </c>
      <c r="G1145" s="21" t="s">
        <v>445</v>
      </c>
      <c r="H1145" s="21" t="n">
        <v>0</v>
      </c>
      <c r="I1145" s="21" t="s">
        <v>137</v>
      </c>
    </row>
    <row r="1146" customFormat="false" ht="15" hidden="false" customHeight="false" outlineLevel="0" collapsed="false">
      <c r="A1146" s="21" t="s">
        <v>1407</v>
      </c>
      <c r="B1146" s="21" t="s">
        <v>1026</v>
      </c>
      <c r="C1146" s="21"/>
      <c r="D1146" s="37" t="s">
        <v>84</v>
      </c>
      <c r="E1146" s="37" t="s">
        <v>84</v>
      </c>
      <c r="F1146" s="37" t="s">
        <v>36</v>
      </c>
      <c r="G1146" s="21" t="s">
        <v>445</v>
      </c>
      <c r="H1146" s="21" t="n">
        <v>0</v>
      </c>
      <c r="I1146" s="21" t="s">
        <v>137</v>
      </c>
    </row>
    <row r="1147" customFormat="false" ht="15" hidden="false" customHeight="false" outlineLevel="0" collapsed="false">
      <c r="A1147" s="21" t="s">
        <v>1408</v>
      </c>
      <c r="B1147" s="21" t="s">
        <v>1409</v>
      </c>
      <c r="C1147" s="21"/>
      <c r="D1147" s="37" t="s">
        <v>156</v>
      </c>
      <c r="E1147" s="37" t="s">
        <v>26</v>
      </c>
      <c r="F1147" s="37" t="s">
        <v>36</v>
      </c>
      <c r="G1147" s="21" t="s">
        <v>505</v>
      </c>
      <c r="H1147" s="21" t="n">
        <v>0</v>
      </c>
      <c r="I1147" s="21" t="s">
        <v>137</v>
      </c>
    </row>
    <row r="1148" customFormat="false" ht="15" hidden="false" customHeight="false" outlineLevel="0" collapsed="false">
      <c r="A1148" s="21" t="s">
        <v>1410</v>
      </c>
      <c r="B1148" s="21" t="s">
        <v>1028</v>
      </c>
      <c r="C1148" s="21"/>
      <c r="D1148" s="37" t="s">
        <v>84</v>
      </c>
      <c r="E1148" s="37" t="s">
        <v>84</v>
      </c>
      <c r="F1148" s="37" t="s">
        <v>36</v>
      </c>
      <c r="G1148" s="21" t="s">
        <v>445</v>
      </c>
      <c r="H1148" s="21" t="n">
        <v>0</v>
      </c>
      <c r="I1148" s="21" t="s">
        <v>137</v>
      </c>
    </row>
    <row r="1149" customFormat="false" ht="15" hidden="false" customHeight="false" outlineLevel="0" collapsed="false">
      <c r="A1149" s="21" t="s">
        <v>1411</v>
      </c>
      <c r="B1149" s="21" t="s">
        <v>1026</v>
      </c>
      <c r="C1149" s="21"/>
      <c r="D1149" s="37" t="s">
        <v>84</v>
      </c>
      <c r="E1149" s="37" t="s">
        <v>84</v>
      </c>
      <c r="F1149" s="37" t="s">
        <v>36</v>
      </c>
      <c r="G1149" s="21" t="s">
        <v>445</v>
      </c>
      <c r="H1149" s="21" t="n">
        <v>0</v>
      </c>
      <c r="I1149" s="21" t="s">
        <v>137</v>
      </c>
    </row>
    <row r="1150" customFormat="false" ht="15" hidden="false" customHeight="false" outlineLevel="0" collapsed="false">
      <c r="A1150" s="21" t="s">
        <v>1412</v>
      </c>
      <c r="B1150" s="21" t="s">
        <v>1026</v>
      </c>
      <c r="C1150" s="21"/>
      <c r="D1150" s="37" t="s">
        <v>84</v>
      </c>
      <c r="E1150" s="37" t="s">
        <v>84</v>
      </c>
      <c r="F1150" s="37" t="s">
        <v>36</v>
      </c>
      <c r="G1150" s="21" t="s">
        <v>445</v>
      </c>
      <c r="H1150" s="21" t="n">
        <v>0</v>
      </c>
      <c r="I1150" s="21" t="s">
        <v>137</v>
      </c>
    </row>
    <row r="1151" customFormat="false" ht="15" hidden="false" customHeight="false" outlineLevel="0" collapsed="false">
      <c r="A1151" s="21" t="s">
        <v>1413</v>
      </c>
      <c r="B1151" s="21" t="s">
        <v>1028</v>
      </c>
      <c r="C1151" s="21"/>
      <c r="D1151" s="37" t="s">
        <v>84</v>
      </c>
      <c r="E1151" s="37" t="s">
        <v>84</v>
      </c>
      <c r="F1151" s="37" t="s">
        <v>36</v>
      </c>
      <c r="G1151" s="21" t="s">
        <v>445</v>
      </c>
      <c r="H1151" s="21" t="n">
        <v>0</v>
      </c>
      <c r="I1151" s="21" t="s">
        <v>137</v>
      </c>
    </row>
    <row r="1152" customFormat="false" ht="15" hidden="false" customHeight="false" outlineLevel="0" collapsed="false">
      <c r="A1152" s="21" t="s">
        <v>1414</v>
      </c>
      <c r="B1152" s="21" t="s">
        <v>1028</v>
      </c>
      <c r="C1152" s="21"/>
      <c r="D1152" s="37" t="s">
        <v>84</v>
      </c>
      <c r="E1152" s="37" t="s">
        <v>84</v>
      </c>
      <c r="F1152" s="37" t="s">
        <v>36</v>
      </c>
      <c r="G1152" s="21" t="s">
        <v>445</v>
      </c>
      <c r="H1152" s="21" t="n">
        <v>0</v>
      </c>
      <c r="I1152" s="21" t="s">
        <v>137</v>
      </c>
    </row>
    <row r="1153" customFormat="false" ht="15" hidden="false" customHeight="false" outlineLevel="0" collapsed="false">
      <c r="A1153" s="21" t="s">
        <v>1415</v>
      </c>
      <c r="B1153" s="21" t="s">
        <v>1026</v>
      </c>
      <c r="C1153" s="21"/>
      <c r="D1153" s="37" t="s">
        <v>84</v>
      </c>
      <c r="E1153" s="37" t="s">
        <v>84</v>
      </c>
      <c r="F1153" s="37" t="s">
        <v>36</v>
      </c>
      <c r="G1153" s="21" t="s">
        <v>445</v>
      </c>
      <c r="H1153" s="21" t="n">
        <v>0</v>
      </c>
      <c r="I1153" s="21" t="s">
        <v>137</v>
      </c>
    </row>
    <row r="1154" customFormat="false" ht="15" hidden="false" customHeight="false" outlineLevel="0" collapsed="false">
      <c r="A1154" s="21" t="s">
        <v>1416</v>
      </c>
      <c r="B1154" s="21" t="s">
        <v>1028</v>
      </c>
      <c r="C1154" s="21"/>
      <c r="D1154" s="37" t="s">
        <v>84</v>
      </c>
      <c r="E1154" s="37" t="s">
        <v>84</v>
      </c>
      <c r="F1154" s="37" t="s">
        <v>36</v>
      </c>
      <c r="G1154" s="21" t="s">
        <v>445</v>
      </c>
      <c r="H1154" s="21" t="n">
        <v>0</v>
      </c>
      <c r="I1154" s="21" t="s">
        <v>137</v>
      </c>
    </row>
    <row r="1155" customFormat="false" ht="15" hidden="false" customHeight="false" outlineLevel="0" collapsed="false">
      <c r="A1155" s="21" t="s">
        <v>1417</v>
      </c>
      <c r="B1155" s="21" t="s">
        <v>1418</v>
      </c>
      <c r="C1155" s="21"/>
      <c r="D1155" s="37" t="s">
        <v>84</v>
      </c>
      <c r="E1155" s="37" t="s">
        <v>84</v>
      </c>
      <c r="F1155" s="37" t="s">
        <v>36</v>
      </c>
      <c r="G1155" s="21" t="s">
        <v>505</v>
      </c>
      <c r="H1155" s="21" t="n">
        <v>0</v>
      </c>
      <c r="I1155" s="21" t="s">
        <v>137</v>
      </c>
    </row>
    <row r="1156" customFormat="false" ht="15" hidden="false" customHeight="false" outlineLevel="0" collapsed="false">
      <c r="A1156" s="21" t="s">
        <v>1419</v>
      </c>
      <c r="B1156" s="21" t="s">
        <v>1032</v>
      </c>
      <c r="C1156" s="21"/>
      <c r="D1156" s="37" t="s">
        <v>84</v>
      </c>
      <c r="E1156" s="37" t="s">
        <v>84</v>
      </c>
      <c r="F1156" s="37" t="s">
        <v>36</v>
      </c>
      <c r="G1156" s="21" t="s">
        <v>445</v>
      </c>
      <c r="H1156" s="21" t="n">
        <v>0</v>
      </c>
      <c r="I1156" s="21" t="s">
        <v>137</v>
      </c>
    </row>
    <row r="1157" customFormat="false" ht="15" hidden="false" customHeight="false" outlineLevel="0" collapsed="false">
      <c r="A1157" s="21" t="s">
        <v>1420</v>
      </c>
      <c r="B1157" s="21" t="s">
        <v>1026</v>
      </c>
      <c r="C1157" s="21"/>
      <c r="D1157" s="37" t="s">
        <v>84</v>
      </c>
      <c r="E1157" s="37" t="s">
        <v>84</v>
      </c>
      <c r="F1157" s="37" t="s">
        <v>36</v>
      </c>
      <c r="G1157" s="21" t="s">
        <v>445</v>
      </c>
      <c r="H1157" s="21" t="n">
        <v>0</v>
      </c>
      <c r="I1157" s="21" t="s">
        <v>137</v>
      </c>
    </row>
    <row r="1158" customFormat="false" ht="15" hidden="false" customHeight="false" outlineLevel="0" collapsed="false">
      <c r="A1158" s="21" t="s">
        <v>1421</v>
      </c>
      <c r="B1158" s="21" t="s">
        <v>1028</v>
      </c>
      <c r="C1158" s="21"/>
      <c r="D1158" s="37" t="s">
        <v>84</v>
      </c>
      <c r="E1158" s="37" t="s">
        <v>84</v>
      </c>
      <c r="F1158" s="37" t="s">
        <v>36</v>
      </c>
      <c r="G1158" s="21" t="s">
        <v>445</v>
      </c>
      <c r="H1158" s="21" t="n">
        <v>0</v>
      </c>
      <c r="I1158" s="21" t="s">
        <v>137</v>
      </c>
    </row>
    <row r="1159" customFormat="false" ht="15" hidden="false" customHeight="false" outlineLevel="0" collapsed="false">
      <c r="A1159" s="21" t="s">
        <v>1422</v>
      </c>
      <c r="B1159" s="21" t="s">
        <v>1026</v>
      </c>
      <c r="C1159" s="21"/>
      <c r="D1159" s="37" t="s">
        <v>84</v>
      </c>
      <c r="E1159" s="37" t="s">
        <v>84</v>
      </c>
      <c r="F1159" s="37" t="s">
        <v>36</v>
      </c>
      <c r="G1159" s="21" t="s">
        <v>445</v>
      </c>
      <c r="H1159" s="21" t="n">
        <v>0</v>
      </c>
      <c r="I1159" s="21" t="s">
        <v>137</v>
      </c>
    </row>
    <row r="1160" customFormat="false" ht="15" hidden="false" customHeight="false" outlineLevel="0" collapsed="false">
      <c r="A1160" s="21" t="s">
        <v>1423</v>
      </c>
      <c r="B1160" s="21" t="s">
        <v>1026</v>
      </c>
      <c r="C1160" s="21"/>
      <c r="D1160" s="37" t="s">
        <v>84</v>
      </c>
      <c r="E1160" s="37" t="s">
        <v>84</v>
      </c>
      <c r="F1160" s="37" t="s">
        <v>36</v>
      </c>
      <c r="G1160" s="21" t="s">
        <v>445</v>
      </c>
      <c r="H1160" s="21" t="n">
        <v>0</v>
      </c>
      <c r="I1160" s="21" t="s">
        <v>137</v>
      </c>
    </row>
    <row r="1161" customFormat="false" ht="15" hidden="false" customHeight="false" outlineLevel="0" collapsed="false">
      <c r="A1161" s="21" t="s">
        <v>1424</v>
      </c>
      <c r="B1161" s="21"/>
      <c r="C1161" s="21"/>
      <c r="D1161" s="37" t="s">
        <v>84</v>
      </c>
      <c r="E1161" s="37" t="s">
        <v>84</v>
      </c>
      <c r="F1161" s="37" t="s">
        <v>36</v>
      </c>
      <c r="G1161" s="21" t="s">
        <v>1141</v>
      </c>
      <c r="H1161" s="21" t="n">
        <v>0</v>
      </c>
      <c r="I1161" s="21" t="s">
        <v>137</v>
      </c>
    </row>
    <row r="1162" customFormat="false" ht="15" hidden="false" customHeight="false" outlineLevel="0" collapsed="false">
      <c r="A1162" s="21" t="s">
        <v>1425</v>
      </c>
      <c r="B1162" s="21"/>
      <c r="C1162" s="21"/>
      <c r="D1162" s="37" t="s">
        <v>84</v>
      </c>
      <c r="E1162" s="37" t="s">
        <v>84</v>
      </c>
      <c r="F1162" s="37" t="s">
        <v>36</v>
      </c>
      <c r="G1162" s="21" t="s">
        <v>1426</v>
      </c>
      <c r="H1162" s="21" t="n">
        <v>0</v>
      </c>
      <c r="I1162" s="21" t="s">
        <v>137</v>
      </c>
    </row>
    <row r="1163" customFormat="false" ht="15" hidden="false" customHeight="false" outlineLevel="0" collapsed="false">
      <c r="A1163" s="21" t="s">
        <v>1427</v>
      </c>
      <c r="B1163" s="21"/>
      <c r="C1163" s="21"/>
      <c r="D1163" s="37" t="s">
        <v>84</v>
      </c>
      <c r="E1163" s="37" t="s">
        <v>84</v>
      </c>
      <c r="F1163" s="37" t="s">
        <v>36</v>
      </c>
      <c r="G1163" s="21" t="s">
        <v>1141</v>
      </c>
      <c r="H1163" s="21" t="n">
        <v>0</v>
      </c>
      <c r="I1163" s="21" t="s">
        <v>137</v>
      </c>
    </row>
    <row r="1164" customFormat="false" ht="15" hidden="false" customHeight="false" outlineLevel="0" collapsed="false">
      <c r="A1164" s="21" t="s">
        <v>1428</v>
      </c>
      <c r="B1164" s="21" t="s">
        <v>1026</v>
      </c>
      <c r="C1164" s="21"/>
      <c r="D1164" s="37" t="s">
        <v>84</v>
      </c>
      <c r="E1164" s="37" t="s">
        <v>84</v>
      </c>
      <c r="F1164" s="37" t="s">
        <v>36</v>
      </c>
      <c r="G1164" s="21" t="s">
        <v>445</v>
      </c>
      <c r="H1164" s="21" t="n">
        <v>0</v>
      </c>
      <c r="I1164" s="21" t="s">
        <v>137</v>
      </c>
    </row>
    <row r="1165" customFormat="false" ht="15" hidden="false" customHeight="false" outlineLevel="0" collapsed="false">
      <c r="A1165" s="21" t="s">
        <v>1429</v>
      </c>
      <c r="B1165" s="21" t="s">
        <v>1026</v>
      </c>
      <c r="C1165" s="21"/>
      <c r="D1165" s="37" t="s">
        <v>84</v>
      </c>
      <c r="E1165" s="37" t="s">
        <v>84</v>
      </c>
      <c r="F1165" s="37" t="s">
        <v>36</v>
      </c>
      <c r="G1165" s="21" t="s">
        <v>445</v>
      </c>
      <c r="H1165" s="21" t="n">
        <v>0</v>
      </c>
      <c r="I1165" s="21" t="s">
        <v>137</v>
      </c>
    </row>
    <row r="1166" customFormat="false" ht="15" hidden="false" customHeight="false" outlineLevel="0" collapsed="false">
      <c r="A1166" s="21" t="s">
        <v>1430</v>
      </c>
      <c r="B1166" s="21" t="s">
        <v>1032</v>
      </c>
      <c r="C1166" s="21"/>
      <c r="D1166" s="37" t="s">
        <v>84</v>
      </c>
      <c r="E1166" s="37" t="s">
        <v>84</v>
      </c>
      <c r="F1166" s="37" t="s">
        <v>36</v>
      </c>
      <c r="G1166" s="21" t="s">
        <v>445</v>
      </c>
      <c r="H1166" s="21" t="n">
        <v>0</v>
      </c>
      <c r="I1166" s="21" t="s">
        <v>137</v>
      </c>
    </row>
    <row r="1167" customFormat="false" ht="15" hidden="false" customHeight="false" outlineLevel="0" collapsed="false">
      <c r="A1167" s="21" t="s">
        <v>1431</v>
      </c>
      <c r="B1167" s="21" t="s">
        <v>1026</v>
      </c>
      <c r="C1167" s="21"/>
      <c r="D1167" s="37" t="s">
        <v>84</v>
      </c>
      <c r="E1167" s="37" t="s">
        <v>84</v>
      </c>
      <c r="F1167" s="37" t="s">
        <v>36</v>
      </c>
      <c r="G1167" s="21" t="s">
        <v>445</v>
      </c>
      <c r="H1167" s="21" t="n">
        <v>0</v>
      </c>
      <c r="I1167" s="21" t="s">
        <v>137</v>
      </c>
    </row>
    <row r="1168" customFormat="false" ht="15" hidden="false" customHeight="false" outlineLevel="0" collapsed="false">
      <c r="A1168" s="21" t="s">
        <v>1432</v>
      </c>
      <c r="B1168" s="21" t="s">
        <v>1028</v>
      </c>
      <c r="C1168" s="21"/>
      <c r="D1168" s="37" t="s">
        <v>84</v>
      </c>
      <c r="E1168" s="37" t="s">
        <v>84</v>
      </c>
      <c r="F1168" s="37" t="s">
        <v>36</v>
      </c>
      <c r="G1168" s="21" t="s">
        <v>445</v>
      </c>
      <c r="H1168" s="21" t="n">
        <v>0</v>
      </c>
      <c r="I1168" s="21" t="s">
        <v>137</v>
      </c>
    </row>
    <row r="1169" customFormat="false" ht="15" hidden="false" customHeight="false" outlineLevel="0" collapsed="false">
      <c r="A1169" s="21" t="s">
        <v>1433</v>
      </c>
      <c r="B1169" s="21" t="s">
        <v>1028</v>
      </c>
      <c r="C1169" s="21"/>
      <c r="D1169" s="37" t="s">
        <v>84</v>
      </c>
      <c r="E1169" s="37" t="s">
        <v>84</v>
      </c>
      <c r="F1169" s="37" t="s">
        <v>36</v>
      </c>
      <c r="G1169" s="21" t="s">
        <v>445</v>
      </c>
      <c r="H1169" s="21" t="n">
        <v>0</v>
      </c>
      <c r="I1169" s="21" t="s">
        <v>137</v>
      </c>
    </row>
    <row r="1170" customFormat="false" ht="15" hidden="false" customHeight="false" outlineLevel="0" collapsed="false">
      <c r="A1170" s="21" t="s">
        <v>1434</v>
      </c>
      <c r="B1170" s="21" t="s">
        <v>1028</v>
      </c>
      <c r="C1170" s="21"/>
      <c r="D1170" s="37" t="s">
        <v>84</v>
      </c>
      <c r="E1170" s="37" t="s">
        <v>84</v>
      </c>
      <c r="F1170" s="37" t="s">
        <v>36</v>
      </c>
      <c r="G1170" s="21" t="s">
        <v>445</v>
      </c>
      <c r="H1170" s="21" t="n">
        <v>0</v>
      </c>
      <c r="I1170" s="21" t="s">
        <v>137</v>
      </c>
    </row>
    <row r="1171" customFormat="false" ht="15" hidden="false" customHeight="false" outlineLevel="0" collapsed="false">
      <c r="A1171" s="21" t="s">
        <v>1435</v>
      </c>
      <c r="B1171" s="21" t="s">
        <v>1028</v>
      </c>
      <c r="C1171" s="21"/>
      <c r="D1171" s="37" t="s">
        <v>84</v>
      </c>
      <c r="E1171" s="37" t="s">
        <v>84</v>
      </c>
      <c r="F1171" s="37" t="s">
        <v>36</v>
      </c>
      <c r="G1171" s="21" t="s">
        <v>445</v>
      </c>
      <c r="H1171" s="21" t="n">
        <v>0</v>
      </c>
      <c r="I1171" s="21" t="s">
        <v>137</v>
      </c>
    </row>
    <row r="1172" customFormat="false" ht="15" hidden="false" customHeight="false" outlineLevel="0" collapsed="false">
      <c r="A1172" s="21" t="s">
        <v>1436</v>
      </c>
      <c r="B1172" s="21" t="s">
        <v>1032</v>
      </c>
      <c r="C1172" s="21"/>
      <c r="D1172" s="37" t="s">
        <v>84</v>
      </c>
      <c r="E1172" s="37" t="s">
        <v>84</v>
      </c>
      <c r="F1172" s="37" t="s">
        <v>36</v>
      </c>
      <c r="G1172" s="21" t="s">
        <v>445</v>
      </c>
      <c r="H1172" s="21" t="n">
        <v>0</v>
      </c>
      <c r="I1172" s="21" t="s">
        <v>137</v>
      </c>
    </row>
    <row r="1173" customFormat="false" ht="15" hidden="false" customHeight="false" outlineLevel="0" collapsed="false">
      <c r="A1173" s="21" t="s">
        <v>1437</v>
      </c>
      <c r="B1173" s="21"/>
      <c r="C1173" s="21"/>
      <c r="D1173" s="37" t="s">
        <v>84</v>
      </c>
      <c r="E1173" s="37" t="s">
        <v>84</v>
      </c>
      <c r="F1173" s="37" t="s">
        <v>36</v>
      </c>
      <c r="G1173" s="21" t="s">
        <v>1141</v>
      </c>
      <c r="H1173" s="21" t="n">
        <v>0</v>
      </c>
      <c r="I1173" s="21" t="s">
        <v>137</v>
      </c>
    </row>
    <row r="1174" customFormat="false" ht="15" hidden="false" customHeight="false" outlineLevel="0" collapsed="false">
      <c r="A1174" s="21" t="s">
        <v>1438</v>
      </c>
      <c r="B1174" s="21" t="s">
        <v>1026</v>
      </c>
      <c r="C1174" s="21"/>
      <c r="D1174" s="37" t="s">
        <v>84</v>
      </c>
      <c r="E1174" s="37" t="s">
        <v>84</v>
      </c>
      <c r="F1174" s="37" t="s">
        <v>36</v>
      </c>
      <c r="G1174" s="21" t="s">
        <v>445</v>
      </c>
      <c r="H1174" s="21" t="n">
        <v>0</v>
      </c>
      <c r="I1174" s="21" t="s">
        <v>137</v>
      </c>
    </row>
    <row r="1175" customFormat="false" ht="15" hidden="false" customHeight="false" outlineLevel="0" collapsed="false">
      <c r="A1175" s="21" t="s">
        <v>1439</v>
      </c>
      <c r="B1175" s="21"/>
      <c r="C1175" s="21"/>
      <c r="D1175" s="37" t="s">
        <v>84</v>
      </c>
      <c r="E1175" s="37" t="s">
        <v>84</v>
      </c>
      <c r="F1175" s="37" t="s">
        <v>36</v>
      </c>
      <c r="G1175" s="21" t="s">
        <v>1141</v>
      </c>
      <c r="H1175" s="21" t="n">
        <v>0</v>
      </c>
      <c r="I1175" s="21" t="s">
        <v>137</v>
      </c>
    </row>
    <row r="1176" customFormat="false" ht="15" hidden="false" customHeight="false" outlineLevel="0" collapsed="false">
      <c r="A1176" s="21" t="s">
        <v>1440</v>
      </c>
      <c r="B1176" s="21"/>
      <c r="C1176" s="21"/>
      <c r="D1176" s="37" t="s">
        <v>84</v>
      </c>
      <c r="E1176" s="37" t="s">
        <v>84</v>
      </c>
      <c r="F1176" s="37" t="s">
        <v>36</v>
      </c>
      <c r="G1176" s="21" t="s">
        <v>1141</v>
      </c>
      <c r="H1176" s="21" t="n">
        <v>0</v>
      </c>
      <c r="I1176" s="21" t="s">
        <v>137</v>
      </c>
    </row>
    <row r="1177" customFormat="false" ht="15" hidden="false" customHeight="false" outlineLevel="0" collapsed="false">
      <c r="A1177" s="21" t="s">
        <v>1441</v>
      </c>
      <c r="B1177" s="21"/>
      <c r="C1177" s="21"/>
      <c r="D1177" s="37" t="s">
        <v>84</v>
      </c>
      <c r="E1177" s="37" t="s">
        <v>84</v>
      </c>
      <c r="F1177" s="37" t="s">
        <v>36</v>
      </c>
      <c r="G1177" s="21" t="s">
        <v>1426</v>
      </c>
      <c r="H1177" s="21" t="n">
        <v>0</v>
      </c>
      <c r="I1177" s="21" t="s">
        <v>137</v>
      </c>
    </row>
    <row r="1178" customFormat="false" ht="15" hidden="false" customHeight="false" outlineLevel="0" collapsed="false">
      <c r="A1178" s="21" t="s">
        <v>1442</v>
      </c>
      <c r="B1178" s="21"/>
      <c r="C1178" s="21"/>
      <c r="D1178" s="37" t="s">
        <v>84</v>
      </c>
      <c r="E1178" s="37" t="s">
        <v>84</v>
      </c>
      <c r="F1178" s="37" t="s">
        <v>36</v>
      </c>
      <c r="G1178" s="21" t="s">
        <v>450</v>
      </c>
      <c r="H1178" s="21" t="n">
        <v>0</v>
      </c>
      <c r="I1178" s="21" t="s">
        <v>137</v>
      </c>
    </row>
    <row r="1179" customFormat="false" ht="15" hidden="false" customHeight="false" outlineLevel="0" collapsed="false">
      <c r="A1179" s="21" t="s">
        <v>1443</v>
      </c>
      <c r="B1179" s="21" t="s">
        <v>1032</v>
      </c>
      <c r="C1179" s="21"/>
      <c r="D1179" s="37" t="s">
        <v>84</v>
      </c>
      <c r="E1179" s="37" t="s">
        <v>84</v>
      </c>
      <c r="F1179" s="37" t="s">
        <v>36</v>
      </c>
      <c r="G1179" s="21" t="s">
        <v>445</v>
      </c>
      <c r="H1179" s="21" t="n">
        <v>0</v>
      </c>
      <c r="I1179" s="21" t="s">
        <v>137</v>
      </c>
    </row>
    <row r="1180" customFormat="false" ht="15" hidden="false" customHeight="false" outlineLevel="0" collapsed="false">
      <c r="A1180" s="21" t="s">
        <v>1444</v>
      </c>
      <c r="B1180" s="21" t="s">
        <v>1026</v>
      </c>
      <c r="C1180" s="21"/>
      <c r="D1180" s="37" t="s">
        <v>84</v>
      </c>
      <c r="E1180" s="37" t="s">
        <v>84</v>
      </c>
      <c r="F1180" s="37" t="s">
        <v>36</v>
      </c>
      <c r="G1180" s="21" t="s">
        <v>445</v>
      </c>
      <c r="H1180" s="21" t="n">
        <v>0</v>
      </c>
      <c r="I1180" s="21" t="s">
        <v>137</v>
      </c>
    </row>
    <row r="1181" customFormat="false" ht="15" hidden="false" customHeight="false" outlineLevel="0" collapsed="false">
      <c r="A1181" s="21" t="s">
        <v>1445</v>
      </c>
      <c r="B1181" s="21" t="s">
        <v>1026</v>
      </c>
      <c r="C1181" s="21"/>
      <c r="D1181" s="37" t="s">
        <v>84</v>
      </c>
      <c r="E1181" s="37" t="s">
        <v>84</v>
      </c>
      <c r="F1181" s="37" t="s">
        <v>36</v>
      </c>
      <c r="G1181" s="21" t="s">
        <v>445</v>
      </c>
      <c r="H1181" s="21" t="n">
        <v>0</v>
      </c>
      <c r="I1181" s="21" t="s">
        <v>137</v>
      </c>
    </row>
    <row r="1182" customFormat="false" ht="15" hidden="false" customHeight="false" outlineLevel="0" collapsed="false">
      <c r="A1182" s="21" t="s">
        <v>1446</v>
      </c>
      <c r="B1182" s="21" t="s">
        <v>1028</v>
      </c>
      <c r="C1182" s="21"/>
      <c r="D1182" s="37" t="s">
        <v>84</v>
      </c>
      <c r="E1182" s="37" t="s">
        <v>84</v>
      </c>
      <c r="F1182" s="37" t="s">
        <v>36</v>
      </c>
      <c r="G1182" s="21" t="s">
        <v>445</v>
      </c>
      <c r="H1182" s="21" t="n">
        <v>0</v>
      </c>
      <c r="I1182" s="21" t="s">
        <v>137</v>
      </c>
    </row>
    <row r="1183" customFormat="false" ht="15" hidden="false" customHeight="false" outlineLevel="0" collapsed="false">
      <c r="A1183" s="21" t="s">
        <v>1447</v>
      </c>
      <c r="B1183" s="21" t="s">
        <v>1032</v>
      </c>
      <c r="C1183" s="21"/>
      <c r="D1183" s="37" t="s">
        <v>84</v>
      </c>
      <c r="E1183" s="37" t="s">
        <v>84</v>
      </c>
      <c r="F1183" s="37" t="s">
        <v>36</v>
      </c>
      <c r="G1183" s="21" t="s">
        <v>445</v>
      </c>
      <c r="H1183" s="21" t="n">
        <v>0</v>
      </c>
      <c r="I1183" s="21" t="s">
        <v>137</v>
      </c>
    </row>
    <row r="1184" customFormat="false" ht="15" hidden="false" customHeight="false" outlineLevel="0" collapsed="false">
      <c r="A1184" s="21" t="s">
        <v>1448</v>
      </c>
      <c r="B1184" s="21" t="s">
        <v>1026</v>
      </c>
      <c r="C1184" s="21"/>
      <c r="D1184" s="37" t="s">
        <v>84</v>
      </c>
      <c r="E1184" s="37" t="s">
        <v>84</v>
      </c>
      <c r="F1184" s="37" t="s">
        <v>36</v>
      </c>
      <c r="G1184" s="21" t="s">
        <v>445</v>
      </c>
      <c r="H1184" s="21" t="n">
        <v>0</v>
      </c>
      <c r="I1184" s="21" t="s">
        <v>137</v>
      </c>
    </row>
    <row r="1185" customFormat="false" ht="15" hidden="false" customHeight="false" outlineLevel="0" collapsed="false">
      <c r="A1185" s="21" t="s">
        <v>1449</v>
      </c>
      <c r="B1185" s="21" t="s">
        <v>1028</v>
      </c>
      <c r="C1185" s="21"/>
      <c r="D1185" s="37" t="s">
        <v>84</v>
      </c>
      <c r="E1185" s="37" t="s">
        <v>84</v>
      </c>
      <c r="F1185" s="37" t="s">
        <v>36</v>
      </c>
      <c r="G1185" s="21" t="s">
        <v>445</v>
      </c>
      <c r="H1185" s="21" t="n">
        <v>0</v>
      </c>
      <c r="I1185" s="21" t="s">
        <v>137</v>
      </c>
    </row>
    <row r="1186" customFormat="false" ht="15" hidden="false" customHeight="false" outlineLevel="0" collapsed="false">
      <c r="A1186" s="21" t="s">
        <v>1450</v>
      </c>
      <c r="B1186" s="21" t="s">
        <v>1026</v>
      </c>
      <c r="C1186" s="21"/>
      <c r="D1186" s="37" t="s">
        <v>84</v>
      </c>
      <c r="E1186" s="37" t="s">
        <v>84</v>
      </c>
      <c r="F1186" s="37" t="s">
        <v>36</v>
      </c>
      <c r="G1186" s="21" t="s">
        <v>445</v>
      </c>
      <c r="H1186" s="21" t="n">
        <v>0</v>
      </c>
      <c r="I1186" s="21" t="s">
        <v>137</v>
      </c>
    </row>
    <row r="1187" customFormat="false" ht="15" hidden="false" customHeight="false" outlineLevel="0" collapsed="false">
      <c r="A1187" s="21" t="s">
        <v>1451</v>
      </c>
      <c r="B1187" s="21" t="s">
        <v>1026</v>
      </c>
      <c r="C1187" s="21"/>
      <c r="D1187" s="37" t="s">
        <v>84</v>
      </c>
      <c r="E1187" s="37" t="s">
        <v>84</v>
      </c>
      <c r="F1187" s="37" t="s">
        <v>36</v>
      </c>
      <c r="G1187" s="21" t="s">
        <v>445</v>
      </c>
      <c r="H1187" s="21" t="n">
        <v>0</v>
      </c>
      <c r="I1187" s="21" t="s">
        <v>137</v>
      </c>
    </row>
    <row r="1188" customFormat="false" ht="15" hidden="false" customHeight="false" outlineLevel="0" collapsed="false">
      <c r="A1188" s="21" t="s">
        <v>1452</v>
      </c>
      <c r="B1188" s="21" t="s">
        <v>1028</v>
      </c>
      <c r="C1188" s="21"/>
      <c r="D1188" s="37" t="s">
        <v>84</v>
      </c>
      <c r="E1188" s="37" t="s">
        <v>84</v>
      </c>
      <c r="F1188" s="37" t="s">
        <v>36</v>
      </c>
      <c r="G1188" s="21" t="s">
        <v>445</v>
      </c>
      <c r="H1188" s="21" t="n">
        <v>0</v>
      </c>
      <c r="I1188" s="21" t="s">
        <v>137</v>
      </c>
    </row>
    <row r="1189" customFormat="false" ht="15" hidden="false" customHeight="false" outlineLevel="0" collapsed="false">
      <c r="A1189" s="21" t="s">
        <v>1453</v>
      </c>
      <c r="B1189" s="21" t="s">
        <v>1028</v>
      </c>
      <c r="C1189" s="21"/>
      <c r="D1189" s="37" t="s">
        <v>84</v>
      </c>
      <c r="E1189" s="37" t="s">
        <v>84</v>
      </c>
      <c r="F1189" s="37" t="s">
        <v>36</v>
      </c>
      <c r="G1189" s="21" t="s">
        <v>445</v>
      </c>
      <c r="H1189" s="21" t="n">
        <v>0</v>
      </c>
      <c r="I1189" s="21" t="s">
        <v>137</v>
      </c>
    </row>
    <row r="1190" customFormat="false" ht="15" hidden="false" customHeight="false" outlineLevel="0" collapsed="false">
      <c r="A1190" s="21" t="s">
        <v>1454</v>
      </c>
      <c r="B1190" s="21" t="s">
        <v>1028</v>
      </c>
      <c r="C1190" s="21"/>
      <c r="D1190" s="37" t="s">
        <v>84</v>
      </c>
      <c r="E1190" s="37" t="s">
        <v>84</v>
      </c>
      <c r="F1190" s="37" t="s">
        <v>36</v>
      </c>
      <c r="G1190" s="21" t="s">
        <v>445</v>
      </c>
      <c r="H1190" s="21" t="n">
        <v>0</v>
      </c>
      <c r="I1190" s="21" t="s">
        <v>137</v>
      </c>
    </row>
    <row r="1191" customFormat="false" ht="15" hidden="false" customHeight="false" outlineLevel="0" collapsed="false">
      <c r="A1191" s="21" t="s">
        <v>1455</v>
      </c>
      <c r="B1191" s="21" t="s">
        <v>1028</v>
      </c>
      <c r="C1191" s="21"/>
      <c r="D1191" s="37" t="s">
        <v>84</v>
      </c>
      <c r="E1191" s="37" t="s">
        <v>84</v>
      </c>
      <c r="F1191" s="37" t="s">
        <v>36</v>
      </c>
      <c r="G1191" s="21" t="s">
        <v>445</v>
      </c>
      <c r="H1191" s="21" t="n">
        <v>0</v>
      </c>
      <c r="I1191" s="21" t="s">
        <v>137</v>
      </c>
    </row>
    <row r="1192" customFormat="false" ht="15" hidden="false" customHeight="false" outlineLevel="0" collapsed="false">
      <c r="A1192" s="21" t="s">
        <v>1456</v>
      </c>
      <c r="B1192" s="21" t="s">
        <v>1026</v>
      </c>
      <c r="C1192" s="21"/>
      <c r="D1192" s="37" t="s">
        <v>84</v>
      </c>
      <c r="E1192" s="37" t="s">
        <v>84</v>
      </c>
      <c r="F1192" s="37" t="s">
        <v>36</v>
      </c>
      <c r="G1192" s="21" t="s">
        <v>445</v>
      </c>
      <c r="H1192" s="21" t="n">
        <v>0</v>
      </c>
      <c r="I1192" s="21" t="s">
        <v>137</v>
      </c>
    </row>
    <row r="1193" customFormat="false" ht="15" hidden="false" customHeight="false" outlineLevel="0" collapsed="false">
      <c r="A1193" s="21" t="s">
        <v>1457</v>
      </c>
      <c r="B1193" s="21" t="s">
        <v>1028</v>
      </c>
      <c r="C1193" s="21"/>
      <c r="D1193" s="37" t="s">
        <v>84</v>
      </c>
      <c r="E1193" s="37" t="s">
        <v>84</v>
      </c>
      <c r="F1193" s="37" t="s">
        <v>36</v>
      </c>
      <c r="G1193" s="21" t="s">
        <v>445</v>
      </c>
      <c r="H1193" s="21" t="n">
        <v>0</v>
      </c>
      <c r="I1193" s="21" t="s">
        <v>137</v>
      </c>
    </row>
    <row r="1194" customFormat="false" ht="15" hidden="false" customHeight="false" outlineLevel="0" collapsed="false">
      <c r="A1194" s="21" t="s">
        <v>1458</v>
      </c>
      <c r="B1194" s="21" t="s">
        <v>1026</v>
      </c>
      <c r="C1194" s="21"/>
      <c r="D1194" s="37" t="s">
        <v>84</v>
      </c>
      <c r="E1194" s="37" t="s">
        <v>84</v>
      </c>
      <c r="F1194" s="37" t="s">
        <v>36</v>
      </c>
      <c r="G1194" s="21" t="s">
        <v>445</v>
      </c>
      <c r="H1194" s="21" t="n">
        <v>0</v>
      </c>
      <c r="I1194" s="21" t="s">
        <v>137</v>
      </c>
    </row>
    <row r="1195" customFormat="false" ht="15" hidden="false" customHeight="false" outlineLevel="0" collapsed="false">
      <c r="A1195" s="21" t="s">
        <v>1459</v>
      </c>
      <c r="B1195" s="21" t="s">
        <v>1026</v>
      </c>
      <c r="C1195" s="21"/>
      <c r="D1195" s="37" t="s">
        <v>84</v>
      </c>
      <c r="E1195" s="37" t="s">
        <v>84</v>
      </c>
      <c r="F1195" s="37" t="s">
        <v>36</v>
      </c>
      <c r="G1195" s="21" t="s">
        <v>445</v>
      </c>
      <c r="H1195" s="21" t="n">
        <v>0</v>
      </c>
      <c r="I1195" s="21" t="s">
        <v>137</v>
      </c>
    </row>
    <row r="1196" customFormat="false" ht="15" hidden="false" customHeight="false" outlineLevel="0" collapsed="false">
      <c r="A1196" s="21" t="s">
        <v>1460</v>
      </c>
      <c r="B1196" s="21" t="s">
        <v>1028</v>
      </c>
      <c r="C1196" s="21"/>
      <c r="D1196" s="37" t="s">
        <v>84</v>
      </c>
      <c r="E1196" s="37" t="s">
        <v>84</v>
      </c>
      <c r="F1196" s="37" t="s">
        <v>36</v>
      </c>
      <c r="G1196" s="21" t="s">
        <v>445</v>
      </c>
      <c r="H1196" s="21" t="n">
        <v>0</v>
      </c>
      <c r="I1196" s="21" t="s">
        <v>137</v>
      </c>
    </row>
    <row r="1197" customFormat="false" ht="15" hidden="false" customHeight="false" outlineLevel="0" collapsed="false">
      <c r="A1197" s="21" t="s">
        <v>1461</v>
      </c>
      <c r="B1197" s="21" t="s">
        <v>1028</v>
      </c>
      <c r="C1197" s="21"/>
      <c r="D1197" s="37" t="s">
        <v>84</v>
      </c>
      <c r="E1197" s="37" t="s">
        <v>84</v>
      </c>
      <c r="F1197" s="37" t="s">
        <v>36</v>
      </c>
      <c r="G1197" s="21" t="s">
        <v>445</v>
      </c>
      <c r="H1197" s="21" t="n">
        <v>0</v>
      </c>
      <c r="I1197" s="21" t="s">
        <v>137</v>
      </c>
    </row>
    <row r="1198" customFormat="false" ht="15" hidden="false" customHeight="false" outlineLevel="0" collapsed="false">
      <c r="A1198" s="21" t="s">
        <v>1462</v>
      </c>
      <c r="B1198" s="21" t="s">
        <v>1026</v>
      </c>
      <c r="C1198" s="21"/>
      <c r="D1198" s="37" t="s">
        <v>84</v>
      </c>
      <c r="E1198" s="37" t="s">
        <v>84</v>
      </c>
      <c r="F1198" s="37" t="s">
        <v>36</v>
      </c>
      <c r="G1198" s="21" t="s">
        <v>445</v>
      </c>
      <c r="H1198" s="21" t="n">
        <v>0</v>
      </c>
      <c r="I1198" s="21" t="s">
        <v>137</v>
      </c>
    </row>
    <row r="1199" customFormat="false" ht="15" hidden="false" customHeight="false" outlineLevel="0" collapsed="false">
      <c r="A1199" s="21" t="s">
        <v>1463</v>
      </c>
      <c r="B1199" s="21" t="s">
        <v>1028</v>
      </c>
      <c r="C1199" s="21"/>
      <c r="D1199" s="37" t="s">
        <v>84</v>
      </c>
      <c r="E1199" s="37" t="s">
        <v>84</v>
      </c>
      <c r="F1199" s="37" t="s">
        <v>36</v>
      </c>
      <c r="G1199" s="21" t="s">
        <v>445</v>
      </c>
      <c r="H1199" s="21" t="n">
        <v>0</v>
      </c>
      <c r="I1199" s="21" t="s">
        <v>137</v>
      </c>
    </row>
    <row r="1200" customFormat="false" ht="15" hidden="false" customHeight="false" outlineLevel="0" collapsed="false">
      <c r="A1200" s="21" t="s">
        <v>1464</v>
      </c>
      <c r="B1200" s="21" t="s">
        <v>1026</v>
      </c>
      <c r="C1200" s="21"/>
      <c r="D1200" s="37" t="s">
        <v>84</v>
      </c>
      <c r="E1200" s="37" t="s">
        <v>84</v>
      </c>
      <c r="F1200" s="37" t="s">
        <v>36</v>
      </c>
      <c r="G1200" s="21" t="s">
        <v>445</v>
      </c>
      <c r="H1200" s="21" t="n">
        <v>0</v>
      </c>
      <c r="I1200" s="21" t="s">
        <v>137</v>
      </c>
    </row>
    <row r="1201" customFormat="false" ht="15" hidden="false" customHeight="false" outlineLevel="0" collapsed="false">
      <c r="A1201" s="21" t="s">
        <v>1465</v>
      </c>
      <c r="B1201" s="21" t="s">
        <v>1032</v>
      </c>
      <c r="C1201" s="21"/>
      <c r="D1201" s="37" t="s">
        <v>84</v>
      </c>
      <c r="E1201" s="37" t="s">
        <v>84</v>
      </c>
      <c r="F1201" s="37" t="s">
        <v>36</v>
      </c>
      <c r="G1201" s="21" t="s">
        <v>445</v>
      </c>
      <c r="H1201" s="21" t="n">
        <v>0</v>
      </c>
      <c r="I1201" s="21" t="s">
        <v>137</v>
      </c>
    </row>
    <row r="1202" customFormat="false" ht="15" hidden="false" customHeight="false" outlineLevel="0" collapsed="false">
      <c r="A1202" s="21" t="s">
        <v>1466</v>
      </c>
      <c r="B1202" s="21" t="s">
        <v>1028</v>
      </c>
      <c r="C1202" s="21"/>
      <c r="D1202" s="37" t="s">
        <v>84</v>
      </c>
      <c r="E1202" s="37" t="s">
        <v>84</v>
      </c>
      <c r="F1202" s="37" t="s">
        <v>36</v>
      </c>
      <c r="G1202" s="21" t="s">
        <v>445</v>
      </c>
      <c r="H1202" s="21" t="n">
        <v>0</v>
      </c>
      <c r="I1202" s="21" t="s">
        <v>137</v>
      </c>
    </row>
    <row r="1203" customFormat="false" ht="15" hidden="false" customHeight="false" outlineLevel="0" collapsed="false">
      <c r="A1203" s="21" t="s">
        <v>1467</v>
      </c>
      <c r="B1203" s="21" t="s">
        <v>1026</v>
      </c>
      <c r="C1203" s="21"/>
      <c r="D1203" s="37" t="s">
        <v>84</v>
      </c>
      <c r="E1203" s="37" t="s">
        <v>84</v>
      </c>
      <c r="F1203" s="37" t="s">
        <v>36</v>
      </c>
      <c r="G1203" s="21" t="s">
        <v>445</v>
      </c>
      <c r="H1203" s="21" t="n">
        <v>0</v>
      </c>
      <c r="I1203" s="21" t="s">
        <v>137</v>
      </c>
    </row>
    <row r="1204" customFormat="false" ht="15" hidden="false" customHeight="false" outlineLevel="0" collapsed="false">
      <c r="A1204" s="21" t="s">
        <v>1468</v>
      </c>
      <c r="B1204" s="21" t="s">
        <v>1026</v>
      </c>
      <c r="C1204" s="21"/>
      <c r="D1204" s="37" t="s">
        <v>84</v>
      </c>
      <c r="E1204" s="37" t="s">
        <v>84</v>
      </c>
      <c r="F1204" s="37" t="s">
        <v>36</v>
      </c>
      <c r="G1204" s="21" t="s">
        <v>445</v>
      </c>
      <c r="H1204" s="21" t="n">
        <v>0</v>
      </c>
      <c r="I1204" s="21" t="s">
        <v>137</v>
      </c>
    </row>
    <row r="1205" customFormat="false" ht="15" hidden="false" customHeight="false" outlineLevel="0" collapsed="false">
      <c r="A1205" s="21" t="s">
        <v>1469</v>
      </c>
      <c r="B1205" s="21" t="s">
        <v>1026</v>
      </c>
      <c r="C1205" s="21"/>
      <c r="D1205" s="37" t="s">
        <v>84</v>
      </c>
      <c r="E1205" s="37" t="s">
        <v>84</v>
      </c>
      <c r="F1205" s="37" t="s">
        <v>36</v>
      </c>
      <c r="G1205" s="21" t="s">
        <v>445</v>
      </c>
      <c r="H1205" s="21" t="n">
        <v>0</v>
      </c>
      <c r="I1205" s="21" t="s">
        <v>137</v>
      </c>
    </row>
    <row r="1206" customFormat="false" ht="15" hidden="false" customHeight="false" outlineLevel="0" collapsed="false">
      <c r="A1206" s="21" t="s">
        <v>1470</v>
      </c>
      <c r="B1206" s="21" t="s">
        <v>1026</v>
      </c>
      <c r="C1206" s="21"/>
      <c r="D1206" s="37" t="s">
        <v>84</v>
      </c>
      <c r="E1206" s="37" t="s">
        <v>84</v>
      </c>
      <c r="F1206" s="37" t="s">
        <v>36</v>
      </c>
      <c r="G1206" s="21" t="s">
        <v>445</v>
      </c>
      <c r="H1206" s="21" t="n">
        <v>0</v>
      </c>
      <c r="I1206" s="21" t="s">
        <v>137</v>
      </c>
    </row>
    <row r="1207" customFormat="false" ht="15" hidden="false" customHeight="false" outlineLevel="0" collapsed="false">
      <c r="A1207" s="21" t="s">
        <v>1471</v>
      </c>
      <c r="B1207" s="21" t="s">
        <v>1032</v>
      </c>
      <c r="C1207" s="21"/>
      <c r="D1207" s="37" t="s">
        <v>84</v>
      </c>
      <c r="E1207" s="37" t="s">
        <v>84</v>
      </c>
      <c r="F1207" s="37" t="s">
        <v>36</v>
      </c>
      <c r="G1207" s="21" t="s">
        <v>445</v>
      </c>
      <c r="H1207" s="21" t="n">
        <v>0</v>
      </c>
      <c r="I1207" s="21" t="s">
        <v>137</v>
      </c>
    </row>
    <row r="1208" customFormat="false" ht="15" hidden="false" customHeight="false" outlineLevel="0" collapsed="false">
      <c r="A1208" s="21" t="s">
        <v>1472</v>
      </c>
      <c r="B1208" s="21" t="s">
        <v>1026</v>
      </c>
      <c r="C1208" s="21"/>
      <c r="D1208" s="37" t="s">
        <v>84</v>
      </c>
      <c r="E1208" s="37" t="s">
        <v>84</v>
      </c>
      <c r="F1208" s="37" t="s">
        <v>36</v>
      </c>
      <c r="G1208" s="21" t="s">
        <v>445</v>
      </c>
      <c r="H1208" s="21" t="n">
        <v>0</v>
      </c>
      <c r="I1208" s="21" t="s">
        <v>137</v>
      </c>
    </row>
    <row r="1209" customFormat="false" ht="15" hidden="false" customHeight="false" outlineLevel="0" collapsed="false">
      <c r="A1209" s="21" t="s">
        <v>1473</v>
      </c>
      <c r="B1209" s="21" t="s">
        <v>1026</v>
      </c>
      <c r="C1209" s="21"/>
      <c r="D1209" s="37" t="s">
        <v>84</v>
      </c>
      <c r="E1209" s="37" t="s">
        <v>84</v>
      </c>
      <c r="F1209" s="37" t="s">
        <v>36</v>
      </c>
      <c r="G1209" s="21" t="s">
        <v>445</v>
      </c>
      <c r="H1209" s="21" t="n">
        <v>0</v>
      </c>
      <c r="I1209" s="21" t="s">
        <v>137</v>
      </c>
    </row>
    <row r="1210" customFormat="false" ht="15" hidden="false" customHeight="false" outlineLevel="0" collapsed="false">
      <c r="A1210" s="21" t="s">
        <v>1474</v>
      </c>
      <c r="B1210" s="21" t="s">
        <v>1026</v>
      </c>
      <c r="C1210" s="21"/>
      <c r="D1210" s="37" t="s">
        <v>84</v>
      </c>
      <c r="E1210" s="37" t="s">
        <v>84</v>
      </c>
      <c r="F1210" s="37" t="s">
        <v>36</v>
      </c>
      <c r="G1210" s="21" t="s">
        <v>445</v>
      </c>
      <c r="H1210" s="21" t="n">
        <v>0</v>
      </c>
      <c r="I1210" s="21" t="s">
        <v>137</v>
      </c>
    </row>
    <row r="1211" customFormat="false" ht="15" hidden="false" customHeight="false" outlineLevel="0" collapsed="false">
      <c r="A1211" s="21" t="s">
        <v>1475</v>
      </c>
      <c r="B1211" s="21" t="s">
        <v>1026</v>
      </c>
      <c r="C1211" s="21"/>
      <c r="D1211" s="37" t="s">
        <v>84</v>
      </c>
      <c r="E1211" s="37" t="s">
        <v>84</v>
      </c>
      <c r="F1211" s="37" t="s">
        <v>36</v>
      </c>
      <c r="G1211" s="21" t="s">
        <v>445</v>
      </c>
      <c r="H1211" s="21" t="n">
        <v>0</v>
      </c>
      <c r="I1211" s="21" t="s">
        <v>137</v>
      </c>
    </row>
    <row r="1212" customFormat="false" ht="15" hidden="false" customHeight="false" outlineLevel="0" collapsed="false">
      <c r="A1212" s="21" t="s">
        <v>1476</v>
      </c>
      <c r="B1212" s="21" t="s">
        <v>1026</v>
      </c>
      <c r="C1212" s="21"/>
      <c r="D1212" s="37" t="s">
        <v>84</v>
      </c>
      <c r="E1212" s="37" t="s">
        <v>84</v>
      </c>
      <c r="F1212" s="37" t="s">
        <v>36</v>
      </c>
      <c r="G1212" s="21" t="s">
        <v>445</v>
      </c>
      <c r="H1212" s="21" t="n">
        <v>0</v>
      </c>
      <c r="I1212" s="21" t="s">
        <v>137</v>
      </c>
    </row>
    <row r="1213" customFormat="false" ht="15" hidden="false" customHeight="false" outlineLevel="0" collapsed="false">
      <c r="A1213" s="21" t="s">
        <v>1477</v>
      </c>
      <c r="B1213" s="21" t="s">
        <v>1026</v>
      </c>
      <c r="C1213" s="21"/>
      <c r="D1213" s="37" t="s">
        <v>84</v>
      </c>
      <c r="E1213" s="37" t="s">
        <v>84</v>
      </c>
      <c r="F1213" s="37" t="s">
        <v>36</v>
      </c>
      <c r="G1213" s="21" t="s">
        <v>445</v>
      </c>
      <c r="H1213" s="21" t="n">
        <v>0</v>
      </c>
      <c r="I1213" s="21" t="s">
        <v>137</v>
      </c>
    </row>
    <row r="1214" customFormat="false" ht="15" hidden="false" customHeight="false" outlineLevel="0" collapsed="false">
      <c r="A1214" s="21" t="s">
        <v>1478</v>
      </c>
      <c r="B1214" s="21" t="s">
        <v>1032</v>
      </c>
      <c r="C1214" s="21"/>
      <c r="D1214" s="37" t="s">
        <v>84</v>
      </c>
      <c r="E1214" s="37" t="s">
        <v>84</v>
      </c>
      <c r="F1214" s="37" t="s">
        <v>36</v>
      </c>
      <c r="G1214" s="21" t="s">
        <v>445</v>
      </c>
      <c r="H1214" s="21" t="n">
        <v>0</v>
      </c>
      <c r="I1214" s="21" t="s">
        <v>137</v>
      </c>
    </row>
    <row r="1215" customFormat="false" ht="15" hidden="false" customHeight="false" outlineLevel="0" collapsed="false">
      <c r="A1215" s="21" t="s">
        <v>1479</v>
      </c>
      <c r="B1215" s="21" t="s">
        <v>1028</v>
      </c>
      <c r="C1215" s="21"/>
      <c r="D1215" s="37" t="s">
        <v>84</v>
      </c>
      <c r="E1215" s="37" t="s">
        <v>84</v>
      </c>
      <c r="F1215" s="37" t="s">
        <v>36</v>
      </c>
      <c r="G1215" s="21" t="s">
        <v>445</v>
      </c>
      <c r="H1215" s="21" t="n">
        <v>0</v>
      </c>
      <c r="I1215" s="21" t="s">
        <v>137</v>
      </c>
    </row>
    <row r="1216" customFormat="false" ht="15" hidden="false" customHeight="false" outlineLevel="0" collapsed="false">
      <c r="A1216" s="21" t="s">
        <v>1480</v>
      </c>
      <c r="B1216" s="21" t="s">
        <v>1026</v>
      </c>
      <c r="C1216" s="21"/>
      <c r="D1216" s="37" t="s">
        <v>84</v>
      </c>
      <c r="E1216" s="37" t="s">
        <v>84</v>
      </c>
      <c r="F1216" s="37" t="s">
        <v>36</v>
      </c>
      <c r="G1216" s="21" t="s">
        <v>445</v>
      </c>
      <c r="H1216" s="21" t="n">
        <v>0</v>
      </c>
      <c r="I1216" s="21" t="s">
        <v>137</v>
      </c>
    </row>
    <row r="1217" customFormat="false" ht="15" hidden="false" customHeight="false" outlineLevel="0" collapsed="false">
      <c r="A1217" s="21" t="s">
        <v>1481</v>
      </c>
      <c r="B1217" s="21" t="s">
        <v>1032</v>
      </c>
      <c r="C1217" s="21"/>
      <c r="D1217" s="37" t="s">
        <v>84</v>
      </c>
      <c r="E1217" s="37" t="s">
        <v>84</v>
      </c>
      <c r="F1217" s="37" t="s">
        <v>36</v>
      </c>
      <c r="G1217" s="21" t="s">
        <v>445</v>
      </c>
      <c r="H1217" s="21" t="n">
        <v>0</v>
      </c>
      <c r="I1217" s="21" t="s">
        <v>137</v>
      </c>
    </row>
    <row r="1218" customFormat="false" ht="15" hidden="false" customHeight="false" outlineLevel="0" collapsed="false">
      <c r="A1218" s="21" t="s">
        <v>1482</v>
      </c>
      <c r="B1218" s="21" t="s">
        <v>1028</v>
      </c>
      <c r="C1218" s="21"/>
      <c r="D1218" s="37" t="s">
        <v>84</v>
      </c>
      <c r="E1218" s="37" t="s">
        <v>84</v>
      </c>
      <c r="F1218" s="37" t="s">
        <v>36</v>
      </c>
      <c r="G1218" s="21" t="s">
        <v>445</v>
      </c>
      <c r="H1218" s="21" t="n">
        <v>0</v>
      </c>
      <c r="I1218" s="21" t="s">
        <v>137</v>
      </c>
    </row>
    <row r="1219" customFormat="false" ht="15" hidden="false" customHeight="false" outlineLevel="0" collapsed="false">
      <c r="A1219" s="21" t="s">
        <v>1483</v>
      </c>
      <c r="B1219" s="21" t="s">
        <v>1026</v>
      </c>
      <c r="C1219" s="21"/>
      <c r="D1219" s="37" t="s">
        <v>84</v>
      </c>
      <c r="E1219" s="37" t="s">
        <v>84</v>
      </c>
      <c r="F1219" s="37" t="s">
        <v>36</v>
      </c>
      <c r="G1219" s="21" t="s">
        <v>445</v>
      </c>
      <c r="H1219" s="21" t="n">
        <v>0</v>
      </c>
      <c r="I1219" s="21" t="s">
        <v>137</v>
      </c>
    </row>
    <row r="1220" customFormat="false" ht="15" hidden="false" customHeight="false" outlineLevel="0" collapsed="false">
      <c r="A1220" s="21" t="s">
        <v>1484</v>
      </c>
      <c r="B1220" s="21" t="s">
        <v>1026</v>
      </c>
      <c r="C1220" s="21"/>
      <c r="D1220" s="37" t="s">
        <v>84</v>
      </c>
      <c r="E1220" s="37" t="s">
        <v>84</v>
      </c>
      <c r="F1220" s="37" t="s">
        <v>36</v>
      </c>
      <c r="G1220" s="21" t="s">
        <v>445</v>
      </c>
      <c r="H1220" s="21" t="n">
        <v>0</v>
      </c>
      <c r="I1220" s="21" t="s">
        <v>137</v>
      </c>
    </row>
    <row r="1221" customFormat="false" ht="15" hidden="false" customHeight="false" outlineLevel="0" collapsed="false">
      <c r="A1221" s="21" t="s">
        <v>1485</v>
      </c>
      <c r="B1221" s="21" t="s">
        <v>1026</v>
      </c>
      <c r="C1221" s="21"/>
      <c r="D1221" s="37" t="s">
        <v>84</v>
      </c>
      <c r="E1221" s="37" t="s">
        <v>84</v>
      </c>
      <c r="F1221" s="37" t="s">
        <v>36</v>
      </c>
      <c r="G1221" s="21" t="s">
        <v>445</v>
      </c>
      <c r="H1221" s="21" t="n">
        <v>0</v>
      </c>
      <c r="I1221" s="21" t="s">
        <v>137</v>
      </c>
    </row>
    <row r="1222" customFormat="false" ht="15" hidden="false" customHeight="false" outlineLevel="0" collapsed="false">
      <c r="A1222" s="21" t="s">
        <v>1486</v>
      </c>
      <c r="B1222" s="21" t="s">
        <v>1026</v>
      </c>
      <c r="C1222" s="21"/>
      <c r="D1222" s="37" t="s">
        <v>84</v>
      </c>
      <c r="E1222" s="37" t="s">
        <v>84</v>
      </c>
      <c r="F1222" s="37" t="s">
        <v>36</v>
      </c>
      <c r="G1222" s="21" t="s">
        <v>445</v>
      </c>
      <c r="H1222" s="21" t="n">
        <v>0</v>
      </c>
      <c r="I1222" s="21" t="s">
        <v>137</v>
      </c>
    </row>
    <row r="1223" customFormat="false" ht="15" hidden="false" customHeight="false" outlineLevel="0" collapsed="false">
      <c r="A1223" s="21" t="s">
        <v>1487</v>
      </c>
      <c r="B1223" s="21" t="s">
        <v>1026</v>
      </c>
      <c r="C1223" s="21"/>
      <c r="D1223" s="37" t="s">
        <v>84</v>
      </c>
      <c r="E1223" s="37" t="s">
        <v>84</v>
      </c>
      <c r="F1223" s="37" t="s">
        <v>36</v>
      </c>
      <c r="G1223" s="21" t="s">
        <v>445</v>
      </c>
      <c r="H1223" s="21" t="n">
        <v>0</v>
      </c>
      <c r="I1223" s="21" t="s">
        <v>137</v>
      </c>
    </row>
    <row r="1224" customFormat="false" ht="15" hidden="false" customHeight="false" outlineLevel="0" collapsed="false">
      <c r="A1224" s="21" t="s">
        <v>1488</v>
      </c>
      <c r="B1224" s="21" t="s">
        <v>1028</v>
      </c>
      <c r="C1224" s="21"/>
      <c r="D1224" s="37" t="s">
        <v>84</v>
      </c>
      <c r="E1224" s="37" t="s">
        <v>84</v>
      </c>
      <c r="F1224" s="37" t="s">
        <v>36</v>
      </c>
      <c r="G1224" s="21" t="s">
        <v>445</v>
      </c>
      <c r="H1224" s="21" t="n">
        <v>0</v>
      </c>
      <c r="I1224" s="21" t="s">
        <v>137</v>
      </c>
    </row>
    <row r="1225" customFormat="false" ht="15" hidden="false" customHeight="false" outlineLevel="0" collapsed="false">
      <c r="A1225" s="21" t="s">
        <v>1489</v>
      </c>
      <c r="B1225" s="21" t="s">
        <v>1028</v>
      </c>
      <c r="C1225" s="21"/>
      <c r="D1225" s="37" t="s">
        <v>84</v>
      </c>
      <c r="E1225" s="37" t="s">
        <v>84</v>
      </c>
      <c r="F1225" s="37" t="s">
        <v>36</v>
      </c>
      <c r="G1225" s="21" t="s">
        <v>445</v>
      </c>
      <c r="H1225" s="21" t="n">
        <v>0</v>
      </c>
      <c r="I1225" s="21" t="s">
        <v>137</v>
      </c>
    </row>
    <row r="1226" customFormat="false" ht="15" hidden="false" customHeight="false" outlineLevel="0" collapsed="false">
      <c r="A1226" s="21" t="s">
        <v>1490</v>
      </c>
      <c r="B1226" s="21" t="s">
        <v>1026</v>
      </c>
      <c r="C1226" s="21"/>
      <c r="D1226" s="37" t="s">
        <v>84</v>
      </c>
      <c r="E1226" s="37" t="s">
        <v>84</v>
      </c>
      <c r="F1226" s="37" t="s">
        <v>36</v>
      </c>
      <c r="G1226" s="21" t="s">
        <v>445</v>
      </c>
      <c r="H1226" s="21" t="n">
        <v>0</v>
      </c>
      <c r="I1226" s="21" t="s">
        <v>137</v>
      </c>
    </row>
    <row r="1227" customFormat="false" ht="15" hidden="false" customHeight="false" outlineLevel="0" collapsed="false">
      <c r="A1227" s="21" t="s">
        <v>1491</v>
      </c>
      <c r="B1227" s="21" t="s">
        <v>1026</v>
      </c>
      <c r="C1227" s="21"/>
      <c r="D1227" s="37" t="s">
        <v>84</v>
      </c>
      <c r="E1227" s="37" t="s">
        <v>84</v>
      </c>
      <c r="F1227" s="37" t="s">
        <v>36</v>
      </c>
      <c r="G1227" s="21" t="s">
        <v>445</v>
      </c>
      <c r="H1227" s="21" t="n">
        <v>0</v>
      </c>
      <c r="I1227" s="21" t="s">
        <v>137</v>
      </c>
    </row>
    <row r="1228" customFormat="false" ht="15" hidden="false" customHeight="false" outlineLevel="0" collapsed="false">
      <c r="A1228" s="21" t="s">
        <v>1492</v>
      </c>
      <c r="B1228" s="21" t="s">
        <v>1028</v>
      </c>
      <c r="C1228" s="21"/>
      <c r="D1228" s="37" t="s">
        <v>84</v>
      </c>
      <c r="E1228" s="37" t="s">
        <v>84</v>
      </c>
      <c r="F1228" s="37" t="s">
        <v>36</v>
      </c>
      <c r="G1228" s="21" t="s">
        <v>445</v>
      </c>
      <c r="H1228" s="21" t="n">
        <v>0</v>
      </c>
      <c r="I1228" s="21" t="s">
        <v>137</v>
      </c>
    </row>
    <row r="1229" customFormat="false" ht="15" hidden="false" customHeight="false" outlineLevel="0" collapsed="false">
      <c r="A1229" s="21" t="s">
        <v>1493</v>
      </c>
      <c r="B1229" s="21" t="s">
        <v>1026</v>
      </c>
      <c r="C1229" s="21"/>
      <c r="D1229" s="37" t="s">
        <v>84</v>
      </c>
      <c r="E1229" s="37" t="s">
        <v>84</v>
      </c>
      <c r="F1229" s="37" t="s">
        <v>36</v>
      </c>
      <c r="G1229" s="21" t="s">
        <v>445</v>
      </c>
      <c r="H1229" s="21" t="n">
        <v>0</v>
      </c>
      <c r="I1229" s="21" t="s">
        <v>137</v>
      </c>
    </row>
    <row r="1230" customFormat="false" ht="15" hidden="false" customHeight="false" outlineLevel="0" collapsed="false">
      <c r="A1230" s="21" t="s">
        <v>1494</v>
      </c>
      <c r="B1230" s="21" t="s">
        <v>1026</v>
      </c>
      <c r="C1230" s="21"/>
      <c r="D1230" s="37" t="s">
        <v>84</v>
      </c>
      <c r="E1230" s="37" t="s">
        <v>84</v>
      </c>
      <c r="F1230" s="37" t="s">
        <v>36</v>
      </c>
      <c r="G1230" s="21" t="s">
        <v>445</v>
      </c>
      <c r="H1230" s="21" t="n">
        <v>0</v>
      </c>
      <c r="I1230" s="21" t="s">
        <v>137</v>
      </c>
    </row>
    <row r="1231" customFormat="false" ht="15" hidden="false" customHeight="false" outlineLevel="0" collapsed="false">
      <c r="A1231" s="21" t="s">
        <v>1495</v>
      </c>
      <c r="B1231" s="21"/>
      <c r="C1231" s="21"/>
      <c r="D1231" s="37" t="s">
        <v>84</v>
      </c>
      <c r="E1231" s="37" t="s">
        <v>84</v>
      </c>
      <c r="F1231" s="37" t="s">
        <v>36</v>
      </c>
      <c r="G1231" s="21" t="s">
        <v>1141</v>
      </c>
      <c r="H1231" s="21" t="n">
        <v>0</v>
      </c>
      <c r="I1231" s="21" t="s">
        <v>137</v>
      </c>
    </row>
    <row r="1232" customFormat="false" ht="15" hidden="false" customHeight="false" outlineLevel="0" collapsed="false">
      <c r="A1232" s="21" t="s">
        <v>1496</v>
      </c>
      <c r="B1232" s="21" t="s">
        <v>1028</v>
      </c>
      <c r="C1232" s="21"/>
      <c r="D1232" s="37" t="s">
        <v>84</v>
      </c>
      <c r="E1232" s="37" t="s">
        <v>84</v>
      </c>
      <c r="F1232" s="37" t="s">
        <v>36</v>
      </c>
      <c r="G1232" s="21" t="s">
        <v>445</v>
      </c>
      <c r="H1232" s="21" t="n">
        <v>0</v>
      </c>
      <c r="I1232" s="21" t="s">
        <v>137</v>
      </c>
    </row>
    <row r="1233" customFormat="false" ht="15" hidden="false" customHeight="false" outlineLevel="0" collapsed="false">
      <c r="A1233" s="21" t="s">
        <v>1497</v>
      </c>
      <c r="B1233" s="21" t="s">
        <v>1032</v>
      </c>
      <c r="C1233" s="21"/>
      <c r="D1233" s="37" t="s">
        <v>84</v>
      </c>
      <c r="E1233" s="37" t="s">
        <v>84</v>
      </c>
      <c r="F1233" s="37" t="s">
        <v>36</v>
      </c>
      <c r="G1233" s="21" t="s">
        <v>445</v>
      </c>
      <c r="H1233" s="21" t="n">
        <v>0</v>
      </c>
      <c r="I1233" s="21" t="s">
        <v>137</v>
      </c>
    </row>
    <row r="1234" customFormat="false" ht="15" hidden="false" customHeight="false" outlineLevel="0" collapsed="false">
      <c r="A1234" s="21" t="s">
        <v>1498</v>
      </c>
      <c r="B1234" s="21" t="s">
        <v>1026</v>
      </c>
      <c r="C1234" s="21"/>
      <c r="D1234" s="37" t="s">
        <v>84</v>
      </c>
      <c r="E1234" s="37" t="s">
        <v>84</v>
      </c>
      <c r="F1234" s="37" t="s">
        <v>36</v>
      </c>
      <c r="G1234" s="21" t="s">
        <v>445</v>
      </c>
      <c r="H1234" s="21" t="n">
        <v>0</v>
      </c>
      <c r="I1234" s="21" t="s">
        <v>137</v>
      </c>
    </row>
    <row r="1235" customFormat="false" ht="15" hidden="false" customHeight="false" outlineLevel="0" collapsed="false">
      <c r="A1235" s="21" t="s">
        <v>1499</v>
      </c>
      <c r="B1235" s="21" t="s">
        <v>1026</v>
      </c>
      <c r="C1235" s="21"/>
      <c r="D1235" s="37" t="s">
        <v>84</v>
      </c>
      <c r="E1235" s="37" t="s">
        <v>84</v>
      </c>
      <c r="F1235" s="37" t="s">
        <v>36</v>
      </c>
      <c r="G1235" s="21" t="s">
        <v>445</v>
      </c>
      <c r="H1235" s="21" t="n">
        <v>0</v>
      </c>
      <c r="I1235" s="21" t="s">
        <v>137</v>
      </c>
    </row>
    <row r="1236" customFormat="false" ht="15" hidden="false" customHeight="false" outlineLevel="0" collapsed="false">
      <c r="A1236" s="21" t="s">
        <v>1500</v>
      </c>
      <c r="B1236" s="21" t="s">
        <v>1026</v>
      </c>
      <c r="C1236" s="21"/>
      <c r="D1236" s="37" t="s">
        <v>84</v>
      </c>
      <c r="E1236" s="37" t="s">
        <v>84</v>
      </c>
      <c r="F1236" s="37" t="s">
        <v>36</v>
      </c>
      <c r="G1236" s="21" t="s">
        <v>445</v>
      </c>
      <c r="H1236" s="21" t="n">
        <v>0</v>
      </c>
      <c r="I1236" s="21" t="s">
        <v>137</v>
      </c>
    </row>
    <row r="1237" customFormat="false" ht="15" hidden="false" customHeight="false" outlineLevel="0" collapsed="false">
      <c r="A1237" s="21" t="s">
        <v>1501</v>
      </c>
      <c r="B1237" s="21" t="s">
        <v>1026</v>
      </c>
      <c r="C1237" s="21"/>
      <c r="D1237" s="37" t="s">
        <v>84</v>
      </c>
      <c r="E1237" s="37" t="s">
        <v>84</v>
      </c>
      <c r="F1237" s="37" t="s">
        <v>36</v>
      </c>
      <c r="G1237" s="21" t="s">
        <v>445</v>
      </c>
      <c r="H1237" s="21" t="n">
        <v>0</v>
      </c>
      <c r="I1237" s="21" t="s">
        <v>137</v>
      </c>
    </row>
    <row r="1238" customFormat="false" ht="15" hidden="false" customHeight="false" outlineLevel="0" collapsed="false">
      <c r="A1238" s="21" t="s">
        <v>1502</v>
      </c>
      <c r="B1238" s="21" t="s">
        <v>1026</v>
      </c>
      <c r="C1238" s="21"/>
      <c r="D1238" s="37" t="s">
        <v>84</v>
      </c>
      <c r="E1238" s="37" t="s">
        <v>84</v>
      </c>
      <c r="F1238" s="37" t="s">
        <v>36</v>
      </c>
      <c r="G1238" s="21" t="s">
        <v>445</v>
      </c>
      <c r="H1238" s="21" t="n">
        <v>0</v>
      </c>
      <c r="I1238" s="21" t="s">
        <v>137</v>
      </c>
    </row>
    <row r="1239" customFormat="false" ht="15" hidden="false" customHeight="false" outlineLevel="0" collapsed="false">
      <c r="A1239" s="21" t="s">
        <v>1503</v>
      </c>
      <c r="B1239" s="21" t="s">
        <v>1026</v>
      </c>
      <c r="C1239" s="21"/>
      <c r="D1239" s="37" t="s">
        <v>84</v>
      </c>
      <c r="E1239" s="37" t="s">
        <v>84</v>
      </c>
      <c r="F1239" s="37" t="s">
        <v>36</v>
      </c>
      <c r="G1239" s="21" t="s">
        <v>445</v>
      </c>
      <c r="H1239" s="21" t="n">
        <v>0</v>
      </c>
      <c r="I1239" s="21" t="s">
        <v>137</v>
      </c>
    </row>
    <row r="1240" customFormat="false" ht="15" hidden="false" customHeight="false" outlineLevel="0" collapsed="false">
      <c r="A1240" s="21" t="s">
        <v>1504</v>
      </c>
      <c r="B1240" s="21" t="s">
        <v>1032</v>
      </c>
      <c r="C1240" s="21"/>
      <c r="D1240" s="37" t="s">
        <v>84</v>
      </c>
      <c r="E1240" s="37" t="s">
        <v>84</v>
      </c>
      <c r="F1240" s="37" t="s">
        <v>36</v>
      </c>
      <c r="G1240" s="21" t="s">
        <v>445</v>
      </c>
      <c r="H1240" s="21" t="n">
        <v>0</v>
      </c>
      <c r="I1240" s="21" t="s">
        <v>137</v>
      </c>
    </row>
    <row r="1241" customFormat="false" ht="15" hidden="false" customHeight="false" outlineLevel="0" collapsed="false">
      <c r="A1241" s="21" t="s">
        <v>1505</v>
      </c>
      <c r="B1241" s="21" t="s">
        <v>1032</v>
      </c>
      <c r="C1241" s="21"/>
      <c r="D1241" s="37" t="s">
        <v>84</v>
      </c>
      <c r="E1241" s="37" t="s">
        <v>84</v>
      </c>
      <c r="F1241" s="37" t="s">
        <v>36</v>
      </c>
      <c r="G1241" s="21" t="s">
        <v>445</v>
      </c>
      <c r="H1241" s="21" t="n">
        <v>0</v>
      </c>
      <c r="I1241" s="21" t="s">
        <v>137</v>
      </c>
    </row>
    <row r="1242" customFormat="false" ht="15" hidden="false" customHeight="false" outlineLevel="0" collapsed="false">
      <c r="A1242" s="21" t="s">
        <v>1506</v>
      </c>
      <c r="B1242" s="21" t="s">
        <v>1026</v>
      </c>
      <c r="C1242" s="21"/>
      <c r="D1242" s="37" t="s">
        <v>84</v>
      </c>
      <c r="E1242" s="37" t="s">
        <v>84</v>
      </c>
      <c r="F1242" s="37" t="s">
        <v>36</v>
      </c>
      <c r="G1242" s="21" t="s">
        <v>445</v>
      </c>
      <c r="H1242" s="21" t="n">
        <v>0</v>
      </c>
      <c r="I1242" s="21" t="s">
        <v>137</v>
      </c>
    </row>
    <row r="1243" customFormat="false" ht="15" hidden="false" customHeight="false" outlineLevel="0" collapsed="false">
      <c r="A1243" s="21" t="s">
        <v>1507</v>
      </c>
      <c r="B1243" s="21" t="s">
        <v>1032</v>
      </c>
      <c r="C1243" s="21"/>
      <c r="D1243" s="37" t="s">
        <v>84</v>
      </c>
      <c r="E1243" s="37" t="s">
        <v>84</v>
      </c>
      <c r="F1243" s="37" t="s">
        <v>36</v>
      </c>
      <c r="G1243" s="21" t="s">
        <v>445</v>
      </c>
      <c r="H1243" s="21" t="n">
        <v>0</v>
      </c>
      <c r="I1243" s="21" t="s">
        <v>137</v>
      </c>
    </row>
    <row r="1244" customFormat="false" ht="15" hidden="false" customHeight="false" outlineLevel="0" collapsed="false">
      <c r="A1244" s="21" t="s">
        <v>1508</v>
      </c>
      <c r="B1244" s="21" t="s">
        <v>1026</v>
      </c>
      <c r="C1244" s="21"/>
      <c r="D1244" s="37" t="s">
        <v>84</v>
      </c>
      <c r="E1244" s="37" t="s">
        <v>84</v>
      </c>
      <c r="F1244" s="37" t="s">
        <v>36</v>
      </c>
      <c r="G1244" s="21" t="s">
        <v>445</v>
      </c>
      <c r="H1244" s="21" t="n">
        <v>0</v>
      </c>
      <c r="I1244" s="21" t="s">
        <v>137</v>
      </c>
    </row>
    <row r="1245" customFormat="false" ht="15" hidden="false" customHeight="false" outlineLevel="0" collapsed="false">
      <c r="A1245" s="21" t="s">
        <v>1509</v>
      </c>
      <c r="B1245" s="21" t="s">
        <v>1026</v>
      </c>
      <c r="C1245" s="21"/>
      <c r="D1245" s="37" t="s">
        <v>84</v>
      </c>
      <c r="E1245" s="37" t="s">
        <v>84</v>
      </c>
      <c r="F1245" s="37" t="s">
        <v>36</v>
      </c>
      <c r="G1245" s="21" t="s">
        <v>445</v>
      </c>
      <c r="H1245" s="21" t="n">
        <v>0</v>
      </c>
      <c r="I1245" s="21" t="s">
        <v>137</v>
      </c>
    </row>
    <row r="1246" customFormat="false" ht="15" hidden="false" customHeight="false" outlineLevel="0" collapsed="false">
      <c r="A1246" s="21" t="s">
        <v>1510</v>
      </c>
      <c r="B1246" s="21" t="s">
        <v>1028</v>
      </c>
      <c r="C1246" s="21"/>
      <c r="D1246" s="37" t="s">
        <v>84</v>
      </c>
      <c r="E1246" s="37" t="s">
        <v>84</v>
      </c>
      <c r="F1246" s="37" t="s">
        <v>36</v>
      </c>
      <c r="G1246" s="21" t="s">
        <v>445</v>
      </c>
      <c r="H1246" s="21" t="n">
        <v>0</v>
      </c>
      <c r="I1246" s="21" t="s">
        <v>137</v>
      </c>
    </row>
    <row r="1247" customFormat="false" ht="15" hidden="false" customHeight="false" outlineLevel="0" collapsed="false">
      <c r="A1247" s="21" t="s">
        <v>1511</v>
      </c>
      <c r="B1247" s="21" t="s">
        <v>1028</v>
      </c>
      <c r="C1247" s="21"/>
      <c r="D1247" s="37" t="s">
        <v>84</v>
      </c>
      <c r="E1247" s="37" t="s">
        <v>84</v>
      </c>
      <c r="F1247" s="37" t="s">
        <v>36</v>
      </c>
      <c r="G1247" s="21" t="s">
        <v>445</v>
      </c>
      <c r="H1247" s="21" t="n">
        <v>0</v>
      </c>
      <c r="I1247" s="21" t="s">
        <v>137</v>
      </c>
    </row>
    <row r="1248" customFormat="false" ht="15" hidden="false" customHeight="false" outlineLevel="0" collapsed="false">
      <c r="A1248" s="21" t="s">
        <v>1512</v>
      </c>
      <c r="B1248" s="21" t="s">
        <v>1026</v>
      </c>
      <c r="C1248" s="21"/>
      <c r="D1248" s="37" t="s">
        <v>84</v>
      </c>
      <c r="E1248" s="37" t="s">
        <v>84</v>
      </c>
      <c r="F1248" s="37" t="s">
        <v>36</v>
      </c>
      <c r="G1248" s="21" t="s">
        <v>445</v>
      </c>
      <c r="H1248" s="21" t="n">
        <v>0</v>
      </c>
      <c r="I1248" s="21" t="s">
        <v>137</v>
      </c>
    </row>
    <row r="1249" customFormat="false" ht="15" hidden="false" customHeight="false" outlineLevel="0" collapsed="false">
      <c r="A1249" s="21" t="s">
        <v>1513</v>
      </c>
      <c r="B1249" s="21" t="s">
        <v>1028</v>
      </c>
      <c r="C1249" s="21"/>
      <c r="D1249" s="37" t="s">
        <v>84</v>
      </c>
      <c r="E1249" s="37" t="s">
        <v>84</v>
      </c>
      <c r="F1249" s="37" t="s">
        <v>36</v>
      </c>
      <c r="G1249" s="21" t="s">
        <v>445</v>
      </c>
      <c r="H1249" s="21" t="n">
        <v>0</v>
      </c>
      <c r="I1249" s="21" t="s">
        <v>137</v>
      </c>
    </row>
    <row r="1250" customFormat="false" ht="15" hidden="false" customHeight="false" outlineLevel="0" collapsed="false">
      <c r="A1250" s="21" t="s">
        <v>1514</v>
      </c>
      <c r="B1250" s="21" t="s">
        <v>1026</v>
      </c>
      <c r="C1250" s="21"/>
      <c r="D1250" s="37" t="s">
        <v>84</v>
      </c>
      <c r="E1250" s="37" t="s">
        <v>84</v>
      </c>
      <c r="F1250" s="37" t="s">
        <v>36</v>
      </c>
      <c r="G1250" s="21" t="s">
        <v>445</v>
      </c>
      <c r="H1250" s="21" t="n">
        <v>0</v>
      </c>
      <c r="I1250" s="21" t="s">
        <v>137</v>
      </c>
    </row>
    <row r="1251" customFormat="false" ht="15" hidden="false" customHeight="false" outlineLevel="0" collapsed="false">
      <c r="A1251" s="21" t="s">
        <v>1515</v>
      </c>
      <c r="B1251" s="21" t="s">
        <v>1032</v>
      </c>
      <c r="C1251" s="21"/>
      <c r="D1251" s="37" t="s">
        <v>84</v>
      </c>
      <c r="E1251" s="37" t="s">
        <v>84</v>
      </c>
      <c r="F1251" s="37" t="s">
        <v>36</v>
      </c>
      <c r="G1251" s="21" t="s">
        <v>445</v>
      </c>
      <c r="H1251" s="21" t="n">
        <v>0</v>
      </c>
      <c r="I1251" s="21" t="s">
        <v>137</v>
      </c>
    </row>
    <row r="1252" customFormat="false" ht="15" hidden="false" customHeight="false" outlineLevel="0" collapsed="false">
      <c r="A1252" s="21" t="s">
        <v>1516</v>
      </c>
      <c r="B1252" s="21" t="s">
        <v>1028</v>
      </c>
      <c r="C1252" s="21"/>
      <c r="D1252" s="37" t="s">
        <v>84</v>
      </c>
      <c r="E1252" s="37" t="s">
        <v>84</v>
      </c>
      <c r="F1252" s="37" t="s">
        <v>36</v>
      </c>
      <c r="G1252" s="21" t="s">
        <v>445</v>
      </c>
      <c r="H1252" s="21" t="n">
        <v>0</v>
      </c>
      <c r="I1252" s="21" t="s">
        <v>137</v>
      </c>
    </row>
    <row r="1253" customFormat="false" ht="15" hidden="false" customHeight="false" outlineLevel="0" collapsed="false">
      <c r="A1253" s="21" t="s">
        <v>1517</v>
      </c>
      <c r="B1253" s="21" t="s">
        <v>1026</v>
      </c>
      <c r="C1253" s="21"/>
      <c r="D1253" s="37" t="s">
        <v>84</v>
      </c>
      <c r="E1253" s="37" t="s">
        <v>84</v>
      </c>
      <c r="F1253" s="37" t="s">
        <v>36</v>
      </c>
      <c r="G1253" s="21" t="s">
        <v>445</v>
      </c>
      <c r="H1253" s="21" t="n">
        <v>0</v>
      </c>
      <c r="I1253" s="21" t="s">
        <v>137</v>
      </c>
    </row>
    <row r="1254" customFormat="false" ht="15" hidden="false" customHeight="false" outlineLevel="0" collapsed="false">
      <c r="A1254" s="21" t="s">
        <v>1518</v>
      </c>
      <c r="B1254" s="21" t="s">
        <v>1032</v>
      </c>
      <c r="C1254" s="21"/>
      <c r="D1254" s="37" t="s">
        <v>84</v>
      </c>
      <c r="E1254" s="37" t="s">
        <v>84</v>
      </c>
      <c r="F1254" s="37" t="s">
        <v>36</v>
      </c>
      <c r="G1254" s="21" t="s">
        <v>445</v>
      </c>
      <c r="H1254" s="21" t="n">
        <v>0</v>
      </c>
      <c r="I1254" s="21" t="s">
        <v>137</v>
      </c>
    </row>
    <row r="1255" customFormat="false" ht="15" hidden="false" customHeight="false" outlineLevel="0" collapsed="false">
      <c r="A1255" s="21" t="s">
        <v>1519</v>
      </c>
      <c r="B1255" s="21" t="s">
        <v>1026</v>
      </c>
      <c r="C1255" s="21"/>
      <c r="D1255" s="37" t="s">
        <v>84</v>
      </c>
      <c r="E1255" s="37" t="s">
        <v>84</v>
      </c>
      <c r="F1255" s="37" t="s">
        <v>36</v>
      </c>
      <c r="G1255" s="21" t="s">
        <v>445</v>
      </c>
      <c r="H1255" s="21" t="n">
        <v>0</v>
      </c>
      <c r="I1255" s="21" t="s">
        <v>137</v>
      </c>
    </row>
    <row r="1256" customFormat="false" ht="15" hidden="false" customHeight="false" outlineLevel="0" collapsed="false">
      <c r="A1256" s="21" t="s">
        <v>1520</v>
      </c>
      <c r="B1256" s="21" t="s">
        <v>1028</v>
      </c>
      <c r="C1256" s="21"/>
      <c r="D1256" s="37" t="s">
        <v>84</v>
      </c>
      <c r="E1256" s="37" t="s">
        <v>84</v>
      </c>
      <c r="F1256" s="37" t="s">
        <v>36</v>
      </c>
      <c r="G1256" s="21" t="s">
        <v>445</v>
      </c>
      <c r="H1256" s="21" t="n">
        <v>0</v>
      </c>
      <c r="I1256" s="21" t="s">
        <v>137</v>
      </c>
    </row>
    <row r="1257" customFormat="false" ht="15" hidden="false" customHeight="false" outlineLevel="0" collapsed="false">
      <c r="A1257" s="21" t="s">
        <v>1521</v>
      </c>
      <c r="B1257" s="21" t="s">
        <v>1026</v>
      </c>
      <c r="C1257" s="21"/>
      <c r="D1257" s="37" t="s">
        <v>84</v>
      </c>
      <c r="E1257" s="37" t="s">
        <v>84</v>
      </c>
      <c r="F1257" s="37" t="s">
        <v>36</v>
      </c>
      <c r="G1257" s="21" t="s">
        <v>445</v>
      </c>
      <c r="H1257" s="21" t="n">
        <v>0</v>
      </c>
      <c r="I1257" s="21" t="s">
        <v>137</v>
      </c>
    </row>
    <row r="1258" customFormat="false" ht="15" hidden="false" customHeight="false" outlineLevel="0" collapsed="false">
      <c r="A1258" s="21" t="s">
        <v>1522</v>
      </c>
      <c r="B1258" s="21" t="s">
        <v>1032</v>
      </c>
      <c r="C1258" s="21"/>
      <c r="D1258" s="37" t="s">
        <v>84</v>
      </c>
      <c r="E1258" s="37" t="s">
        <v>84</v>
      </c>
      <c r="F1258" s="37" t="s">
        <v>36</v>
      </c>
      <c r="G1258" s="21" t="s">
        <v>445</v>
      </c>
      <c r="H1258" s="21" t="n">
        <v>0</v>
      </c>
      <c r="I1258" s="21" t="s">
        <v>137</v>
      </c>
    </row>
    <row r="1259" customFormat="false" ht="15" hidden="false" customHeight="false" outlineLevel="0" collapsed="false">
      <c r="A1259" s="21" t="s">
        <v>1523</v>
      </c>
      <c r="B1259" s="21" t="s">
        <v>1026</v>
      </c>
      <c r="C1259" s="21"/>
      <c r="D1259" s="37" t="s">
        <v>84</v>
      </c>
      <c r="E1259" s="37" t="s">
        <v>84</v>
      </c>
      <c r="F1259" s="37" t="s">
        <v>36</v>
      </c>
      <c r="G1259" s="21" t="s">
        <v>445</v>
      </c>
      <c r="H1259" s="21" t="n">
        <v>0</v>
      </c>
      <c r="I1259" s="21" t="s">
        <v>137</v>
      </c>
    </row>
    <row r="1260" customFormat="false" ht="15" hidden="false" customHeight="false" outlineLevel="0" collapsed="false">
      <c r="A1260" s="21" t="s">
        <v>1524</v>
      </c>
      <c r="B1260" s="21" t="s">
        <v>1032</v>
      </c>
      <c r="C1260" s="21"/>
      <c r="D1260" s="37" t="s">
        <v>84</v>
      </c>
      <c r="E1260" s="37" t="s">
        <v>84</v>
      </c>
      <c r="F1260" s="37" t="s">
        <v>36</v>
      </c>
      <c r="G1260" s="21" t="s">
        <v>445</v>
      </c>
      <c r="H1260" s="21" t="n">
        <v>0</v>
      </c>
      <c r="I1260" s="21" t="s">
        <v>137</v>
      </c>
    </row>
    <row r="1261" customFormat="false" ht="15" hidden="false" customHeight="false" outlineLevel="0" collapsed="false">
      <c r="A1261" s="21" t="s">
        <v>1525</v>
      </c>
      <c r="B1261" s="21" t="s">
        <v>1028</v>
      </c>
      <c r="C1261" s="21"/>
      <c r="D1261" s="37" t="s">
        <v>84</v>
      </c>
      <c r="E1261" s="37" t="s">
        <v>84</v>
      </c>
      <c r="F1261" s="37" t="s">
        <v>36</v>
      </c>
      <c r="G1261" s="21" t="s">
        <v>445</v>
      </c>
      <c r="H1261" s="21" t="n">
        <v>0</v>
      </c>
      <c r="I1261" s="21" t="s">
        <v>137</v>
      </c>
    </row>
    <row r="1262" customFormat="false" ht="15" hidden="false" customHeight="false" outlineLevel="0" collapsed="false">
      <c r="A1262" s="21" t="s">
        <v>1526</v>
      </c>
      <c r="B1262" s="21" t="s">
        <v>1026</v>
      </c>
      <c r="C1262" s="21"/>
      <c r="D1262" s="37" t="s">
        <v>84</v>
      </c>
      <c r="E1262" s="37" t="s">
        <v>84</v>
      </c>
      <c r="F1262" s="37" t="s">
        <v>36</v>
      </c>
      <c r="G1262" s="21" t="s">
        <v>445</v>
      </c>
      <c r="H1262" s="21" t="n">
        <v>0</v>
      </c>
      <c r="I1262" s="21" t="s">
        <v>137</v>
      </c>
    </row>
    <row r="1263" customFormat="false" ht="15" hidden="false" customHeight="false" outlineLevel="0" collapsed="false">
      <c r="A1263" s="21" t="s">
        <v>1527</v>
      </c>
      <c r="B1263" s="21" t="s">
        <v>1028</v>
      </c>
      <c r="C1263" s="21"/>
      <c r="D1263" s="37" t="s">
        <v>84</v>
      </c>
      <c r="E1263" s="37" t="s">
        <v>84</v>
      </c>
      <c r="F1263" s="37" t="s">
        <v>36</v>
      </c>
      <c r="G1263" s="21" t="s">
        <v>445</v>
      </c>
      <c r="H1263" s="21" t="n">
        <v>0</v>
      </c>
      <c r="I1263" s="21" t="s">
        <v>137</v>
      </c>
    </row>
    <row r="1264" customFormat="false" ht="15" hidden="false" customHeight="false" outlineLevel="0" collapsed="false">
      <c r="A1264" s="21" t="s">
        <v>1528</v>
      </c>
      <c r="B1264" s="21" t="s">
        <v>1026</v>
      </c>
      <c r="C1264" s="21"/>
      <c r="D1264" s="37" t="s">
        <v>84</v>
      </c>
      <c r="E1264" s="37" t="s">
        <v>84</v>
      </c>
      <c r="F1264" s="37" t="s">
        <v>36</v>
      </c>
      <c r="G1264" s="21" t="s">
        <v>445</v>
      </c>
      <c r="H1264" s="21" t="n">
        <v>0</v>
      </c>
      <c r="I1264" s="21" t="s">
        <v>137</v>
      </c>
    </row>
    <row r="1265" customFormat="false" ht="15" hidden="false" customHeight="false" outlineLevel="0" collapsed="false">
      <c r="A1265" s="21" t="s">
        <v>1529</v>
      </c>
      <c r="B1265" s="21" t="s">
        <v>1032</v>
      </c>
      <c r="C1265" s="21"/>
      <c r="D1265" s="37" t="s">
        <v>84</v>
      </c>
      <c r="E1265" s="37" t="s">
        <v>84</v>
      </c>
      <c r="F1265" s="37" t="s">
        <v>36</v>
      </c>
      <c r="G1265" s="21" t="s">
        <v>445</v>
      </c>
      <c r="H1265" s="21" t="n">
        <v>0</v>
      </c>
      <c r="I1265" s="21" t="s">
        <v>137</v>
      </c>
    </row>
    <row r="1266" customFormat="false" ht="15" hidden="false" customHeight="false" outlineLevel="0" collapsed="false">
      <c r="A1266" s="21" t="s">
        <v>1530</v>
      </c>
      <c r="B1266" s="21" t="s">
        <v>1028</v>
      </c>
      <c r="C1266" s="21"/>
      <c r="D1266" s="37" t="s">
        <v>84</v>
      </c>
      <c r="E1266" s="37" t="s">
        <v>84</v>
      </c>
      <c r="F1266" s="37" t="s">
        <v>36</v>
      </c>
      <c r="G1266" s="21" t="s">
        <v>445</v>
      </c>
      <c r="H1266" s="21" t="n">
        <v>0</v>
      </c>
      <c r="I1266" s="21" t="s">
        <v>137</v>
      </c>
    </row>
    <row r="1267" customFormat="false" ht="15" hidden="false" customHeight="false" outlineLevel="0" collapsed="false">
      <c r="A1267" s="21" t="s">
        <v>1531</v>
      </c>
      <c r="B1267" s="21" t="s">
        <v>1028</v>
      </c>
      <c r="C1267" s="21"/>
      <c r="D1267" s="37" t="s">
        <v>84</v>
      </c>
      <c r="E1267" s="37" t="s">
        <v>84</v>
      </c>
      <c r="F1267" s="37" t="s">
        <v>36</v>
      </c>
      <c r="G1267" s="21" t="s">
        <v>445</v>
      </c>
      <c r="H1267" s="21" t="n">
        <v>0</v>
      </c>
      <c r="I1267" s="21" t="s">
        <v>137</v>
      </c>
    </row>
    <row r="1268" customFormat="false" ht="15" hidden="false" customHeight="false" outlineLevel="0" collapsed="false">
      <c r="A1268" s="21" t="s">
        <v>1532</v>
      </c>
      <c r="B1268" s="21" t="s">
        <v>1026</v>
      </c>
      <c r="C1268" s="21"/>
      <c r="D1268" s="37" t="s">
        <v>84</v>
      </c>
      <c r="E1268" s="37" t="s">
        <v>84</v>
      </c>
      <c r="F1268" s="37" t="s">
        <v>36</v>
      </c>
      <c r="G1268" s="21" t="s">
        <v>445</v>
      </c>
      <c r="H1268" s="21" t="n">
        <v>0</v>
      </c>
      <c r="I1268" s="21" t="s">
        <v>137</v>
      </c>
    </row>
    <row r="1269" customFormat="false" ht="15" hidden="false" customHeight="false" outlineLevel="0" collapsed="false">
      <c r="A1269" s="21" t="s">
        <v>1533</v>
      </c>
      <c r="B1269" s="21" t="s">
        <v>1028</v>
      </c>
      <c r="C1269" s="21"/>
      <c r="D1269" s="37" t="s">
        <v>84</v>
      </c>
      <c r="E1269" s="37" t="s">
        <v>84</v>
      </c>
      <c r="F1269" s="37" t="s">
        <v>36</v>
      </c>
      <c r="G1269" s="21" t="s">
        <v>445</v>
      </c>
      <c r="H1269" s="21" t="n">
        <v>0</v>
      </c>
      <c r="I1269" s="21" t="s">
        <v>137</v>
      </c>
    </row>
    <row r="1270" customFormat="false" ht="15" hidden="false" customHeight="false" outlineLevel="0" collapsed="false">
      <c r="A1270" s="21" t="s">
        <v>1534</v>
      </c>
      <c r="B1270" s="21" t="s">
        <v>1032</v>
      </c>
      <c r="C1270" s="21"/>
      <c r="D1270" s="37" t="s">
        <v>84</v>
      </c>
      <c r="E1270" s="37" t="s">
        <v>84</v>
      </c>
      <c r="F1270" s="37" t="s">
        <v>36</v>
      </c>
      <c r="G1270" s="21" t="s">
        <v>445</v>
      </c>
      <c r="H1270" s="21" t="n">
        <v>0</v>
      </c>
      <c r="I1270" s="21" t="s">
        <v>137</v>
      </c>
    </row>
    <row r="1271" customFormat="false" ht="15" hidden="false" customHeight="false" outlineLevel="0" collapsed="false">
      <c r="A1271" s="21" t="s">
        <v>1535</v>
      </c>
      <c r="B1271" s="21" t="s">
        <v>1032</v>
      </c>
      <c r="C1271" s="21"/>
      <c r="D1271" s="37" t="s">
        <v>84</v>
      </c>
      <c r="E1271" s="37" t="s">
        <v>84</v>
      </c>
      <c r="F1271" s="37" t="s">
        <v>36</v>
      </c>
      <c r="G1271" s="21" t="s">
        <v>445</v>
      </c>
      <c r="H1271" s="21" t="n">
        <v>0</v>
      </c>
      <c r="I1271" s="21" t="s">
        <v>137</v>
      </c>
    </row>
    <row r="1272" customFormat="false" ht="15" hidden="false" customHeight="false" outlineLevel="0" collapsed="false">
      <c r="A1272" s="21" t="s">
        <v>1536</v>
      </c>
      <c r="B1272" s="21" t="s">
        <v>1032</v>
      </c>
      <c r="C1272" s="21"/>
      <c r="D1272" s="37" t="s">
        <v>84</v>
      </c>
      <c r="E1272" s="37" t="s">
        <v>84</v>
      </c>
      <c r="F1272" s="37" t="s">
        <v>36</v>
      </c>
      <c r="G1272" s="21" t="s">
        <v>445</v>
      </c>
      <c r="H1272" s="21" t="n">
        <v>0</v>
      </c>
      <c r="I1272" s="21" t="s">
        <v>137</v>
      </c>
    </row>
    <row r="1273" customFormat="false" ht="15" hidden="false" customHeight="false" outlineLevel="0" collapsed="false">
      <c r="A1273" s="21" t="s">
        <v>1537</v>
      </c>
      <c r="B1273" s="21" t="s">
        <v>1028</v>
      </c>
      <c r="C1273" s="21"/>
      <c r="D1273" s="37" t="s">
        <v>84</v>
      </c>
      <c r="E1273" s="37" t="s">
        <v>84</v>
      </c>
      <c r="F1273" s="37" t="s">
        <v>36</v>
      </c>
      <c r="G1273" s="21" t="s">
        <v>445</v>
      </c>
      <c r="H1273" s="21" t="n">
        <v>0</v>
      </c>
      <c r="I1273" s="21" t="s">
        <v>137</v>
      </c>
    </row>
    <row r="1274" customFormat="false" ht="15" hidden="false" customHeight="false" outlineLevel="0" collapsed="false">
      <c r="A1274" s="21" t="s">
        <v>1538</v>
      </c>
      <c r="B1274" s="21" t="s">
        <v>1032</v>
      </c>
      <c r="C1274" s="21"/>
      <c r="D1274" s="37" t="s">
        <v>84</v>
      </c>
      <c r="E1274" s="37" t="s">
        <v>84</v>
      </c>
      <c r="F1274" s="37" t="s">
        <v>36</v>
      </c>
      <c r="G1274" s="21" t="s">
        <v>445</v>
      </c>
      <c r="H1274" s="21" t="n">
        <v>0</v>
      </c>
      <c r="I1274" s="21" t="s">
        <v>137</v>
      </c>
    </row>
    <row r="1275" customFormat="false" ht="15" hidden="false" customHeight="false" outlineLevel="0" collapsed="false">
      <c r="A1275" s="21" t="s">
        <v>1539</v>
      </c>
      <c r="B1275" s="21" t="s">
        <v>1032</v>
      </c>
      <c r="C1275" s="21"/>
      <c r="D1275" s="37" t="s">
        <v>84</v>
      </c>
      <c r="E1275" s="37" t="s">
        <v>84</v>
      </c>
      <c r="F1275" s="37" t="s">
        <v>36</v>
      </c>
      <c r="G1275" s="21" t="s">
        <v>445</v>
      </c>
      <c r="H1275" s="21" t="n">
        <v>0</v>
      </c>
      <c r="I1275" s="21" t="s">
        <v>137</v>
      </c>
    </row>
    <row r="1276" customFormat="false" ht="15" hidden="false" customHeight="false" outlineLevel="0" collapsed="false">
      <c r="A1276" s="21" t="s">
        <v>1540</v>
      </c>
      <c r="B1276" s="21" t="s">
        <v>1028</v>
      </c>
      <c r="C1276" s="21"/>
      <c r="D1276" s="37" t="s">
        <v>84</v>
      </c>
      <c r="E1276" s="37" t="s">
        <v>84</v>
      </c>
      <c r="F1276" s="37" t="s">
        <v>36</v>
      </c>
      <c r="G1276" s="21" t="s">
        <v>445</v>
      </c>
      <c r="H1276" s="21" t="n">
        <v>0</v>
      </c>
      <c r="I1276" s="21" t="s">
        <v>137</v>
      </c>
    </row>
    <row r="1277" customFormat="false" ht="15" hidden="false" customHeight="false" outlineLevel="0" collapsed="false">
      <c r="A1277" s="21" t="s">
        <v>1541</v>
      </c>
      <c r="B1277" s="21" t="s">
        <v>1028</v>
      </c>
      <c r="C1277" s="21"/>
      <c r="D1277" s="37" t="s">
        <v>84</v>
      </c>
      <c r="E1277" s="37" t="s">
        <v>84</v>
      </c>
      <c r="F1277" s="37" t="s">
        <v>36</v>
      </c>
      <c r="G1277" s="21" t="s">
        <v>445</v>
      </c>
      <c r="H1277" s="21" t="n">
        <v>0</v>
      </c>
      <c r="I1277" s="21" t="s">
        <v>137</v>
      </c>
    </row>
    <row r="1278" customFormat="false" ht="15" hidden="false" customHeight="false" outlineLevel="0" collapsed="false">
      <c r="A1278" s="21" t="s">
        <v>1542</v>
      </c>
      <c r="B1278" s="21" t="s">
        <v>1543</v>
      </c>
      <c r="C1278" s="21"/>
      <c r="D1278" s="37" t="s">
        <v>84</v>
      </c>
      <c r="E1278" s="37" t="s">
        <v>84</v>
      </c>
      <c r="F1278" s="37" t="s">
        <v>153</v>
      </c>
      <c r="G1278" s="21" t="s">
        <v>505</v>
      </c>
      <c r="H1278" s="21" t="n">
        <v>0</v>
      </c>
      <c r="I1278" s="21" t="s">
        <v>137</v>
      </c>
    </row>
    <row r="1279" customFormat="false" ht="15" hidden="false" customHeight="false" outlineLevel="0" collapsed="false">
      <c r="A1279" s="21" t="s">
        <v>1544</v>
      </c>
      <c r="B1279" s="21" t="s">
        <v>1545</v>
      </c>
      <c r="C1279" s="21"/>
      <c r="D1279" s="37" t="s">
        <v>84</v>
      </c>
      <c r="E1279" s="37" t="s">
        <v>84</v>
      </c>
      <c r="F1279" s="37" t="s">
        <v>153</v>
      </c>
      <c r="G1279" s="21" t="s">
        <v>461</v>
      </c>
      <c r="H1279" s="21" t="n">
        <v>0</v>
      </c>
      <c r="I1279" s="21" t="s">
        <v>137</v>
      </c>
    </row>
    <row r="1280" customFormat="false" ht="15" hidden="false" customHeight="false" outlineLevel="0" collapsed="false">
      <c r="A1280" s="21" t="s">
        <v>1546</v>
      </c>
      <c r="B1280" s="21" t="s">
        <v>1545</v>
      </c>
      <c r="C1280" s="21"/>
      <c r="D1280" s="37" t="s">
        <v>84</v>
      </c>
      <c r="E1280" s="37" t="s">
        <v>84</v>
      </c>
      <c r="F1280" s="37" t="s">
        <v>153</v>
      </c>
      <c r="G1280" s="21" t="s">
        <v>461</v>
      </c>
      <c r="H1280" s="21" t="n">
        <v>0</v>
      </c>
      <c r="I1280" s="21" t="s">
        <v>137</v>
      </c>
    </row>
    <row r="1281" customFormat="false" ht="15" hidden="false" customHeight="false" outlineLevel="0" collapsed="false">
      <c r="A1281" s="21" t="s">
        <v>1547</v>
      </c>
      <c r="B1281" s="21" t="s">
        <v>1545</v>
      </c>
      <c r="C1281" s="21"/>
      <c r="D1281" s="37" t="s">
        <v>84</v>
      </c>
      <c r="E1281" s="37" t="s">
        <v>84</v>
      </c>
      <c r="F1281" s="37" t="s">
        <v>153</v>
      </c>
      <c r="G1281" s="21" t="s">
        <v>1548</v>
      </c>
      <c r="H1281" s="21" t="n">
        <v>0</v>
      </c>
      <c r="I1281" s="21" t="s">
        <v>137</v>
      </c>
    </row>
    <row r="1282" customFormat="false" ht="15" hidden="false" customHeight="false" outlineLevel="0" collapsed="false">
      <c r="A1282" s="21" t="s">
        <v>1549</v>
      </c>
      <c r="B1282" s="21" t="s">
        <v>1545</v>
      </c>
      <c r="C1282" s="21"/>
      <c r="D1282" s="37" t="s">
        <v>84</v>
      </c>
      <c r="E1282" s="37" t="s">
        <v>84</v>
      </c>
      <c r="F1282" s="37" t="s">
        <v>153</v>
      </c>
      <c r="G1282" s="21" t="s">
        <v>1548</v>
      </c>
      <c r="H1282" s="21" t="n">
        <v>0</v>
      </c>
      <c r="I1282" s="21" t="s">
        <v>137</v>
      </c>
    </row>
    <row r="1283" customFormat="false" ht="15" hidden="false" customHeight="false" outlineLevel="0" collapsed="false">
      <c r="A1283" s="21" t="s">
        <v>1550</v>
      </c>
      <c r="B1283" s="21" t="s">
        <v>1545</v>
      </c>
      <c r="C1283" s="21"/>
      <c r="D1283" s="37" t="s">
        <v>84</v>
      </c>
      <c r="E1283" s="37" t="s">
        <v>84</v>
      </c>
      <c r="F1283" s="37" t="s">
        <v>153</v>
      </c>
      <c r="G1283" s="21" t="s">
        <v>1548</v>
      </c>
      <c r="H1283" s="21" t="n">
        <v>0</v>
      </c>
      <c r="I1283" s="21" t="s">
        <v>137</v>
      </c>
    </row>
    <row r="1284" customFormat="false" ht="15" hidden="false" customHeight="false" outlineLevel="0" collapsed="false">
      <c r="A1284" s="21" t="s">
        <v>1551</v>
      </c>
      <c r="B1284" s="21" t="s">
        <v>1552</v>
      </c>
      <c r="C1284" s="21"/>
      <c r="D1284" s="37" t="s">
        <v>84</v>
      </c>
      <c r="E1284" s="37" t="s">
        <v>84</v>
      </c>
      <c r="F1284" s="37" t="s">
        <v>153</v>
      </c>
      <c r="G1284" s="21" t="s">
        <v>461</v>
      </c>
      <c r="H1284" s="21" t="n">
        <v>0</v>
      </c>
      <c r="I1284" s="21" t="s">
        <v>137</v>
      </c>
    </row>
    <row r="1285" customFormat="false" ht="15" hidden="false" customHeight="false" outlineLevel="0" collapsed="false">
      <c r="A1285" s="21" t="s">
        <v>1553</v>
      </c>
      <c r="B1285" s="21" t="s">
        <v>1554</v>
      </c>
      <c r="C1285" s="21"/>
      <c r="D1285" s="37" t="s">
        <v>84</v>
      </c>
      <c r="E1285" s="37" t="s">
        <v>84</v>
      </c>
      <c r="F1285" s="37" t="s">
        <v>153</v>
      </c>
      <c r="G1285" s="21" t="s">
        <v>1548</v>
      </c>
      <c r="H1285" s="21" t="n">
        <v>0</v>
      </c>
      <c r="I1285" s="21" t="s">
        <v>137</v>
      </c>
    </row>
    <row r="1286" customFormat="false" ht="15" hidden="false" customHeight="false" outlineLevel="0" collapsed="false">
      <c r="A1286" s="21" t="s">
        <v>1555</v>
      </c>
      <c r="B1286" s="21" t="s">
        <v>1545</v>
      </c>
      <c r="C1286" s="21"/>
      <c r="D1286" s="37" t="s">
        <v>84</v>
      </c>
      <c r="E1286" s="37" t="s">
        <v>84</v>
      </c>
      <c r="F1286" s="37" t="s">
        <v>153</v>
      </c>
      <c r="G1286" s="21" t="s">
        <v>461</v>
      </c>
      <c r="H1286" s="21" t="n">
        <v>0</v>
      </c>
      <c r="I1286" s="21" t="s">
        <v>137</v>
      </c>
    </row>
    <row r="1287" customFormat="false" ht="15" hidden="false" customHeight="false" outlineLevel="0" collapsed="false">
      <c r="A1287" s="21" t="s">
        <v>1556</v>
      </c>
      <c r="B1287" s="21" t="s">
        <v>1554</v>
      </c>
      <c r="C1287" s="21"/>
      <c r="D1287" s="37" t="s">
        <v>84</v>
      </c>
      <c r="E1287" s="37" t="s">
        <v>84</v>
      </c>
      <c r="F1287" s="37" t="s">
        <v>153</v>
      </c>
      <c r="G1287" s="21" t="s">
        <v>1548</v>
      </c>
      <c r="H1287" s="21" t="n">
        <v>0</v>
      </c>
      <c r="I1287" s="21" t="s">
        <v>137</v>
      </c>
    </row>
    <row r="1288" customFormat="false" ht="15" hidden="false" customHeight="false" outlineLevel="0" collapsed="false">
      <c r="A1288" s="21" t="s">
        <v>1557</v>
      </c>
      <c r="B1288" s="21" t="s">
        <v>1545</v>
      </c>
      <c r="C1288" s="21"/>
      <c r="D1288" s="37" t="s">
        <v>84</v>
      </c>
      <c r="E1288" s="37" t="s">
        <v>84</v>
      </c>
      <c r="F1288" s="37" t="s">
        <v>153</v>
      </c>
      <c r="G1288" s="21" t="s">
        <v>1548</v>
      </c>
      <c r="H1288" s="21" t="n">
        <v>0</v>
      </c>
      <c r="I1288" s="21" t="s">
        <v>137</v>
      </c>
    </row>
    <row r="1289" customFormat="false" ht="15" hidden="false" customHeight="false" outlineLevel="0" collapsed="false">
      <c r="A1289" s="21" t="s">
        <v>1558</v>
      </c>
      <c r="B1289" s="21" t="s">
        <v>1554</v>
      </c>
      <c r="C1289" s="21"/>
      <c r="D1289" s="37" t="s">
        <v>84</v>
      </c>
      <c r="E1289" s="37" t="s">
        <v>84</v>
      </c>
      <c r="F1289" s="37" t="s">
        <v>153</v>
      </c>
      <c r="G1289" s="21" t="s">
        <v>461</v>
      </c>
      <c r="H1289" s="21" t="n">
        <v>0</v>
      </c>
      <c r="I1289" s="21" t="s">
        <v>137</v>
      </c>
    </row>
    <row r="1290" customFormat="false" ht="15" hidden="false" customHeight="false" outlineLevel="0" collapsed="false">
      <c r="A1290" s="21" t="s">
        <v>1559</v>
      </c>
      <c r="B1290" s="21" t="s">
        <v>1545</v>
      </c>
      <c r="C1290" s="21"/>
      <c r="D1290" s="37" t="s">
        <v>84</v>
      </c>
      <c r="E1290" s="37" t="s">
        <v>84</v>
      </c>
      <c r="F1290" s="37" t="s">
        <v>153</v>
      </c>
      <c r="G1290" s="21" t="s">
        <v>1548</v>
      </c>
      <c r="H1290" s="21" t="n">
        <v>0</v>
      </c>
      <c r="I1290" s="21" t="s">
        <v>137</v>
      </c>
    </row>
    <row r="1291" customFormat="false" ht="15" hidden="false" customHeight="false" outlineLevel="0" collapsed="false">
      <c r="A1291" s="21" t="s">
        <v>1560</v>
      </c>
      <c r="B1291" s="21" t="s">
        <v>1545</v>
      </c>
      <c r="C1291" s="21"/>
      <c r="D1291" s="37" t="s">
        <v>84</v>
      </c>
      <c r="E1291" s="37" t="s">
        <v>84</v>
      </c>
      <c r="F1291" s="37" t="s">
        <v>153</v>
      </c>
      <c r="G1291" s="21" t="s">
        <v>1548</v>
      </c>
      <c r="H1291" s="21" t="n">
        <v>0</v>
      </c>
      <c r="I1291" s="21" t="s">
        <v>137</v>
      </c>
    </row>
    <row r="1292" customFormat="false" ht="15" hidden="false" customHeight="false" outlineLevel="0" collapsed="false">
      <c r="A1292" s="21" t="s">
        <v>1561</v>
      </c>
      <c r="B1292" s="21" t="s">
        <v>1545</v>
      </c>
      <c r="C1292" s="21"/>
      <c r="D1292" s="37" t="s">
        <v>84</v>
      </c>
      <c r="E1292" s="37" t="s">
        <v>84</v>
      </c>
      <c r="F1292" s="37" t="s">
        <v>153</v>
      </c>
      <c r="G1292" s="21" t="s">
        <v>1548</v>
      </c>
      <c r="H1292" s="21" t="n">
        <v>0</v>
      </c>
      <c r="I1292" s="21" t="s">
        <v>137</v>
      </c>
    </row>
    <row r="1293" customFormat="false" ht="15" hidden="false" customHeight="false" outlineLevel="0" collapsed="false">
      <c r="A1293" s="21" t="s">
        <v>1562</v>
      </c>
      <c r="B1293" s="21" t="s">
        <v>1545</v>
      </c>
      <c r="C1293" s="21"/>
      <c r="D1293" s="37" t="s">
        <v>84</v>
      </c>
      <c r="E1293" s="37" t="s">
        <v>84</v>
      </c>
      <c r="F1293" s="37" t="s">
        <v>153</v>
      </c>
      <c r="G1293" s="21" t="s">
        <v>1548</v>
      </c>
      <c r="H1293" s="21" t="n">
        <v>0</v>
      </c>
      <c r="I1293" s="21" t="s">
        <v>137</v>
      </c>
    </row>
    <row r="1294" customFormat="false" ht="15" hidden="false" customHeight="false" outlineLevel="0" collapsed="false">
      <c r="A1294" s="21" t="s">
        <v>1563</v>
      </c>
      <c r="B1294" s="21" t="s">
        <v>1554</v>
      </c>
      <c r="C1294" s="21"/>
      <c r="D1294" s="37" t="s">
        <v>84</v>
      </c>
      <c r="E1294" s="37" t="s">
        <v>84</v>
      </c>
      <c r="F1294" s="37" t="s">
        <v>153</v>
      </c>
      <c r="G1294" s="21" t="s">
        <v>1548</v>
      </c>
      <c r="H1294" s="21" t="n">
        <v>0</v>
      </c>
      <c r="I1294" s="21" t="s">
        <v>137</v>
      </c>
    </row>
    <row r="1295" customFormat="false" ht="15" hidden="false" customHeight="false" outlineLevel="0" collapsed="false">
      <c r="A1295" s="21" t="s">
        <v>1564</v>
      </c>
      <c r="B1295" s="21" t="s">
        <v>1545</v>
      </c>
      <c r="C1295" s="21"/>
      <c r="D1295" s="37" t="s">
        <v>84</v>
      </c>
      <c r="E1295" s="37" t="s">
        <v>84</v>
      </c>
      <c r="F1295" s="37" t="s">
        <v>153</v>
      </c>
      <c r="G1295" s="21" t="s">
        <v>461</v>
      </c>
      <c r="H1295" s="21" t="n">
        <v>0</v>
      </c>
      <c r="I1295" s="21" t="s">
        <v>137</v>
      </c>
    </row>
    <row r="1296" customFormat="false" ht="15" hidden="false" customHeight="false" outlineLevel="0" collapsed="false">
      <c r="A1296" s="21" t="s">
        <v>1565</v>
      </c>
      <c r="B1296" s="21" t="s">
        <v>1545</v>
      </c>
      <c r="C1296" s="21"/>
      <c r="D1296" s="37" t="s">
        <v>84</v>
      </c>
      <c r="E1296" s="37" t="s">
        <v>84</v>
      </c>
      <c r="F1296" s="37" t="s">
        <v>153</v>
      </c>
      <c r="G1296" s="21" t="s">
        <v>1548</v>
      </c>
      <c r="H1296" s="21" t="n">
        <v>0</v>
      </c>
      <c r="I1296" s="21" t="s">
        <v>137</v>
      </c>
    </row>
    <row r="1297" customFormat="false" ht="15" hidden="false" customHeight="false" outlineLevel="0" collapsed="false">
      <c r="A1297" s="21" t="s">
        <v>1566</v>
      </c>
      <c r="B1297" s="21" t="s">
        <v>1545</v>
      </c>
      <c r="C1297" s="21"/>
      <c r="D1297" s="37" t="s">
        <v>84</v>
      </c>
      <c r="E1297" s="37" t="s">
        <v>84</v>
      </c>
      <c r="F1297" s="37" t="s">
        <v>153</v>
      </c>
      <c r="G1297" s="21" t="s">
        <v>1548</v>
      </c>
      <c r="H1297" s="21" t="n">
        <v>0</v>
      </c>
      <c r="I1297" s="21" t="s">
        <v>137</v>
      </c>
    </row>
    <row r="1298" customFormat="false" ht="15" hidden="false" customHeight="false" outlineLevel="0" collapsed="false">
      <c r="A1298" s="21" t="s">
        <v>1567</v>
      </c>
      <c r="B1298" s="21" t="s">
        <v>1554</v>
      </c>
      <c r="C1298" s="21"/>
      <c r="D1298" s="37" t="s">
        <v>84</v>
      </c>
      <c r="E1298" s="37" t="s">
        <v>84</v>
      </c>
      <c r="F1298" s="37" t="s">
        <v>153</v>
      </c>
      <c r="G1298" s="21" t="s">
        <v>1548</v>
      </c>
      <c r="H1298" s="21" t="n">
        <v>0</v>
      </c>
      <c r="I1298" s="21" t="s">
        <v>137</v>
      </c>
    </row>
    <row r="1299" customFormat="false" ht="15" hidden="false" customHeight="false" outlineLevel="0" collapsed="false">
      <c r="A1299" s="21" t="s">
        <v>1568</v>
      </c>
      <c r="B1299" s="21" t="s">
        <v>1545</v>
      </c>
      <c r="C1299" s="21"/>
      <c r="D1299" s="37" t="s">
        <v>84</v>
      </c>
      <c r="E1299" s="37" t="s">
        <v>84</v>
      </c>
      <c r="F1299" s="37" t="s">
        <v>153</v>
      </c>
      <c r="G1299" s="21" t="s">
        <v>1548</v>
      </c>
      <c r="H1299" s="21" t="n">
        <v>0</v>
      </c>
      <c r="I1299" s="21" t="s">
        <v>137</v>
      </c>
    </row>
    <row r="1300" customFormat="false" ht="15" hidden="false" customHeight="false" outlineLevel="0" collapsed="false">
      <c r="A1300" s="21" t="s">
        <v>1569</v>
      </c>
      <c r="B1300" s="21" t="s">
        <v>1545</v>
      </c>
      <c r="C1300" s="21"/>
      <c r="D1300" s="37" t="s">
        <v>84</v>
      </c>
      <c r="E1300" s="37" t="s">
        <v>84</v>
      </c>
      <c r="F1300" s="37" t="s">
        <v>153</v>
      </c>
      <c r="G1300" s="21" t="s">
        <v>1548</v>
      </c>
      <c r="H1300" s="21" t="n">
        <v>0</v>
      </c>
      <c r="I1300" s="21" t="s">
        <v>137</v>
      </c>
    </row>
    <row r="1301" customFormat="false" ht="15" hidden="false" customHeight="false" outlineLevel="0" collapsed="false">
      <c r="A1301" s="21" t="s">
        <v>1570</v>
      </c>
      <c r="B1301" s="21" t="s">
        <v>1545</v>
      </c>
      <c r="C1301" s="21"/>
      <c r="D1301" s="37" t="s">
        <v>84</v>
      </c>
      <c r="E1301" s="37" t="s">
        <v>84</v>
      </c>
      <c r="F1301" s="37" t="s">
        <v>153</v>
      </c>
      <c r="G1301" s="21" t="s">
        <v>1548</v>
      </c>
      <c r="H1301" s="21" t="n">
        <v>0</v>
      </c>
      <c r="I1301" s="21" t="s">
        <v>137</v>
      </c>
    </row>
    <row r="1302" customFormat="false" ht="15" hidden="false" customHeight="false" outlineLevel="0" collapsed="false">
      <c r="A1302" s="21" t="s">
        <v>1571</v>
      </c>
      <c r="B1302" s="21" t="s">
        <v>1545</v>
      </c>
      <c r="C1302" s="21"/>
      <c r="D1302" s="37" t="s">
        <v>84</v>
      </c>
      <c r="E1302" s="37" t="s">
        <v>84</v>
      </c>
      <c r="F1302" s="37" t="s">
        <v>153</v>
      </c>
      <c r="G1302" s="21" t="s">
        <v>1548</v>
      </c>
      <c r="H1302" s="21" t="n">
        <v>0</v>
      </c>
      <c r="I1302" s="21" t="s">
        <v>137</v>
      </c>
    </row>
    <row r="1303" customFormat="false" ht="15" hidden="false" customHeight="false" outlineLevel="0" collapsed="false">
      <c r="A1303" s="21" t="s">
        <v>1572</v>
      </c>
      <c r="B1303" s="21" t="s">
        <v>1545</v>
      </c>
      <c r="C1303" s="21"/>
      <c r="D1303" s="37" t="s">
        <v>84</v>
      </c>
      <c r="E1303" s="37" t="s">
        <v>84</v>
      </c>
      <c r="F1303" s="37" t="s">
        <v>153</v>
      </c>
      <c r="G1303" s="21" t="s">
        <v>1548</v>
      </c>
      <c r="H1303" s="21" t="n">
        <v>0</v>
      </c>
      <c r="I1303" s="21" t="s">
        <v>137</v>
      </c>
    </row>
    <row r="1304" customFormat="false" ht="15" hidden="false" customHeight="false" outlineLevel="0" collapsed="false">
      <c r="A1304" s="21" t="s">
        <v>1573</v>
      </c>
      <c r="B1304" s="21" t="s">
        <v>1545</v>
      </c>
      <c r="C1304" s="21"/>
      <c r="D1304" s="37" t="s">
        <v>84</v>
      </c>
      <c r="E1304" s="37" t="s">
        <v>84</v>
      </c>
      <c r="F1304" s="37" t="s">
        <v>153</v>
      </c>
      <c r="G1304" s="21" t="s">
        <v>1548</v>
      </c>
      <c r="H1304" s="21" t="n">
        <v>0</v>
      </c>
      <c r="I1304" s="21" t="s">
        <v>137</v>
      </c>
    </row>
    <row r="1305" customFormat="false" ht="15" hidden="false" customHeight="false" outlineLevel="0" collapsed="false">
      <c r="A1305" s="21" t="s">
        <v>1574</v>
      </c>
      <c r="B1305" s="21" t="s">
        <v>1545</v>
      </c>
      <c r="C1305" s="21"/>
      <c r="D1305" s="37" t="s">
        <v>84</v>
      </c>
      <c r="E1305" s="37" t="s">
        <v>84</v>
      </c>
      <c r="F1305" s="37" t="s">
        <v>153</v>
      </c>
      <c r="G1305" s="21" t="s">
        <v>1548</v>
      </c>
      <c r="H1305" s="21" t="n">
        <v>0</v>
      </c>
      <c r="I1305" s="21" t="s">
        <v>137</v>
      </c>
    </row>
    <row r="1306" customFormat="false" ht="15" hidden="false" customHeight="false" outlineLevel="0" collapsed="false">
      <c r="A1306" s="21" t="s">
        <v>1575</v>
      </c>
      <c r="B1306" s="21" t="s">
        <v>1554</v>
      </c>
      <c r="C1306" s="21"/>
      <c r="D1306" s="37" t="s">
        <v>84</v>
      </c>
      <c r="E1306" s="37" t="s">
        <v>84</v>
      </c>
      <c r="F1306" s="37" t="s">
        <v>153</v>
      </c>
      <c r="G1306" s="21" t="s">
        <v>461</v>
      </c>
      <c r="H1306" s="21" t="n">
        <v>0</v>
      </c>
      <c r="I1306" s="21" t="s">
        <v>137</v>
      </c>
    </row>
    <row r="1307" customFormat="false" ht="15" hidden="false" customHeight="false" outlineLevel="0" collapsed="false">
      <c r="A1307" s="21" t="s">
        <v>1576</v>
      </c>
      <c r="B1307" s="21" t="s">
        <v>1545</v>
      </c>
      <c r="C1307" s="21"/>
      <c r="D1307" s="37" t="s">
        <v>84</v>
      </c>
      <c r="E1307" s="37" t="s">
        <v>84</v>
      </c>
      <c r="F1307" s="37" t="s">
        <v>153</v>
      </c>
      <c r="G1307" s="21" t="s">
        <v>1548</v>
      </c>
      <c r="H1307" s="21" t="n">
        <v>0</v>
      </c>
      <c r="I1307" s="21" t="s">
        <v>137</v>
      </c>
    </row>
    <row r="1308" customFormat="false" ht="15" hidden="false" customHeight="false" outlineLevel="0" collapsed="false">
      <c r="A1308" s="21" t="s">
        <v>1577</v>
      </c>
      <c r="B1308" s="21" t="s">
        <v>1545</v>
      </c>
      <c r="C1308" s="21"/>
      <c r="D1308" s="37" t="s">
        <v>84</v>
      </c>
      <c r="E1308" s="37" t="s">
        <v>84</v>
      </c>
      <c r="F1308" s="37" t="s">
        <v>153</v>
      </c>
      <c r="G1308" s="21" t="s">
        <v>461</v>
      </c>
      <c r="H1308" s="21" t="n">
        <v>0</v>
      </c>
      <c r="I1308" s="21" t="s">
        <v>137</v>
      </c>
    </row>
    <row r="1309" customFormat="false" ht="15" hidden="false" customHeight="false" outlineLevel="0" collapsed="false">
      <c r="A1309" s="21" t="s">
        <v>1578</v>
      </c>
      <c r="B1309" s="21" t="s">
        <v>1545</v>
      </c>
      <c r="C1309" s="21"/>
      <c r="D1309" s="37" t="s">
        <v>84</v>
      </c>
      <c r="E1309" s="37" t="s">
        <v>84</v>
      </c>
      <c r="F1309" s="37" t="s">
        <v>153</v>
      </c>
      <c r="G1309" s="21" t="s">
        <v>1548</v>
      </c>
      <c r="H1309" s="21" t="n">
        <v>0</v>
      </c>
      <c r="I1309" s="21" t="s">
        <v>137</v>
      </c>
    </row>
    <row r="1310" customFormat="false" ht="15" hidden="false" customHeight="false" outlineLevel="0" collapsed="false">
      <c r="A1310" s="21" t="s">
        <v>1579</v>
      </c>
      <c r="B1310" s="21" t="s">
        <v>1545</v>
      </c>
      <c r="C1310" s="21"/>
      <c r="D1310" s="37" t="s">
        <v>84</v>
      </c>
      <c r="E1310" s="37" t="s">
        <v>84</v>
      </c>
      <c r="F1310" s="37" t="s">
        <v>153</v>
      </c>
      <c r="G1310" s="21" t="s">
        <v>1548</v>
      </c>
      <c r="H1310" s="21" t="n">
        <v>0</v>
      </c>
      <c r="I1310" s="21" t="s">
        <v>137</v>
      </c>
    </row>
    <row r="1311" customFormat="false" ht="15" hidden="false" customHeight="false" outlineLevel="0" collapsed="false">
      <c r="A1311" s="21" t="s">
        <v>1580</v>
      </c>
      <c r="B1311" s="21" t="s">
        <v>1554</v>
      </c>
      <c r="C1311" s="21"/>
      <c r="D1311" s="37" t="s">
        <v>84</v>
      </c>
      <c r="E1311" s="37" t="s">
        <v>84</v>
      </c>
      <c r="F1311" s="37" t="s">
        <v>153</v>
      </c>
      <c r="G1311" s="21" t="s">
        <v>1548</v>
      </c>
      <c r="H1311" s="21" t="n">
        <v>0</v>
      </c>
      <c r="I1311" s="21" t="s">
        <v>137</v>
      </c>
    </row>
    <row r="1312" customFormat="false" ht="15" hidden="false" customHeight="false" outlineLevel="0" collapsed="false">
      <c r="A1312" s="21" t="s">
        <v>1581</v>
      </c>
      <c r="B1312" s="21" t="s">
        <v>1545</v>
      </c>
      <c r="C1312" s="21"/>
      <c r="D1312" s="37" t="s">
        <v>84</v>
      </c>
      <c r="E1312" s="37" t="s">
        <v>84</v>
      </c>
      <c r="F1312" s="37" t="s">
        <v>153</v>
      </c>
      <c r="G1312" s="21" t="s">
        <v>1548</v>
      </c>
      <c r="H1312" s="21" t="n">
        <v>0</v>
      </c>
      <c r="I1312" s="21" t="s">
        <v>137</v>
      </c>
    </row>
    <row r="1313" customFormat="false" ht="15" hidden="false" customHeight="false" outlineLevel="0" collapsed="false">
      <c r="A1313" s="21" t="s">
        <v>1582</v>
      </c>
      <c r="B1313" s="21" t="s">
        <v>1545</v>
      </c>
      <c r="C1313" s="21"/>
      <c r="D1313" s="37" t="s">
        <v>84</v>
      </c>
      <c r="E1313" s="37" t="s">
        <v>84</v>
      </c>
      <c r="F1313" s="37" t="s">
        <v>153</v>
      </c>
      <c r="G1313" s="21" t="s">
        <v>1548</v>
      </c>
      <c r="H1313" s="21" t="n">
        <v>0</v>
      </c>
      <c r="I1313" s="21" t="s">
        <v>137</v>
      </c>
    </row>
    <row r="1314" customFormat="false" ht="15" hidden="false" customHeight="false" outlineLevel="0" collapsed="false">
      <c r="A1314" s="21" t="s">
        <v>1583</v>
      </c>
      <c r="B1314" s="21" t="s">
        <v>1545</v>
      </c>
      <c r="C1314" s="21"/>
      <c r="D1314" s="37" t="s">
        <v>84</v>
      </c>
      <c r="E1314" s="37" t="s">
        <v>84</v>
      </c>
      <c r="F1314" s="37" t="s">
        <v>153</v>
      </c>
      <c r="G1314" s="21" t="s">
        <v>1548</v>
      </c>
      <c r="H1314" s="21" t="n">
        <v>0</v>
      </c>
      <c r="I1314" s="21" t="s">
        <v>137</v>
      </c>
    </row>
    <row r="1315" customFormat="false" ht="15" hidden="false" customHeight="false" outlineLevel="0" collapsed="false">
      <c r="A1315" s="21" t="s">
        <v>1584</v>
      </c>
      <c r="B1315" s="21" t="s">
        <v>1545</v>
      </c>
      <c r="C1315" s="21"/>
      <c r="D1315" s="37" t="s">
        <v>84</v>
      </c>
      <c r="E1315" s="37" t="s">
        <v>84</v>
      </c>
      <c r="F1315" s="37" t="s">
        <v>153</v>
      </c>
      <c r="G1315" s="21" t="s">
        <v>461</v>
      </c>
      <c r="H1315" s="21" t="n">
        <v>0</v>
      </c>
      <c r="I1315" s="21" t="s">
        <v>137</v>
      </c>
    </row>
    <row r="1316" customFormat="false" ht="15" hidden="false" customHeight="false" outlineLevel="0" collapsed="false">
      <c r="A1316" s="21" t="s">
        <v>1585</v>
      </c>
      <c r="B1316" s="21" t="s">
        <v>1545</v>
      </c>
      <c r="C1316" s="21"/>
      <c r="D1316" s="37" t="s">
        <v>84</v>
      </c>
      <c r="E1316" s="37" t="s">
        <v>84</v>
      </c>
      <c r="F1316" s="37" t="s">
        <v>153</v>
      </c>
      <c r="G1316" s="21" t="s">
        <v>1548</v>
      </c>
      <c r="H1316" s="21" t="n">
        <v>0</v>
      </c>
      <c r="I1316" s="21" t="s">
        <v>137</v>
      </c>
    </row>
    <row r="1317" customFormat="false" ht="15" hidden="false" customHeight="false" outlineLevel="0" collapsed="false">
      <c r="A1317" s="21" t="s">
        <v>1586</v>
      </c>
      <c r="B1317" s="21" t="s">
        <v>1545</v>
      </c>
      <c r="C1317" s="21"/>
      <c r="D1317" s="37" t="s">
        <v>84</v>
      </c>
      <c r="E1317" s="37" t="s">
        <v>84</v>
      </c>
      <c r="F1317" s="37" t="s">
        <v>153</v>
      </c>
      <c r="G1317" s="21" t="s">
        <v>1548</v>
      </c>
      <c r="H1317" s="21" t="n">
        <v>0</v>
      </c>
      <c r="I1317" s="21" t="s">
        <v>137</v>
      </c>
    </row>
    <row r="1318" customFormat="false" ht="15" hidden="false" customHeight="false" outlineLevel="0" collapsed="false">
      <c r="A1318" s="21" t="s">
        <v>1587</v>
      </c>
      <c r="B1318" s="21" t="s">
        <v>1545</v>
      </c>
      <c r="C1318" s="21"/>
      <c r="D1318" s="37" t="s">
        <v>84</v>
      </c>
      <c r="E1318" s="37" t="s">
        <v>84</v>
      </c>
      <c r="F1318" s="37" t="s">
        <v>153</v>
      </c>
      <c r="G1318" s="21" t="s">
        <v>461</v>
      </c>
      <c r="H1318" s="21" t="n">
        <v>0</v>
      </c>
      <c r="I1318" s="21" t="s">
        <v>137</v>
      </c>
    </row>
    <row r="1319" customFormat="false" ht="15" hidden="false" customHeight="false" outlineLevel="0" collapsed="false">
      <c r="A1319" s="21" t="s">
        <v>1588</v>
      </c>
      <c r="B1319" s="21" t="s">
        <v>1545</v>
      </c>
      <c r="C1319" s="21"/>
      <c r="D1319" s="37" t="s">
        <v>84</v>
      </c>
      <c r="E1319" s="37" t="s">
        <v>84</v>
      </c>
      <c r="F1319" s="37" t="s">
        <v>153</v>
      </c>
      <c r="G1319" s="21" t="s">
        <v>461</v>
      </c>
      <c r="H1319" s="21" t="n">
        <v>0</v>
      </c>
      <c r="I1319" s="21" t="s">
        <v>137</v>
      </c>
    </row>
    <row r="1320" customFormat="false" ht="15" hidden="false" customHeight="false" outlineLevel="0" collapsed="false">
      <c r="A1320" s="21" t="s">
        <v>1589</v>
      </c>
      <c r="B1320" s="21" t="s">
        <v>1554</v>
      </c>
      <c r="C1320" s="21"/>
      <c r="D1320" s="37" t="s">
        <v>84</v>
      </c>
      <c r="E1320" s="37" t="s">
        <v>84</v>
      </c>
      <c r="F1320" s="37" t="s">
        <v>153</v>
      </c>
      <c r="G1320" s="21" t="s">
        <v>1548</v>
      </c>
      <c r="H1320" s="21" t="n">
        <v>0</v>
      </c>
      <c r="I1320" s="21" t="s">
        <v>137</v>
      </c>
    </row>
    <row r="1321" customFormat="false" ht="15" hidden="false" customHeight="false" outlineLevel="0" collapsed="false">
      <c r="A1321" s="21" t="s">
        <v>1590</v>
      </c>
      <c r="B1321" s="21" t="s">
        <v>1545</v>
      </c>
      <c r="C1321" s="21"/>
      <c r="D1321" s="37" t="s">
        <v>84</v>
      </c>
      <c r="E1321" s="37" t="s">
        <v>84</v>
      </c>
      <c r="F1321" s="37" t="s">
        <v>153</v>
      </c>
      <c r="G1321" s="21" t="s">
        <v>1548</v>
      </c>
      <c r="H1321" s="21" t="n">
        <v>0</v>
      </c>
      <c r="I1321" s="21" t="s">
        <v>137</v>
      </c>
    </row>
    <row r="1322" customFormat="false" ht="15" hidden="false" customHeight="false" outlineLevel="0" collapsed="false">
      <c r="A1322" s="21" t="s">
        <v>1591</v>
      </c>
      <c r="B1322" s="21" t="s">
        <v>1554</v>
      </c>
      <c r="C1322" s="21"/>
      <c r="D1322" s="37" t="s">
        <v>84</v>
      </c>
      <c r="E1322" s="37" t="s">
        <v>84</v>
      </c>
      <c r="F1322" s="37" t="s">
        <v>153</v>
      </c>
      <c r="G1322" s="21" t="s">
        <v>1548</v>
      </c>
      <c r="H1322" s="21" t="n">
        <v>0</v>
      </c>
      <c r="I1322" s="21" t="s">
        <v>137</v>
      </c>
    </row>
    <row r="1323" customFormat="false" ht="15" hidden="false" customHeight="false" outlineLevel="0" collapsed="false">
      <c r="A1323" s="21" t="s">
        <v>1592</v>
      </c>
      <c r="B1323" s="21" t="s">
        <v>1554</v>
      </c>
      <c r="C1323" s="21"/>
      <c r="D1323" s="37" t="s">
        <v>84</v>
      </c>
      <c r="E1323" s="37" t="s">
        <v>84</v>
      </c>
      <c r="F1323" s="37" t="s">
        <v>153</v>
      </c>
      <c r="G1323" s="21" t="s">
        <v>1548</v>
      </c>
      <c r="H1323" s="21" t="n">
        <v>0</v>
      </c>
      <c r="I1323" s="21" t="s">
        <v>137</v>
      </c>
    </row>
    <row r="1324" customFormat="false" ht="15" hidden="false" customHeight="false" outlineLevel="0" collapsed="false">
      <c r="A1324" s="21" t="s">
        <v>1593</v>
      </c>
      <c r="B1324" s="21" t="s">
        <v>1545</v>
      </c>
      <c r="C1324" s="21"/>
      <c r="D1324" s="37" t="s">
        <v>84</v>
      </c>
      <c r="E1324" s="37" t="s">
        <v>84</v>
      </c>
      <c r="F1324" s="37" t="s">
        <v>153</v>
      </c>
      <c r="G1324" s="21" t="s">
        <v>1548</v>
      </c>
      <c r="H1324" s="21" t="n">
        <v>0</v>
      </c>
      <c r="I1324" s="21" t="s">
        <v>137</v>
      </c>
    </row>
    <row r="1325" customFormat="false" ht="15" hidden="false" customHeight="false" outlineLevel="0" collapsed="false">
      <c r="A1325" s="21" t="s">
        <v>1594</v>
      </c>
      <c r="B1325" s="21" t="s">
        <v>1545</v>
      </c>
      <c r="C1325" s="21"/>
      <c r="D1325" s="37" t="s">
        <v>84</v>
      </c>
      <c r="E1325" s="37" t="s">
        <v>84</v>
      </c>
      <c r="F1325" s="37" t="s">
        <v>153</v>
      </c>
      <c r="G1325" s="21" t="s">
        <v>1548</v>
      </c>
      <c r="H1325" s="21" t="n">
        <v>0</v>
      </c>
      <c r="I1325" s="21" t="s">
        <v>137</v>
      </c>
    </row>
    <row r="1326" customFormat="false" ht="15" hidden="false" customHeight="false" outlineLevel="0" collapsed="false">
      <c r="A1326" s="21" t="s">
        <v>1595</v>
      </c>
      <c r="B1326" s="21" t="s">
        <v>1545</v>
      </c>
      <c r="C1326" s="21"/>
      <c r="D1326" s="37" t="s">
        <v>84</v>
      </c>
      <c r="E1326" s="37" t="s">
        <v>84</v>
      </c>
      <c r="F1326" s="37" t="s">
        <v>153</v>
      </c>
      <c r="G1326" s="21" t="s">
        <v>1548</v>
      </c>
      <c r="H1326" s="21" t="n">
        <v>0</v>
      </c>
      <c r="I1326" s="21" t="s">
        <v>137</v>
      </c>
    </row>
    <row r="1327" customFormat="false" ht="15" hidden="false" customHeight="false" outlineLevel="0" collapsed="false">
      <c r="A1327" s="21" t="s">
        <v>1596</v>
      </c>
      <c r="B1327" s="21" t="s">
        <v>1545</v>
      </c>
      <c r="C1327" s="21"/>
      <c r="D1327" s="37" t="s">
        <v>84</v>
      </c>
      <c r="E1327" s="37" t="s">
        <v>84</v>
      </c>
      <c r="F1327" s="37" t="s">
        <v>153</v>
      </c>
      <c r="G1327" s="21" t="s">
        <v>461</v>
      </c>
      <c r="H1327" s="21" t="n">
        <v>0</v>
      </c>
      <c r="I1327" s="21" t="s">
        <v>137</v>
      </c>
    </row>
    <row r="1328" customFormat="false" ht="15" hidden="false" customHeight="false" outlineLevel="0" collapsed="false">
      <c r="A1328" s="21" t="s">
        <v>1597</v>
      </c>
      <c r="B1328" s="21" t="s">
        <v>1545</v>
      </c>
      <c r="C1328" s="21"/>
      <c r="D1328" s="37" t="s">
        <v>84</v>
      </c>
      <c r="E1328" s="37" t="s">
        <v>84</v>
      </c>
      <c r="F1328" s="37" t="s">
        <v>153</v>
      </c>
      <c r="G1328" s="21" t="s">
        <v>461</v>
      </c>
      <c r="H1328" s="21" t="n">
        <v>0</v>
      </c>
      <c r="I1328" s="21" t="s">
        <v>137</v>
      </c>
    </row>
    <row r="1329" customFormat="false" ht="15" hidden="false" customHeight="false" outlineLevel="0" collapsed="false">
      <c r="A1329" s="21" t="s">
        <v>1598</v>
      </c>
      <c r="B1329" s="21" t="s">
        <v>1545</v>
      </c>
      <c r="C1329" s="21"/>
      <c r="D1329" s="37" t="s">
        <v>84</v>
      </c>
      <c r="E1329" s="37" t="s">
        <v>84</v>
      </c>
      <c r="F1329" s="37" t="s">
        <v>153</v>
      </c>
      <c r="G1329" s="21" t="s">
        <v>1548</v>
      </c>
      <c r="H1329" s="21" t="n">
        <v>0</v>
      </c>
      <c r="I1329" s="21" t="s">
        <v>137</v>
      </c>
    </row>
    <row r="1330" customFormat="false" ht="15" hidden="false" customHeight="false" outlineLevel="0" collapsed="false">
      <c r="A1330" s="21" t="s">
        <v>1599</v>
      </c>
      <c r="B1330" s="21" t="s">
        <v>1545</v>
      </c>
      <c r="C1330" s="21"/>
      <c r="D1330" s="37" t="s">
        <v>84</v>
      </c>
      <c r="E1330" s="37" t="s">
        <v>84</v>
      </c>
      <c r="F1330" s="37" t="s">
        <v>153</v>
      </c>
      <c r="G1330" s="21" t="s">
        <v>1548</v>
      </c>
      <c r="H1330" s="21" t="n">
        <v>0</v>
      </c>
      <c r="I1330" s="21" t="s">
        <v>137</v>
      </c>
    </row>
    <row r="1331" customFormat="false" ht="15" hidden="false" customHeight="false" outlineLevel="0" collapsed="false">
      <c r="A1331" s="21" t="s">
        <v>1600</v>
      </c>
      <c r="B1331" s="21" t="s">
        <v>1545</v>
      </c>
      <c r="C1331" s="21"/>
      <c r="D1331" s="37" t="s">
        <v>84</v>
      </c>
      <c r="E1331" s="37" t="s">
        <v>84</v>
      </c>
      <c r="F1331" s="37" t="s">
        <v>153</v>
      </c>
      <c r="G1331" s="21" t="s">
        <v>1548</v>
      </c>
      <c r="H1331" s="21" t="n">
        <v>0</v>
      </c>
      <c r="I1331" s="21" t="s">
        <v>137</v>
      </c>
    </row>
    <row r="1332" customFormat="false" ht="15" hidden="false" customHeight="false" outlineLevel="0" collapsed="false">
      <c r="A1332" s="21" t="s">
        <v>1601</v>
      </c>
      <c r="B1332" s="21" t="s">
        <v>1545</v>
      </c>
      <c r="C1332" s="21"/>
      <c r="D1332" s="37" t="s">
        <v>84</v>
      </c>
      <c r="E1332" s="37" t="s">
        <v>84</v>
      </c>
      <c r="F1332" s="37" t="s">
        <v>153</v>
      </c>
      <c r="G1332" s="21" t="s">
        <v>1548</v>
      </c>
      <c r="H1332" s="21" t="n">
        <v>0</v>
      </c>
      <c r="I1332" s="21" t="s">
        <v>137</v>
      </c>
    </row>
    <row r="1333" customFormat="false" ht="15" hidden="false" customHeight="false" outlineLevel="0" collapsed="false">
      <c r="A1333" s="21" t="s">
        <v>1602</v>
      </c>
      <c r="B1333" s="21" t="s">
        <v>1545</v>
      </c>
      <c r="C1333" s="21"/>
      <c r="D1333" s="37" t="s">
        <v>84</v>
      </c>
      <c r="E1333" s="37" t="s">
        <v>84</v>
      </c>
      <c r="F1333" s="37" t="s">
        <v>153</v>
      </c>
      <c r="G1333" s="21" t="s">
        <v>1548</v>
      </c>
      <c r="H1333" s="21" t="n">
        <v>0</v>
      </c>
      <c r="I1333" s="21" t="s">
        <v>137</v>
      </c>
    </row>
    <row r="1334" customFormat="false" ht="15" hidden="false" customHeight="false" outlineLevel="0" collapsed="false">
      <c r="A1334" s="21" t="s">
        <v>1603</v>
      </c>
      <c r="B1334" s="21" t="s">
        <v>1545</v>
      </c>
      <c r="C1334" s="21"/>
      <c r="D1334" s="37" t="s">
        <v>84</v>
      </c>
      <c r="E1334" s="37" t="s">
        <v>84</v>
      </c>
      <c r="F1334" s="37" t="s">
        <v>153</v>
      </c>
      <c r="G1334" s="21" t="s">
        <v>461</v>
      </c>
      <c r="H1334" s="21" t="n">
        <v>0</v>
      </c>
      <c r="I1334" s="21" t="s">
        <v>137</v>
      </c>
    </row>
    <row r="1335" customFormat="false" ht="15" hidden="false" customHeight="false" outlineLevel="0" collapsed="false">
      <c r="A1335" s="21" t="s">
        <v>1604</v>
      </c>
      <c r="B1335" s="21" t="s">
        <v>1545</v>
      </c>
      <c r="C1335" s="21"/>
      <c r="D1335" s="37" t="s">
        <v>84</v>
      </c>
      <c r="E1335" s="37" t="s">
        <v>84</v>
      </c>
      <c r="F1335" s="37" t="s">
        <v>153</v>
      </c>
      <c r="G1335" s="21" t="s">
        <v>1548</v>
      </c>
      <c r="H1335" s="21" t="n">
        <v>0</v>
      </c>
      <c r="I1335" s="21" t="s">
        <v>137</v>
      </c>
    </row>
    <row r="1336" customFormat="false" ht="15" hidden="false" customHeight="false" outlineLevel="0" collapsed="false">
      <c r="A1336" s="21" t="s">
        <v>1605</v>
      </c>
      <c r="B1336" s="21" t="s">
        <v>1545</v>
      </c>
      <c r="C1336" s="21"/>
      <c r="D1336" s="37" t="s">
        <v>84</v>
      </c>
      <c r="E1336" s="37" t="s">
        <v>84</v>
      </c>
      <c r="F1336" s="37" t="s">
        <v>153</v>
      </c>
      <c r="G1336" s="21" t="s">
        <v>1548</v>
      </c>
      <c r="H1336" s="21" t="n">
        <v>0</v>
      </c>
      <c r="I1336" s="21" t="s">
        <v>137</v>
      </c>
    </row>
    <row r="1337" customFormat="false" ht="15" hidden="false" customHeight="false" outlineLevel="0" collapsed="false">
      <c r="A1337" s="21" t="s">
        <v>1606</v>
      </c>
      <c r="B1337" s="21" t="s">
        <v>1545</v>
      </c>
      <c r="C1337" s="21"/>
      <c r="D1337" s="37" t="s">
        <v>84</v>
      </c>
      <c r="E1337" s="37" t="s">
        <v>84</v>
      </c>
      <c r="F1337" s="37" t="s">
        <v>153</v>
      </c>
      <c r="G1337" s="21" t="s">
        <v>461</v>
      </c>
      <c r="H1337" s="21" t="n">
        <v>0</v>
      </c>
      <c r="I1337" s="21" t="s">
        <v>137</v>
      </c>
    </row>
    <row r="1338" customFormat="false" ht="15" hidden="false" customHeight="false" outlineLevel="0" collapsed="false">
      <c r="A1338" s="21" t="s">
        <v>1607</v>
      </c>
      <c r="B1338" s="21" t="s">
        <v>1545</v>
      </c>
      <c r="C1338" s="21"/>
      <c r="D1338" s="37" t="s">
        <v>84</v>
      </c>
      <c r="E1338" s="37" t="s">
        <v>84</v>
      </c>
      <c r="F1338" s="37" t="s">
        <v>153</v>
      </c>
      <c r="G1338" s="21" t="s">
        <v>1548</v>
      </c>
      <c r="H1338" s="21" t="n">
        <v>0</v>
      </c>
      <c r="I1338" s="21" t="s">
        <v>137</v>
      </c>
    </row>
    <row r="1339" customFormat="false" ht="15" hidden="false" customHeight="false" outlineLevel="0" collapsed="false">
      <c r="A1339" s="21" t="s">
        <v>1608</v>
      </c>
      <c r="B1339" s="21" t="s">
        <v>1545</v>
      </c>
      <c r="C1339" s="21"/>
      <c r="D1339" s="37" t="s">
        <v>211</v>
      </c>
      <c r="E1339" s="37" t="s">
        <v>26</v>
      </c>
      <c r="F1339" s="37" t="s">
        <v>153</v>
      </c>
      <c r="G1339" s="21" t="s">
        <v>461</v>
      </c>
      <c r="H1339" s="21" t="n">
        <v>0</v>
      </c>
      <c r="I1339" s="21" t="s">
        <v>137</v>
      </c>
    </row>
    <row r="1340" customFormat="false" ht="15" hidden="false" customHeight="false" outlineLevel="0" collapsed="false">
      <c r="A1340" s="21" t="s">
        <v>1609</v>
      </c>
      <c r="B1340" s="21" t="s">
        <v>1545</v>
      </c>
      <c r="C1340" s="21"/>
      <c r="D1340" s="37" t="s">
        <v>211</v>
      </c>
      <c r="E1340" s="37" t="s">
        <v>26</v>
      </c>
      <c r="F1340" s="37" t="s">
        <v>153</v>
      </c>
      <c r="G1340" s="21" t="s">
        <v>461</v>
      </c>
      <c r="H1340" s="21" t="n">
        <v>0</v>
      </c>
      <c r="I1340" s="21" t="s">
        <v>137</v>
      </c>
    </row>
    <row r="1341" customFormat="false" ht="15" hidden="false" customHeight="false" outlineLevel="0" collapsed="false">
      <c r="A1341" s="21" t="s">
        <v>1610</v>
      </c>
      <c r="B1341" s="21" t="s">
        <v>1545</v>
      </c>
      <c r="C1341" s="21"/>
      <c r="D1341" s="37" t="s">
        <v>84</v>
      </c>
      <c r="E1341" s="37" t="s">
        <v>84</v>
      </c>
      <c r="F1341" s="37" t="s">
        <v>153</v>
      </c>
      <c r="G1341" s="21" t="s">
        <v>461</v>
      </c>
      <c r="H1341" s="21" t="n">
        <v>0</v>
      </c>
      <c r="I1341" s="21" t="s">
        <v>137</v>
      </c>
    </row>
    <row r="1342" customFormat="false" ht="15" hidden="false" customHeight="false" outlineLevel="0" collapsed="false">
      <c r="A1342" s="21" t="s">
        <v>1611</v>
      </c>
      <c r="B1342" s="21" t="s">
        <v>1545</v>
      </c>
      <c r="C1342" s="21"/>
      <c r="D1342" s="37" t="s">
        <v>84</v>
      </c>
      <c r="E1342" s="37" t="s">
        <v>84</v>
      </c>
      <c r="F1342" s="37" t="s">
        <v>153</v>
      </c>
      <c r="G1342" s="21" t="s">
        <v>461</v>
      </c>
      <c r="H1342" s="21" t="n">
        <v>0</v>
      </c>
      <c r="I1342" s="21" t="s">
        <v>137</v>
      </c>
    </row>
    <row r="1343" customFormat="false" ht="15" hidden="false" customHeight="false" outlineLevel="0" collapsed="false">
      <c r="A1343" s="21" t="s">
        <v>1612</v>
      </c>
      <c r="B1343" s="21" t="s">
        <v>1545</v>
      </c>
      <c r="C1343" s="21"/>
      <c r="D1343" s="37" t="s">
        <v>84</v>
      </c>
      <c r="E1343" s="37" t="s">
        <v>84</v>
      </c>
      <c r="F1343" s="37" t="s">
        <v>153</v>
      </c>
      <c r="G1343" s="21" t="s">
        <v>1548</v>
      </c>
      <c r="H1343" s="21" t="n">
        <v>0</v>
      </c>
      <c r="I1343" s="21" t="s">
        <v>137</v>
      </c>
    </row>
    <row r="1344" customFormat="false" ht="15" hidden="false" customHeight="false" outlineLevel="0" collapsed="false">
      <c r="A1344" s="21" t="s">
        <v>1613</v>
      </c>
      <c r="B1344" s="21" t="s">
        <v>1545</v>
      </c>
      <c r="C1344" s="21"/>
      <c r="D1344" s="37" t="s">
        <v>84</v>
      </c>
      <c r="E1344" s="37" t="s">
        <v>84</v>
      </c>
      <c r="F1344" s="37" t="s">
        <v>153</v>
      </c>
      <c r="G1344" s="21" t="s">
        <v>461</v>
      </c>
      <c r="H1344" s="21" t="n">
        <v>0</v>
      </c>
      <c r="I1344" s="21" t="s">
        <v>137</v>
      </c>
    </row>
    <row r="1345" customFormat="false" ht="15" hidden="false" customHeight="false" outlineLevel="0" collapsed="false">
      <c r="A1345" s="21" t="s">
        <v>1614</v>
      </c>
      <c r="B1345" s="21" t="s">
        <v>1545</v>
      </c>
      <c r="C1345" s="21"/>
      <c r="D1345" s="37" t="s">
        <v>84</v>
      </c>
      <c r="E1345" s="37" t="s">
        <v>84</v>
      </c>
      <c r="F1345" s="37" t="s">
        <v>153</v>
      </c>
      <c r="G1345" s="21" t="s">
        <v>1548</v>
      </c>
      <c r="H1345" s="21" t="n">
        <v>0</v>
      </c>
      <c r="I1345" s="21" t="s">
        <v>137</v>
      </c>
    </row>
    <row r="1346" customFormat="false" ht="15" hidden="false" customHeight="false" outlineLevel="0" collapsed="false">
      <c r="A1346" s="21" t="s">
        <v>1615</v>
      </c>
      <c r="B1346" s="21" t="s">
        <v>1545</v>
      </c>
      <c r="C1346" s="21"/>
      <c r="D1346" s="37" t="s">
        <v>84</v>
      </c>
      <c r="E1346" s="37" t="s">
        <v>84</v>
      </c>
      <c r="F1346" s="37" t="s">
        <v>153</v>
      </c>
      <c r="G1346" s="21" t="s">
        <v>461</v>
      </c>
      <c r="H1346" s="21" t="n">
        <v>0</v>
      </c>
      <c r="I1346" s="21" t="s">
        <v>137</v>
      </c>
    </row>
    <row r="1347" customFormat="false" ht="15" hidden="false" customHeight="false" outlineLevel="0" collapsed="false">
      <c r="A1347" s="21" t="s">
        <v>1616</v>
      </c>
      <c r="B1347" s="21" t="s">
        <v>1545</v>
      </c>
      <c r="C1347" s="21"/>
      <c r="D1347" s="37" t="s">
        <v>84</v>
      </c>
      <c r="E1347" s="37" t="s">
        <v>84</v>
      </c>
      <c r="F1347" s="37" t="s">
        <v>153</v>
      </c>
      <c r="G1347" s="21" t="s">
        <v>1548</v>
      </c>
      <c r="H1347" s="21" t="n">
        <v>0</v>
      </c>
      <c r="I1347" s="21" t="s">
        <v>137</v>
      </c>
    </row>
    <row r="1348" customFormat="false" ht="15" hidden="false" customHeight="false" outlineLevel="0" collapsed="false">
      <c r="A1348" s="21" t="s">
        <v>1617</v>
      </c>
      <c r="B1348" s="21" t="s">
        <v>1554</v>
      </c>
      <c r="C1348" s="21"/>
      <c r="D1348" s="37" t="s">
        <v>84</v>
      </c>
      <c r="E1348" s="37" t="s">
        <v>84</v>
      </c>
      <c r="F1348" s="37" t="s">
        <v>153</v>
      </c>
      <c r="G1348" s="21" t="s">
        <v>1548</v>
      </c>
      <c r="H1348" s="21" t="n">
        <v>0</v>
      </c>
      <c r="I1348" s="21" t="s">
        <v>137</v>
      </c>
    </row>
    <row r="1349" customFormat="false" ht="15" hidden="false" customHeight="false" outlineLevel="0" collapsed="false">
      <c r="A1349" s="21" t="s">
        <v>1618</v>
      </c>
      <c r="B1349" s="21" t="s">
        <v>1554</v>
      </c>
      <c r="C1349" s="21"/>
      <c r="D1349" s="37" t="s">
        <v>84</v>
      </c>
      <c r="E1349" s="37" t="s">
        <v>84</v>
      </c>
      <c r="F1349" s="37" t="s">
        <v>153</v>
      </c>
      <c r="G1349" s="21" t="s">
        <v>1548</v>
      </c>
      <c r="H1349" s="21" t="n">
        <v>0</v>
      </c>
      <c r="I1349" s="21" t="s">
        <v>137</v>
      </c>
    </row>
    <row r="1350" customFormat="false" ht="15" hidden="false" customHeight="false" outlineLevel="0" collapsed="false">
      <c r="A1350" s="21" t="s">
        <v>1619</v>
      </c>
      <c r="B1350" s="21" t="s">
        <v>1545</v>
      </c>
      <c r="C1350" s="21"/>
      <c r="D1350" s="37" t="s">
        <v>84</v>
      </c>
      <c r="E1350" s="37" t="s">
        <v>84</v>
      </c>
      <c r="F1350" s="37" t="s">
        <v>153</v>
      </c>
      <c r="G1350" s="21" t="s">
        <v>1548</v>
      </c>
      <c r="H1350" s="21" t="n">
        <v>0</v>
      </c>
      <c r="I1350" s="21" t="s">
        <v>137</v>
      </c>
    </row>
    <row r="1351" customFormat="false" ht="15" hidden="false" customHeight="false" outlineLevel="0" collapsed="false">
      <c r="A1351" s="21" t="s">
        <v>1620</v>
      </c>
      <c r="B1351" s="21" t="s">
        <v>1545</v>
      </c>
      <c r="C1351" s="21"/>
      <c r="D1351" s="37" t="s">
        <v>84</v>
      </c>
      <c r="E1351" s="37" t="s">
        <v>84</v>
      </c>
      <c r="F1351" s="37" t="s">
        <v>153</v>
      </c>
      <c r="G1351" s="21" t="s">
        <v>1548</v>
      </c>
      <c r="H1351" s="21" t="n">
        <v>0</v>
      </c>
      <c r="I1351" s="21" t="s">
        <v>137</v>
      </c>
    </row>
    <row r="1352" customFormat="false" ht="15" hidden="false" customHeight="false" outlineLevel="0" collapsed="false">
      <c r="A1352" s="21" t="s">
        <v>1621</v>
      </c>
      <c r="B1352" s="21" t="s">
        <v>1545</v>
      </c>
      <c r="C1352" s="21"/>
      <c r="D1352" s="37" t="s">
        <v>84</v>
      </c>
      <c r="E1352" s="37" t="s">
        <v>84</v>
      </c>
      <c r="F1352" s="37" t="s">
        <v>153</v>
      </c>
      <c r="G1352" s="21" t="s">
        <v>461</v>
      </c>
      <c r="H1352" s="21" t="n">
        <v>0</v>
      </c>
      <c r="I1352" s="21" t="s">
        <v>137</v>
      </c>
    </row>
    <row r="1353" customFormat="false" ht="15" hidden="false" customHeight="false" outlineLevel="0" collapsed="false">
      <c r="A1353" s="21" t="s">
        <v>1622</v>
      </c>
      <c r="B1353" s="21" t="s">
        <v>1545</v>
      </c>
      <c r="C1353" s="21"/>
      <c r="D1353" s="37" t="s">
        <v>84</v>
      </c>
      <c r="E1353" s="37" t="s">
        <v>84</v>
      </c>
      <c r="F1353" s="37" t="s">
        <v>153</v>
      </c>
      <c r="G1353" s="21" t="s">
        <v>1548</v>
      </c>
      <c r="H1353" s="21" t="n">
        <v>0</v>
      </c>
      <c r="I1353" s="21" t="s">
        <v>137</v>
      </c>
    </row>
    <row r="1354" customFormat="false" ht="15" hidden="false" customHeight="false" outlineLevel="0" collapsed="false">
      <c r="A1354" s="21" t="s">
        <v>1623</v>
      </c>
      <c r="B1354" s="21" t="s">
        <v>1545</v>
      </c>
      <c r="C1354" s="21"/>
      <c r="D1354" s="37" t="s">
        <v>84</v>
      </c>
      <c r="E1354" s="37" t="s">
        <v>84</v>
      </c>
      <c r="F1354" s="37" t="s">
        <v>153</v>
      </c>
      <c r="G1354" s="21" t="s">
        <v>1548</v>
      </c>
      <c r="H1354" s="21" t="n">
        <v>0</v>
      </c>
      <c r="I1354" s="21" t="s">
        <v>137</v>
      </c>
    </row>
    <row r="1355" customFormat="false" ht="15" hidden="false" customHeight="false" outlineLevel="0" collapsed="false">
      <c r="A1355" s="21" t="s">
        <v>1624</v>
      </c>
      <c r="B1355" s="21" t="s">
        <v>1545</v>
      </c>
      <c r="C1355" s="21"/>
      <c r="D1355" s="37" t="s">
        <v>84</v>
      </c>
      <c r="E1355" s="37" t="s">
        <v>84</v>
      </c>
      <c r="F1355" s="37" t="s">
        <v>153</v>
      </c>
      <c r="G1355" s="21" t="s">
        <v>461</v>
      </c>
      <c r="H1355" s="21" t="n">
        <v>0</v>
      </c>
      <c r="I1355" s="21" t="s">
        <v>137</v>
      </c>
    </row>
    <row r="1356" customFormat="false" ht="15" hidden="false" customHeight="false" outlineLevel="0" collapsed="false">
      <c r="A1356" s="21" t="s">
        <v>1625</v>
      </c>
      <c r="B1356" s="21" t="s">
        <v>1545</v>
      </c>
      <c r="C1356" s="21"/>
      <c r="D1356" s="37" t="s">
        <v>84</v>
      </c>
      <c r="E1356" s="37" t="s">
        <v>84</v>
      </c>
      <c r="F1356" s="37" t="s">
        <v>153</v>
      </c>
      <c r="G1356" s="21" t="s">
        <v>1548</v>
      </c>
      <c r="H1356" s="21" t="n">
        <v>0</v>
      </c>
      <c r="I1356" s="21" t="s">
        <v>137</v>
      </c>
    </row>
    <row r="1357" customFormat="false" ht="15" hidden="false" customHeight="false" outlineLevel="0" collapsed="false">
      <c r="A1357" s="21" t="s">
        <v>1626</v>
      </c>
      <c r="B1357" s="21" t="s">
        <v>1545</v>
      </c>
      <c r="C1357" s="21"/>
      <c r="D1357" s="37" t="s">
        <v>84</v>
      </c>
      <c r="E1357" s="37" t="s">
        <v>84</v>
      </c>
      <c r="F1357" s="37" t="s">
        <v>153</v>
      </c>
      <c r="G1357" s="21" t="s">
        <v>1548</v>
      </c>
      <c r="H1357" s="21" t="n">
        <v>0</v>
      </c>
      <c r="I1357" s="21" t="s">
        <v>137</v>
      </c>
    </row>
    <row r="1358" customFormat="false" ht="15" hidden="false" customHeight="false" outlineLevel="0" collapsed="false">
      <c r="A1358" s="21" t="s">
        <v>1627</v>
      </c>
      <c r="B1358" s="21" t="s">
        <v>1552</v>
      </c>
      <c r="C1358" s="21"/>
      <c r="D1358" s="37" t="s">
        <v>84</v>
      </c>
      <c r="E1358" s="37" t="s">
        <v>84</v>
      </c>
      <c r="F1358" s="37" t="s">
        <v>153</v>
      </c>
      <c r="G1358" s="21" t="s">
        <v>461</v>
      </c>
      <c r="H1358" s="21" t="n">
        <v>0</v>
      </c>
      <c r="I1358" s="21" t="s">
        <v>137</v>
      </c>
    </row>
    <row r="1359" customFormat="false" ht="15" hidden="false" customHeight="false" outlineLevel="0" collapsed="false">
      <c r="A1359" s="21" t="s">
        <v>1628</v>
      </c>
      <c r="B1359" s="21" t="s">
        <v>1545</v>
      </c>
      <c r="C1359" s="21"/>
      <c r="D1359" s="37" t="s">
        <v>84</v>
      </c>
      <c r="E1359" s="37" t="s">
        <v>84</v>
      </c>
      <c r="F1359" s="37" t="s">
        <v>153</v>
      </c>
      <c r="G1359" s="21" t="s">
        <v>1548</v>
      </c>
      <c r="H1359" s="21" t="n">
        <v>0</v>
      </c>
      <c r="I1359" s="21" t="s">
        <v>137</v>
      </c>
    </row>
    <row r="1360" customFormat="false" ht="15" hidden="false" customHeight="false" outlineLevel="0" collapsed="false">
      <c r="A1360" s="21" t="s">
        <v>1629</v>
      </c>
      <c r="B1360" s="21" t="s">
        <v>1545</v>
      </c>
      <c r="C1360" s="21"/>
      <c r="D1360" s="37" t="s">
        <v>84</v>
      </c>
      <c r="E1360" s="37" t="s">
        <v>84</v>
      </c>
      <c r="F1360" s="37" t="s">
        <v>153</v>
      </c>
      <c r="G1360" s="21" t="s">
        <v>1548</v>
      </c>
      <c r="H1360" s="21" t="n">
        <v>0</v>
      </c>
      <c r="I1360" s="21" t="s">
        <v>137</v>
      </c>
    </row>
    <row r="1361" customFormat="false" ht="15" hidden="false" customHeight="false" outlineLevel="0" collapsed="false">
      <c r="A1361" s="21" t="s">
        <v>1630</v>
      </c>
      <c r="B1361" s="21" t="s">
        <v>1545</v>
      </c>
      <c r="C1361" s="21"/>
      <c r="D1361" s="37" t="s">
        <v>84</v>
      </c>
      <c r="E1361" s="37" t="s">
        <v>84</v>
      </c>
      <c r="F1361" s="37" t="s">
        <v>153</v>
      </c>
      <c r="G1361" s="21" t="s">
        <v>1548</v>
      </c>
      <c r="H1361" s="21" t="n">
        <v>0</v>
      </c>
      <c r="I1361" s="21" t="s">
        <v>137</v>
      </c>
    </row>
    <row r="1362" customFormat="false" ht="15" hidden="false" customHeight="false" outlineLevel="0" collapsed="false">
      <c r="A1362" s="21" t="s">
        <v>1631</v>
      </c>
      <c r="B1362" s="21" t="s">
        <v>1552</v>
      </c>
      <c r="C1362" s="21"/>
      <c r="D1362" s="37" t="s">
        <v>84</v>
      </c>
      <c r="E1362" s="37" t="s">
        <v>84</v>
      </c>
      <c r="F1362" s="37" t="s">
        <v>153</v>
      </c>
      <c r="G1362" s="21" t="s">
        <v>461</v>
      </c>
      <c r="H1362" s="21" t="n">
        <v>0</v>
      </c>
      <c r="I1362" s="21" t="s">
        <v>137</v>
      </c>
    </row>
    <row r="1363" customFormat="false" ht="15" hidden="false" customHeight="false" outlineLevel="0" collapsed="false">
      <c r="A1363" s="21" t="s">
        <v>1632</v>
      </c>
      <c r="B1363" s="21" t="s">
        <v>1554</v>
      </c>
      <c r="C1363" s="21"/>
      <c r="D1363" s="37" t="s">
        <v>84</v>
      </c>
      <c r="E1363" s="37" t="s">
        <v>84</v>
      </c>
      <c r="F1363" s="37" t="s">
        <v>153</v>
      </c>
      <c r="G1363" s="21" t="s">
        <v>461</v>
      </c>
      <c r="H1363" s="21" t="n">
        <v>0</v>
      </c>
      <c r="I1363" s="21" t="s">
        <v>137</v>
      </c>
    </row>
    <row r="1364" customFormat="false" ht="15" hidden="false" customHeight="false" outlineLevel="0" collapsed="false">
      <c r="A1364" s="21" t="s">
        <v>1633</v>
      </c>
      <c r="B1364" s="21" t="s">
        <v>1545</v>
      </c>
      <c r="C1364" s="21"/>
      <c r="D1364" s="37" t="s">
        <v>84</v>
      </c>
      <c r="E1364" s="37" t="s">
        <v>84</v>
      </c>
      <c r="F1364" s="37" t="s">
        <v>153</v>
      </c>
      <c r="G1364" s="21" t="s">
        <v>1548</v>
      </c>
      <c r="H1364" s="21" t="n">
        <v>0</v>
      </c>
      <c r="I1364" s="21" t="s">
        <v>137</v>
      </c>
    </row>
    <row r="1365" customFormat="false" ht="15" hidden="false" customHeight="false" outlineLevel="0" collapsed="false">
      <c r="A1365" s="21" t="s">
        <v>1634</v>
      </c>
      <c r="B1365" s="21" t="s">
        <v>1545</v>
      </c>
      <c r="C1365" s="21"/>
      <c r="D1365" s="37" t="s">
        <v>84</v>
      </c>
      <c r="E1365" s="37" t="s">
        <v>84</v>
      </c>
      <c r="F1365" s="37" t="s">
        <v>153</v>
      </c>
      <c r="G1365" s="21" t="s">
        <v>461</v>
      </c>
      <c r="H1365" s="21" t="n">
        <v>0</v>
      </c>
      <c r="I1365" s="21" t="s">
        <v>137</v>
      </c>
    </row>
    <row r="1366" customFormat="false" ht="15" hidden="false" customHeight="false" outlineLevel="0" collapsed="false">
      <c r="A1366" s="21" t="s">
        <v>1635</v>
      </c>
      <c r="B1366" s="21" t="s">
        <v>1554</v>
      </c>
      <c r="C1366" s="21"/>
      <c r="D1366" s="37" t="s">
        <v>84</v>
      </c>
      <c r="E1366" s="37" t="s">
        <v>84</v>
      </c>
      <c r="F1366" s="37" t="s">
        <v>153</v>
      </c>
      <c r="G1366" s="21" t="s">
        <v>1548</v>
      </c>
      <c r="H1366" s="21" t="n">
        <v>0</v>
      </c>
      <c r="I1366" s="21" t="s">
        <v>137</v>
      </c>
    </row>
    <row r="1367" customFormat="false" ht="15" hidden="false" customHeight="false" outlineLevel="0" collapsed="false">
      <c r="A1367" s="21" t="s">
        <v>1636</v>
      </c>
      <c r="B1367" s="21" t="s">
        <v>1545</v>
      </c>
      <c r="C1367" s="21"/>
      <c r="D1367" s="37" t="s">
        <v>84</v>
      </c>
      <c r="E1367" s="37" t="s">
        <v>84</v>
      </c>
      <c r="F1367" s="37" t="s">
        <v>153</v>
      </c>
      <c r="G1367" s="21" t="s">
        <v>1548</v>
      </c>
      <c r="H1367" s="21" t="n">
        <v>0</v>
      </c>
      <c r="I1367" s="21" t="s">
        <v>137</v>
      </c>
    </row>
    <row r="1368" customFormat="false" ht="15" hidden="false" customHeight="false" outlineLevel="0" collapsed="false">
      <c r="A1368" s="21" t="s">
        <v>1637</v>
      </c>
      <c r="B1368" s="21" t="s">
        <v>1545</v>
      </c>
      <c r="C1368" s="21"/>
      <c r="D1368" s="37" t="s">
        <v>84</v>
      </c>
      <c r="E1368" s="37" t="s">
        <v>84</v>
      </c>
      <c r="F1368" s="37" t="s">
        <v>153</v>
      </c>
      <c r="G1368" s="21" t="s">
        <v>1548</v>
      </c>
      <c r="H1368" s="21" t="n">
        <v>0</v>
      </c>
      <c r="I1368" s="21" t="s">
        <v>137</v>
      </c>
    </row>
    <row r="1369" customFormat="false" ht="15" hidden="false" customHeight="false" outlineLevel="0" collapsed="false">
      <c r="A1369" s="21" t="s">
        <v>1638</v>
      </c>
      <c r="B1369" s="21" t="s">
        <v>1554</v>
      </c>
      <c r="C1369" s="21"/>
      <c r="D1369" s="37" t="s">
        <v>84</v>
      </c>
      <c r="E1369" s="37" t="s">
        <v>84</v>
      </c>
      <c r="F1369" s="37" t="s">
        <v>153</v>
      </c>
      <c r="G1369" s="21" t="s">
        <v>1548</v>
      </c>
      <c r="H1369" s="21" t="n">
        <v>0</v>
      </c>
      <c r="I1369" s="21" t="s">
        <v>137</v>
      </c>
    </row>
    <row r="1370" customFormat="false" ht="15" hidden="false" customHeight="false" outlineLevel="0" collapsed="false">
      <c r="A1370" s="21" t="s">
        <v>1639</v>
      </c>
      <c r="B1370" s="21" t="s">
        <v>1545</v>
      </c>
      <c r="C1370" s="21"/>
      <c r="D1370" s="37" t="s">
        <v>84</v>
      </c>
      <c r="E1370" s="37" t="s">
        <v>84</v>
      </c>
      <c r="F1370" s="37" t="s">
        <v>153</v>
      </c>
      <c r="G1370" s="21" t="s">
        <v>1548</v>
      </c>
      <c r="H1370" s="21" t="n">
        <v>0</v>
      </c>
      <c r="I1370" s="21" t="s">
        <v>137</v>
      </c>
    </row>
    <row r="1371" customFormat="false" ht="15" hidden="false" customHeight="false" outlineLevel="0" collapsed="false">
      <c r="A1371" s="21" t="s">
        <v>1640</v>
      </c>
      <c r="B1371" s="21" t="s">
        <v>1545</v>
      </c>
      <c r="C1371" s="21"/>
      <c r="D1371" s="37" t="s">
        <v>84</v>
      </c>
      <c r="E1371" s="37" t="s">
        <v>84</v>
      </c>
      <c r="F1371" s="37" t="s">
        <v>153</v>
      </c>
      <c r="G1371" s="21" t="s">
        <v>1548</v>
      </c>
      <c r="H1371" s="21" t="n">
        <v>0</v>
      </c>
      <c r="I1371" s="21" t="s">
        <v>137</v>
      </c>
    </row>
    <row r="1372" customFormat="false" ht="15" hidden="false" customHeight="false" outlineLevel="0" collapsed="false">
      <c r="A1372" s="21" t="s">
        <v>1641</v>
      </c>
      <c r="B1372" s="21" t="s">
        <v>1545</v>
      </c>
      <c r="C1372" s="21"/>
      <c r="D1372" s="37" t="s">
        <v>84</v>
      </c>
      <c r="E1372" s="37" t="s">
        <v>84</v>
      </c>
      <c r="F1372" s="37" t="s">
        <v>153</v>
      </c>
      <c r="G1372" s="21" t="s">
        <v>1548</v>
      </c>
      <c r="H1372" s="21" t="n">
        <v>0</v>
      </c>
      <c r="I1372" s="21" t="s">
        <v>137</v>
      </c>
    </row>
    <row r="1373" customFormat="false" ht="15" hidden="false" customHeight="false" outlineLevel="0" collapsed="false">
      <c r="A1373" s="21" t="s">
        <v>1642</v>
      </c>
      <c r="B1373" s="21" t="s">
        <v>1545</v>
      </c>
      <c r="C1373" s="21"/>
      <c r="D1373" s="37" t="s">
        <v>84</v>
      </c>
      <c r="E1373" s="37" t="s">
        <v>84</v>
      </c>
      <c r="F1373" s="37" t="s">
        <v>153</v>
      </c>
      <c r="G1373" s="21" t="s">
        <v>1548</v>
      </c>
      <c r="H1373" s="21" t="n">
        <v>0</v>
      </c>
      <c r="I1373" s="21" t="s">
        <v>137</v>
      </c>
    </row>
    <row r="1374" customFormat="false" ht="15" hidden="false" customHeight="false" outlineLevel="0" collapsed="false">
      <c r="A1374" s="21" t="s">
        <v>1643</v>
      </c>
      <c r="B1374" s="21" t="s">
        <v>1545</v>
      </c>
      <c r="C1374" s="21"/>
      <c r="D1374" s="37" t="s">
        <v>84</v>
      </c>
      <c r="E1374" s="37" t="s">
        <v>84</v>
      </c>
      <c r="F1374" s="37" t="s">
        <v>153</v>
      </c>
      <c r="G1374" s="21" t="s">
        <v>461</v>
      </c>
      <c r="H1374" s="21" t="n">
        <v>0</v>
      </c>
      <c r="I1374" s="21" t="s">
        <v>137</v>
      </c>
    </row>
    <row r="1375" customFormat="false" ht="15" hidden="false" customHeight="false" outlineLevel="0" collapsed="false">
      <c r="A1375" s="21" t="s">
        <v>1644</v>
      </c>
      <c r="B1375" s="21" t="s">
        <v>1545</v>
      </c>
      <c r="C1375" s="21"/>
      <c r="D1375" s="37" t="s">
        <v>84</v>
      </c>
      <c r="E1375" s="37" t="s">
        <v>84</v>
      </c>
      <c r="F1375" s="37" t="s">
        <v>153</v>
      </c>
      <c r="G1375" s="21" t="s">
        <v>1548</v>
      </c>
      <c r="H1375" s="21" t="n">
        <v>0</v>
      </c>
      <c r="I1375" s="21" t="s">
        <v>137</v>
      </c>
    </row>
    <row r="1376" customFormat="false" ht="15" hidden="false" customHeight="false" outlineLevel="0" collapsed="false">
      <c r="A1376" s="21" t="s">
        <v>1645</v>
      </c>
      <c r="B1376" s="21" t="s">
        <v>1545</v>
      </c>
      <c r="C1376" s="21"/>
      <c r="D1376" s="37" t="s">
        <v>84</v>
      </c>
      <c r="E1376" s="37" t="s">
        <v>84</v>
      </c>
      <c r="F1376" s="37" t="s">
        <v>153</v>
      </c>
      <c r="G1376" s="21" t="s">
        <v>1548</v>
      </c>
      <c r="H1376" s="21" t="n">
        <v>0</v>
      </c>
      <c r="I1376" s="21" t="s">
        <v>137</v>
      </c>
    </row>
    <row r="1377" customFormat="false" ht="15" hidden="false" customHeight="false" outlineLevel="0" collapsed="false">
      <c r="A1377" s="21" t="s">
        <v>1646</v>
      </c>
      <c r="B1377" s="21" t="s">
        <v>1545</v>
      </c>
      <c r="C1377" s="21"/>
      <c r="D1377" s="37" t="s">
        <v>84</v>
      </c>
      <c r="E1377" s="37" t="s">
        <v>84</v>
      </c>
      <c r="F1377" s="37" t="s">
        <v>153</v>
      </c>
      <c r="G1377" s="21" t="s">
        <v>1548</v>
      </c>
      <c r="H1377" s="21" t="n">
        <v>0</v>
      </c>
      <c r="I1377" s="21" t="s">
        <v>137</v>
      </c>
    </row>
    <row r="1378" customFormat="false" ht="15" hidden="false" customHeight="false" outlineLevel="0" collapsed="false">
      <c r="A1378" s="21" t="s">
        <v>1647</v>
      </c>
      <c r="B1378" s="21" t="s">
        <v>1545</v>
      </c>
      <c r="C1378" s="21"/>
      <c r="D1378" s="37" t="s">
        <v>84</v>
      </c>
      <c r="E1378" s="37" t="s">
        <v>84</v>
      </c>
      <c r="F1378" s="37" t="s">
        <v>153</v>
      </c>
      <c r="G1378" s="21" t="s">
        <v>1548</v>
      </c>
      <c r="H1378" s="21" t="n">
        <v>0</v>
      </c>
      <c r="I1378" s="21" t="s">
        <v>137</v>
      </c>
    </row>
    <row r="1379" customFormat="false" ht="15" hidden="false" customHeight="false" outlineLevel="0" collapsed="false">
      <c r="A1379" s="21" t="s">
        <v>1648</v>
      </c>
      <c r="B1379" s="21" t="s">
        <v>1545</v>
      </c>
      <c r="C1379" s="21"/>
      <c r="D1379" s="37" t="s">
        <v>84</v>
      </c>
      <c r="E1379" s="37" t="s">
        <v>84</v>
      </c>
      <c r="F1379" s="37" t="s">
        <v>153</v>
      </c>
      <c r="G1379" s="21" t="s">
        <v>461</v>
      </c>
      <c r="H1379" s="21" t="n">
        <v>0</v>
      </c>
      <c r="I1379" s="21" t="s">
        <v>137</v>
      </c>
    </row>
    <row r="1380" customFormat="false" ht="15" hidden="false" customHeight="false" outlineLevel="0" collapsed="false">
      <c r="A1380" s="21" t="s">
        <v>1649</v>
      </c>
      <c r="B1380" s="21" t="s">
        <v>1545</v>
      </c>
      <c r="C1380" s="21"/>
      <c r="D1380" s="37" t="s">
        <v>84</v>
      </c>
      <c r="E1380" s="37" t="s">
        <v>84</v>
      </c>
      <c r="F1380" s="37" t="s">
        <v>153</v>
      </c>
      <c r="G1380" s="21" t="s">
        <v>1548</v>
      </c>
      <c r="H1380" s="21" t="n">
        <v>0</v>
      </c>
      <c r="I1380" s="21" t="s">
        <v>137</v>
      </c>
    </row>
    <row r="1381" customFormat="false" ht="15" hidden="false" customHeight="false" outlineLevel="0" collapsed="false">
      <c r="A1381" s="21" t="s">
        <v>1650</v>
      </c>
      <c r="B1381" s="21" t="s">
        <v>1545</v>
      </c>
      <c r="C1381" s="21"/>
      <c r="D1381" s="37" t="s">
        <v>84</v>
      </c>
      <c r="E1381" s="37" t="s">
        <v>84</v>
      </c>
      <c r="F1381" s="37" t="s">
        <v>153</v>
      </c>
      <c r="G1381" s="21" t="s">
        <v>1548</v>
      </c>
      <c r="H1381" s="21" t="n">
        <v>0</v>
      </c>
      <c r="I1381" s="21" t="s">
        <v>137</v>
      </c>
    </row>
    <row r="1382" customFormat="false" ht="15" hidden="false" customHeight="false" outlineLevel="0" collapsed="false">
      <c r="A1382" s="21" t="s">
        <v>1651</v>
      </c>
      <c r="B1382" s="21" t="s">
        <v>1545</v>
      </c>
      <c r="C1382" s="21"/>
      <c r="D1382" s="37" t="s">
        <v>84</v>
      </c>
      <c r="E1382" s="37" t="s">
        <v>84</v>
      </c>
      <c r="F1382" s="37" t="s">
        <v>153</v>
      </c>
      <c r="G1382" s="21" t="s">
        <v>461</v>
      </c>
      <c r="H1382" s="21" t="n">
        <v>0</v>
      </c>
      <c r="I1382" s="21" t="s">
        <v>137</v>
      </c>
    </row>
    <row r="1383" customFormat="false" ht="15" hidden="false" customHeight="false" outlineLevel="0" collapsed="false">
      <c r="A1383" s="21" t="s">
        <v>1652</v>
      </c>
      <c r="B1383" s="21" t="s">
        <v>1545</v>
      </c>
      <c r="C1383" s="21"/>
      <c r="D1383" s="37" t="s">
        <v>84</v>
      </c>
      <c r="E1383" s="37" t="s">
        <v>84</v>
      </c>
      <c r="F1383" s="37" t="s">
        <v>153</v>
      </c>
      <c r="G1383" s="21" t="s">
        <v>1548</v>
      </c>
      <c r="H1383" s="21" t="n">
        <v>0</v>
      </c>
      <c r="I1383" s="21" t="s">
        <v>137</v>
      </c>
    </row>
    <row r="1384" customFormat="false" ht="15" hidden="false" customHeight="false" outlineLevel="0" collapsed="false">
      <c r="A1384" s="21" t="s">
        <v>1653</v>
      </c>
      <c r="B1384" s="21" t="s">
        <v>1545</v>
      </c>
      <c r="C1384" s="21"/>
      <c r="D1384" s="37" t="s">
        <v>84</v>
      </c>
      <c r="E1384" s="37" t="s">
        <v>84</v>
      </c>
      <c r="F1384" s="37" t="s">
        <v>153</v>
      </c>
      <c r="G1384" s="21" t="s">
        <v>461</v>
      </c>
      <c r="H1384" s="21" t="n">
        <v>0</v>
      </c>
      <c r="I1384" s="21" t="s">
        <v>137</v>
      </c>
    </row>
    <row r="1385" customFormat="false" ht="15" hidden="false" customHeight="false" outlineLevel="0" collapsed="false">
      <c r="A1385" s="21" t="s">
        <v>1654</v>
      </c>
      <c r="B1385" s="21" t="s">
        <v>1545</v>
      </c>
      <c r="C1385" s="21"/>
      <c r="D1385" s="37" t="s">
        <v>84</v>
      </c>
      <c r="E1385" s="37" t="s">
        <v>84</v>
      </c>
      <c r="F1385" s="37" t="s">
        <v>153</v>
      </c>
      <c r="G1385" s="21" t="s">
        <v>461</v>
      </c>
      <c r="H1385" s="21" t="n">
        <v>0</v>
      </c>
      <c r="I1385" s="21" t="s">
        <v>137</v>
      </c>
    </row>
    <row r="1386" customFormat="false" ht="15" hidden="false" customHeight="false" outlineLevel="0" collapsed="false">
      <c r="A1386" s="21" t="s">
        <v>1655</v>
      </c>
      <c r="B1386" s="21" t="s">
        <v>1545</v>
      </c>
      <c r="C1386" s="21"/>
      <c r="D1386" s="37" t="s">
        <v>84</v>
      </c>
      <c r="E1386" s="37" t="s">
        <v>84</v>
      </c>
      <c r="F1386" s="37" t="s">
        <v>153</v>
      </c>
      <c r="G1386" s="21" t="s">
        <v>1548</v>
      </c>
      <c r="H1386" s="21" t="n">
        <v>0</v>
      </c>
      <c r="I1386" s="21" t="s">
        <v>137</v>
      </c>
    </row>
    <row r="1387" customFormat="false" ht="15" hidden="false" customHeight="false" outlineLevel="0" collapsed="false">
      <c r="A1387" s="21" t="s">
        <v>1656</v>
      </c>
      <c r="B1387" s="21" t="s">
        <v>1545</v>
      </c>
      <c r="C1387" s="21"/>
      <c r="D1387" s="37" t="s">
        <v>84</v>
      </c>
      <c r="E1387" s="37" t="s">
        <v>84</v>
      </c>
      <c r="F1387" s="37" t="s">
        <v>153</v>
      </c>
      <c r="G1387" s="21" t="s">
        <v>1548</v>
      </c>
      <c r="H1387" s="21" t="n">
        <v>0</v>
      </c>
      <c r="I1387" s="21" t="s">
        <v>137</v>
      </c>
    </row>
    <row r="1388" customFormat="false" ht="15" hidden="false" customHeight="false" outlineLevel="0" collapsed="false">
      <c r="A1388" s="21" t="s">
        <v>1657</v>
      </c>
      <c r="B1388" s="21" t="s">
        <v>1545</v>
      </c>
      <c r="C1388" s="21"/>
      <c r="D1388" s="37" t="s">
        <v>84</v>
      </c>
      <c r="E1388" s="37" t="s">
        <v>84</v>
      </c>
      <c r="F1388" s="37" t="s">
        <v>153</v>
      </c>
      <c r="G1388" s="21" t="s">
        <v>1548</v>
      </c>
      <c r="H1388" s="21" t="n">
        <v>0</v>
      </c>
      <c r="I1388" s="21" t="s">
        <v>137</v>
      </c>
    </row>
    <row r="1389" customFormat="false" ht="15" hidden="false" customHeight="false" outlineLevel="0" collapsed="false">
      <c r="A1389" s="21" t="s">
        <v>1658</v>
      </c>
      <c r="B1389" s="21" t="s">
        <v>1545</v>
      </c>
      <c r="C1389" s="21"/>
      <c r="D1389" s="37" t="s">
        <v>84</v>
      </c>
      <c r="E1389" s="37" t="s">
        <v>84</v>
      </c>
      <c r="F1389" s="37" t="s">
        <v>153</v>
      </c>
      <c r="G1389" s="21" t="s">
        <v>1548</v>
      </c>
      <c r="H1389" s="21" t="n">
        <v>0</v>
      </c>
      <c r="I1389" s="21" t="s">
        <v>137</v>
      </c>
    </row>
    <row r="1390" customFormat="false" ht="15" hidden="false" customHeight="false" outlineLevel="0" collapsed="false">
      <c r="A1390" s="21" t="s">
        <v>1659</v>
      </c>
      <c r="B1390" s="21" t="s">
        <v>1554</v>
      </c>
      <c r="C1390" s="21"/>
      <c r="D1390" s="37" t="s">
        <v>84</v>
      </c>
      <c r="E1390" s="37" t="s">
        <v>84</v>
      </c>
      <c r="F1390" s="37" t="s">
        <v>153</v>
      </c>
      <c r="G1390" s="21" t="s">
        <v>1548</v>
      </c>
      <c r="H1390" s="21" t="n">
        <v>0</v>
      </c>
      <c r="I1390" s="21" t="s">
        <v>137</v>
      </c>
    </row>
    <row r="1391" customFormat="false" ht="15" hidden="false" customHeight="false" outlineLevel="0" collapsed="false">
      <c r="A1391" s="21" t="s">
        <v>1660</v>
      </c>
      <c r="B1391" s="21" t="s">
        <v>1545</v>
      </c>
      <c r="C1391" s="21"/>
      <c r="D1391" s="37" t="s">
        <v>84</v>
      </c>
      <c r="E1391" s="37" t="s">
        <v>84</v>
      </c>
      <c r="F1391" s="37" t="s">
        <v>153</v>
      </c>
      <c r="G1391" s="21" t="s">
        <v>1548</v>
      </c>
      <c r="H1391" s="21" t="n">
        <v>0</v>
      </c>
      <c r="I1391" s="21" t="s">
        <v>137</v>
      </c>
    </row>
    <row r="1392" customFormat="false" ht="15" hidden="false" customHeight="false" outlineLevel="0" collapsed="false">
      <c r="A1392" s="21" t="s">
        <v>1661</v>
      </c>
      <c r="B1392" s="21" t="s">
        <v>1545</v>
      </c>
      <c r="C1392" s="21"/>
      <c r="D1392" s="37" t="s">
        <v>84</v>
      </c>
      <c r="E1392" s="37" t="s">
        <v>84</v>
      </c>
      <c r="F1392" s="37" t="s">
        <v>153</v>
      </c>
      <c r="G1392" s="21" t="s">
        <v>1548</v>
      </c>
      <c r="H1392" s="21" t="n">
        <v>0</v>
      </c>
      <c r="I1392" s="21" t="s">
        <v>137</v>
      </c>
    </row>
    <row r="1393" customFormat="false" ht="15" hidden="false" customHeight="false" outlineLevel="0" collapsed="false">
      <c r="A1393" s="21" t="s">
        <v>1662</v>
      </c>
      <c r="B1393" s="21" t="s">
        <v>1545</v>
      </c>
      <c r="C1393" s="21"/>
      <c r="D1393" s="37" t="s">
        <v>84</v>
      </c>
      <c r="E1393" s="37" t="s">
        <v>84</v>
      </c>
      <c r="F1393" s="37" t="s">
        <v>153</v>
      </c>
      <c r="G1393" s="21" t="s">
        <v>1548</v>
      </c>
      <c r="H1393" s="21" t="n">
        <v>0</v>
      </c>
      <c r="I1393" s="21" t="s">
        <v>137</v>
      </c>
    </row>
    <row r="1394" customFormat="false" ht="15" hidden="false" customHeight="false" outlineLevel="0" collapsed="false">
      <c r="A1394" s="21" t="s">
        <v>1663</v>
      </c>
      <c r="B1394" s="21" t="s">
        <v>1545</v>
      </c>
      <c r="C1394" s="21"/>
      <c r="D1394" s="37" t="s">
        <v>84</v>
      </c>
      <c r="E1394" s="37" t="s">
        <v>84</v>
      </c>
      <c r="F1394" s="37" t="s">
        <v>153</v>
      </c>
      <c r="G1394" s="21" t="s">
        <v>1548</v>
      </c>
      <c r="H1394" s="21" t="n">
        <v>0</v>
      </c>
      <c r="I1394" s="21" t="s">
        <v>137</v>
      </c>
    </row>
    <row r="1395" customFormat="false" ht="15" hidden="false" customHeight="false" outlineLevel="0" collapsed="false">
      <c r="A1395" s="21" t="s">
        <v>1664</v>
      </c>
      <c r="B1395" s="21" t="s">
        <v>1545</v>
      </c>
      <c r="C1395" s="21"/>
      <c r="D1395" s="37" t="s">
        <v>84</v>
      </c>
      <c r="E1395" s="37" t="s">
        <v>84</v>
      </c>
      <c r="F1395" s="37" t="s">
        <v>153</v>
      </c>
      <c r="G1395" s="21" t="s">
        <v>461</v>
      </c>
      <c r="H1395" s="21" t="n">
        <v>0</v>
      </c>
      <c r="I1395" s="21" t="s">
        <v>137</v>
      </c>
    </row>
    <row r="1396" customFormat="false" ht="15" hidden="false" customHeight="false" outlineLevel="0" collapsed="false">
      <c r="A1396" s="21" t="s">
        <v>1665</v>
      </c>
      <c r="B1396" s="21" t="s">
        <v>1545</v>
      </c>
      <c r="C1396" s="21"/>
      <c r="D1396" s="37" t="s">
        <v>84</v>
      </c>
      <c r="E1396" s="37" t="s">
        <v>84</v>
      </c>
      <c r="F1396" s="37" t="s">
        <v>153</v>
      </c>
      <c r="G1396" s="21" t="s">
        <v>1548</v>
      </c>
      <c r="H1396" s="21" t="n">
        <v>0</v>
      </c>
      <c r="I1396" s="21" t="s">
        <v>137</v>
      </c>
    </row>
    <row r="1397" customFormat="false" ht="15" hidden="false" customHeight="false" outlineLevel="0" collapsed="false">
      <c r="A1397" s="21" t="s">
        <v>1666</v>
      </c>
      <c r="B1397" s="21" t="s">
        <v>1545</v>
      </c>
      <c r="C1397" s="21"/>
      <c r="D1397" s="37" t="s">
        <v>84</v>
      </c>
      <c r="E1397" s="37" t="s">
        <v>84</v>
      </c>
      <c r="F1397" s="37" t="s">
        <v>153</v>
      </c>
      <c r="G1397" s="21" t="s">
        <v>461</v>
      </c>
      <c r="H1397" s="21" t="n">
        <v>0</v>
      </c>
      <c r="I1397" s="21" t="s">
        <v>137</v>
      </c>
    </row>
    <row r="1398" customFormat="false" ht="15" hidden="false" customHeight="false" outlineLevel="0" collapsed="false">
      <c r="A1398" s="21" t="s">
        <v>1667</v>
      </c>
      <c r="B1398" s="21" t="s">
        <v>1554</v>
      </c>
      <c r="C1398" s="21"/>
      <c r="D1398" s="37" t="s">
        <v>84</v>
      </c>
      <c r="E1398" s="37" t="s">
        <v>84</v>
      </c>
      <c r="F1398" s="37" t="s">
        <v>153</v>
      </c>
      <c r="G1398" s="21" t="s">
        <v>1548</v>
      </c>
      <c r="H1398" s="21" t="n">
        <v>0</v>
      </c>
      <c r="I1398" s="21" t="s">
        <v>137</v>
      </c>
    </row>
    <row r="1399" customFormat="false" ht="15" hidden="false" customHeight="false" outlineLevel="0" collapsed="false">
      <c r="A1399" s="21" t="s">
        <v>1668</v>
      </c>
      <c r="B1399" s="21" t="s">
        <v>1545</v>
      </c>
      <c r="C1399" s="21"/>
      <c r="D1399" s="37" t="s">
        <v>84</v>
      </c>
      <c r="E1399" s="37" t="s">
        <v>84</v>
      </c>
      <c r="F1399" s="37" t="s">
        <v>153</v>
      </c>
      <c r="G1399" s="21" t="s">
        <v>461</v>
      </c>
      <c r="H1399" s="21" t="n">
        <v>0</v>
      </c>
      <c r="I1399" s="21" t="s">
        <v>137</v>
      </c>
    </row>
    <row r="1400" customFormat="false" ht="15" hidden="false" customHeight="false" outlineLevel="0" collapsed="false">
      <c r="A1400" s="21" t="s">
        <v>1669</v>
      </c>
      <c r="B1400" s="21" t="s">
        <v>1545</v>
      </c>
      <c r="C1400" s="21"/>
      <c r="D1400" s="37" t="s">
        <v>84</v>
      </c>
      <c r="E1400" s="37" t="s">
        <v>84</v>
      </c>
      <c r="F1400" s="37" t="s">
        <v>153</v>
      </c>
      <c r="G1400" s="21" t="s">
        <v>461</v>
      </c>
      <c r="H1400" s="21" t="n">
        <v>0</v>
      </c>
      <c r="I1400" s="21" t="s">
        <v>137</v>
      </c>
    </row>
    <row r="1401" customFormat="false" ht="15" hidden="false" customHeight="false" outlineLevel="0" collapsed="false">
      <c r="A1401" s="21" t="s">
        <v>1670</v>
      </c>
      <c r="B1401" s="21" t="s">
        <v>1545</v>
      </c>
      <c r="C1401" s="21"/>
      <c r="D1401" s="37" t="s">
        <v>84</v>
      </c>
      <c r="E1401" s="37" t="s">
        <v>84</v>
      </c>
      <c r="F1401" s="37" t="s">
        <v>153</v>
      </c>
      <c r="G1401" s="21" t="s">
        <v>1548</v>
      </c>
      <c r="H1401" s="21" t="n">
        <v>0</v>
      </c>
      <c r="I1401" s="21" t="s">
        <v>137</v>
      </c>
    </row>
    <row r="1402" customFormat="false" ht="15" hidden="false" customHeight="false" outlineLevel="0" collapsed="false">
      <c r="A1402" s="21" t="s">
        <v>1671</v>
      </c>
      <c r="B1402" s="21" t="s">
        <v>1545</v>
      </c>
      <c r="C1402" s="21"/>
      <c r="D1402" s="37" t="s">
        <v>84</v>
      </c>
      <c r="E1402" s="37" t="s">
        <v>84</v>
      </c>
      <c r="F1402" s="37" t="s">
        <v>153</v>
      </c>
      <c r="G1402" s="21" t="s">
        <v>461</v>
      </c>
      <c r="H1402" s="21" t="n">
        <v>0</v>
      </c>
      <c r="I1402" s="21" t="s">
        <v>137</v>
      </c>
    </row>
    <row r="1403" customFormat="false" ht="15" hidden="false" customHeight="false" outlineLevel="0" collapsed="false">
      <c r="A1403" s="21" t="s">
        <v>1672</v>
      </c>
      <c r="B1403" s="21" t="s">
        <v>1545</v>
      </c>
      <c r="C1403" s="21"/>
      <c r="D1403" s="37" t="s">
        <v>84</v>
      </c>
      <c r="E1403" s="37" t="s">
        <v>84</v>
      </c>
      <c r="F1403" s="37" t="s">
        <v>153</v>
      </c>
      <c r="G1403" s="21" t="s">
        <v>1548</v>
      </c>
      <c r="H1403" s="21" t="n">
        <v>0</v>
      </c>
      <c r="I1403" s="21" t="s">
        <v>137</v>
      </c>
    </row>
    <row r="1404" customFormat="false" ht="15" hidden="false" customHeight="false" outlineLevel="0" collapsed="false">
      <c r="A1404" s="21" t="s">
        <v>1673</v>
      </c>
      <c r="B1404" s="21" t="s">
        <v>1545</v>
      </c>
      <c r="C1404" s="21"/>
      <c r="D1404" s="37" t="s">
        <v>84</v>
      </c>
      <c r="E1404" s="37" t="s">
        <v>84</v>
      </c>
      <c r="F1404" s="37" t="s">
        <v>153</v>
      </c>
      <c r="G1404" s="21" t="s">
        <v>1548</v>
      </c>
      <c r="H1404" s="21" t="n">
        <v>0</v>
      </c>
      <c r="I1404" s="21" t="s">
        <v>137</v>
      </c>
    </row>
    <row r="1405" customFormat="false" ht="15" hidden="false" customHeight="false" outlineLevel="0" collapsed="false">
      <c r="A1405" s="21" t="s">
        <v>1674</v>
      </c>
      <c r="B1405" s="21" t="s">
        <v>1545</v>
      </c>
      <c r="C1405" s="21"/>
      <c r="D1405" s="37" t="s">
        <v>84</v>
      </c>
      <c r="E1405" s="37" t="s">
        <v>84</v>
      </c>
      <c r="F1405" s="37" t="s">
        <v>153</v>
      </c>
      <c r="G1405" s="21" t="s">
        <v>1548</v>
      </c>
      <c r="H1405" s="21" t="n">
        <v>0</v>
      </c>
      <c r="I1405" s="21" t="s">
        <v>137</v>
      </c>
    </row>
    <row r="1406" customFormat="false" ht="15" hidden="false" customHeight="false" outlineLevel="0" collapsed="false">
      <c r="A1406" s="21" t="s">
        <v>1675</v>
      </c>
      <c r="B1406" s="21" t="s">
        <v>1545</v>
      </c>
      <c r="C1406" s="21"/>
      <c r="D1406" s="37" t="s">
        <v>84</v>
      </c>
      <c r="E1406" s="37" t="s">
        <v>84</v>
      </c>
      <c r="F1406" s="37" t="s">
        <v>153</v>
      </c>
      <c r="G1406" s="21" t="s">
        <v>461</v>
      </c>
      <c r="H1406" s="21" t="n">
        <v>0</v>
      </c>
      <c r="I1406" s="21" t="s">
        <v>137</v>
      </c>
    </row>
    <row r="1407" customFormat="false" ht="15" hidden="false" customHeight="false" outlineLevel="0" collapsed="false">
      <c r="A1407" s="21" t="s">
        <v>1676</v>
      </c>
      <c r="B1407" s="21" t="s">
        <v>1545</v>
      </c>
      <c r="C1407" s="21"/>
      <c r="D1407" s="37" t="s">
        <v>84</v>
      </c>
      <c r="E1407" s="37" t="s">
        <v>84</v>
      </c>
      <c r="F1407" s="37" t="s">
        <v>153</v>
      </c>
      <c r="G1407" s="21" t="s">
        <v>461</v>
      </c>
      <c r="H1407" s="21" t="n">
        <v>0</v>
      </c>
      <c r="I1407" s="21" t="s">
        <v>137</v>
      </c>
    </row>
    <row r="1408" customFormat="false" ht="15" hidden="false" customHeight="false" outlineLevel="0" collapsed="false">
      <c r="A1408" s="21" t="s">
        <v>1677</v>
      </c>
      <c r="B1408" s="21" t="s">
        <v>1545</v>
      </c>
      <c r="C1408" s="21"/>
      <c r="D1408" s="37" t="s">
        <v>84</v>
      </c>
      <c r="E1408" s="37" t="s">
        <v>84</v>
      </c>
      <c r="F1408" s="37" t="s">
        <v>153</v>
      </c>
      <c r="G1408" s="21" t="s">
        <v>1548</v>
      </c>
      <c r="H1408" s="21" t="n">
        <v>0</v>
      </c>
      <c r="I1408" s="21" t="s">
        <v>137</v>
      </c>
    </row>
    <row r="1409" customFormat="false" ht="15" hidden="false" customHeight="false" outlineLevel="0" collapsed="false">
      <c r="A1409" s="21" t="s">
        <v>1678</v>
      </c>
      <c r="B1409" s="21" t="s">
        <v>1545</v>
      </c>
      <c r="C1409" s="21"/>
      <c r="D1409" s="37" t="s">
        <v>84</v>
      </c>
      <c r="E1409" s="37" t="s">
        <v>84</v>
      </c>
      <c r="F1409" s="37" t="s">
        <v>153</v>
      </c>
      <c r="G1409" s="21" t="s">
        <v>461</v>
      </c>
      <c r="H1409" s="21" t="n">
        <v>0</v>
      </c>
      <c r="I1409" s="21" t="s">
        <v>137</v>
      </c>
    </row>
    <row r="1410" customFormat="false" ht="15" hidden="false" customHeight="false" outlineLevel="0" collapsed="false">
      <c r="A1410" s="21" t="s">
        <v>1679</v>
      </c>
      <c r="B1410" s="21" t="s">
        <v>1552</v>
      </c>
      <c r="C1410" s="21"/>
      <c r="D1410" s="37" t="s">
        <v>84</v>
      </c>
      <c r="E1410" s="37" t="s">
        <v>84</v>
      </c>
      <c r="F1410" s="37" t="s">
        <v>153</v>
      </c>
      <c r="G1410" s="21" t="s">
        <v>461</v>
      </c>
      <c r="H1410" s="21" t="n">
        <v>0</v>
      </c>
      <c r="I1410" s="21" t="s">
        <v>137</v>
      </c>
    </row>
    <row r="1411" customFormat="false" ht="15" hidden="false" customHeight="false" outlineLevel="0" collapsed="false">
      <c r="A1411" s="21" t="s">
        <v>1680</v>
      </c>
      <c r="B1411" s="21" t="s">
        <v>1545</v>
      </c>
      <c r="C1411" s="21"/>
      <c r="D1411" s="37" t="s">
        <v>84</v>
      </c>
      <c r="E1411" s="37" t="s">
        <v>84</v>
      </c>
      <c r="F1411" s="37" t="s">
        <v>153</v>
      </c>
      <c r="G1411" s="21" t="s">
        <v>461</v>
      </c>
      <c r="H1411" s="21" t="n">
        <v>0</v>
      </c>
      <c r="I1411" s="21" t="s">
        <v>137</v>
      </c>
    </row>
    <row r="1412" customFormat="false" ht="15" hidden="false" customHeight="false" outlineLevel="0" collapsed="false">
      <c r="A1412" s="21" t="s">
        <v>1681</v>
      </c>
      <c r="B1412" s="21" t="s">
        <v>1545</v>
      </c>
      <c r="C1412" s="21"/>
      <c r="D1412" s="37" t="s">
        <v>84</v>
      </c>
      <c r="E1412" s="37" t="s">
        <v>84</v>
      </c>
      <c r="F1412" s="37" t="s">
        <v>153</v>
      </c>
      <c r="G1412" s="21" t="s">
        <v>1548</v>
      </c>
      <c r="H1412" s="21" t="n">
        <v>0</v>
      </c>
      <c r="I1412" s="21" t="s">
        <v>137</v>
      </c>
    </row>
    <row r="1413" customFormat="false" ht="15" hidden="false" customHeight="false" outlineLevel="0" collapsed="false">
      <c r="A1413" s="21" t="s">
        <v>1682</v>
      </c>
      <c r="B1413" s="21" t="s">
        <v>1545</v>
      </c>
      <c r="C1413" s="21"/>
      <c r="D1413" s="37" t="s">
        <v>84</v>
      </c>
      <c r="E1413" s="37" t="s">
        <v>84</v>
      </c>
      <c r="F1413" s="37" t="s">
        <v>153</v>
      </c>
      <c r="G1413" s="21" t="s">
        <v>1548</v>
      </c>
      <c r="H1413" s="21" t="n">
        <v>0</v>
      </c>
      <c r="I1413" s="21" t="s">
        <v>137</v>
      </c>
    </row>
    <row r="1414" customFormat="false" ht="15" hidden="false" customHeight="false" outlineLevel="0" collapsed="false">
      <c r="A1414" s="21" t="s">
        <v>1683</v>
      </c>
      <c r="B1414" s="21" t="s">
        <v>1545</v>
      </c>
      <c r="C1414" s="21"/>
      <c r="D1414" s="37" t="s">
        <v>84</v>
      </c>
      <c r="E1414" s="37" t="s">
        <v>84</v>
      </c>
      <c r="F1414" s="37" t="s">
        <v>153</v>
      </c>
      <c r="G1414" s="21" t="s">
        <v>1548</v>
      </c>
      <c r="H1414" s="21" t="n">
        <v>0</v>
      </c>
      <c r="I1414" s="21" t="s">
        <v>137</v>
      </c>
    </row>
    <row r="1415" customFormat="false" ht="15" hidden="false" customHeight="false" outlineLevel="0" collapsed="false">
      <c r="A1415" s="21" t="s">
        <v>1684</v>
      </c>
      <c r="B1415" s="21" t="s">
        <v>1545</v>
      </c>
      <c r="C1415" s="21"/>
      <c r="D1415" s="37" t="s">
        <v>84</v>
      </c>
      <c r="E1415" s="37" t="s">
        <v>84</v>
      </c>
      <c r="F1415" s="37" t="s">
        <v>153</v>
      </c>
      <c r="G1415" s="21" t="s">
        <v>1548</v>
      </c>
      <c r="H1415" s="21" t="n">
        <v>0</v>
      </c>
      <c r="I1415" s="21" t="s">
        <v>137</v>
      </c>
    </row>
    <row r="1416" customFormat="false" ht="15" hidden="false" customHeight="false" outlineLevel="0" collapsed="false">
      <c r="A1416" s="21" t="s">
        <v>1685</v>
      </c>
      <c r="B1416" s="21" t="s">
        <v>1545</v>
      </c>
      <c r="C1416" s="21"/>
      <c r="D1416" s="37" t="s">
        <v>84</v>
      </c>
      <c r="E1416" s="37" t="s">
        <v>84</v>
      </c>
      <c r="F1416" s="37" t="s">
        <v>153</v>
      </c>
      <c r="G1416" s="21" t="s">
        <v>461</v>
      </c>
      <c r="H1416" s="21" t="n">
        <v>0</v>
      </c>
      <c r="I1416" s="21" t="s">
        <v>137</v>
      </c>
    </row>
    <row r="1417" customFormat="false" ht="15" hidden="false" customHeight="false" outlineLevel="0" collapsed="false">
      <c r="A1417" s="21" t="s">
        <v>1686</v>
      </c>
      <c r="B1417" s="21" t="s">
        <v>1545</v>
      </c>
      <c r="C1417" s="21"/>
      <c r="D1417" s="37" t="s">
        <v>84</v>
      </c>
      <c r="E1417" s="37" t="s">
        <v>84</v>
      </c>
      <c r="F1417" s="37" t="s">
        <v>153</v>
      </c>
      <c r="G1417" s="21" t="s">
        <v>1548</v>
      </c>
      <c r="H1417" s="21" t="n">
        <v>0</v>
      </c>
      <c r="I1417" s="21" t="s">
        <v>137</v>
      </c>
    </row>
    <row r="1418" customFormat="false" ht="15" hidden="false" customHeight="false" outlineLevel="0" collapsed="false">
      <c r="A1418" s="21" t="s">
        <v>1687</v>
      </c>
      <c r="B1418" s="21" t="s">
        <v>1554</v>
      </c>
      <c r="C1418" s="21"/>
      <c r="D1418" s="37" t="s">
        <v>84</v>
      </c>
      <c r="E1418" s="37" t="s">
        <v>84</v>
      </c>
      <c r="F1418" s="37" t="s">
        <v>153</v>
      </c>
      <c r="G1418" s="21" t="s">
        <v>1548</v>
      </c>
      <c r="H1418" s="21" t="n">
        <v>0</v>
      </c>
      <c r="I1418" s="21" t="s">
        <v>137</v>
      </c>
    </row>
    <row r="1419" customFormat="false" ht="15" hidden="false" customHeight="false" outlineLevel="0" collapsed="false">
      <c r="A1419" s="21" t="s">
        <v>1688</v>
      </c>
      <c r="B1419" s="21" t="s">
        <v>1545</v>
      </c>
      <c r="C1419" s="21"/>
      <c r="D1419" s="37" t="s">
        <v>84</v>
      </c>
      <c r="E1419" s="37" t="s">
        <v>84</v>
      </c>
      <c r="F1419" s="37" t="s">
        <v>153</v>
      </c>
      <c r="G1419" s="21" t="s">
        <v>1548</v>
      </c>
      <c r="H1419" s="21" t="n">
        <v>0</v>
      </c>
      <c r="I1419" s="21" t="s">
        <v>137</v>
      </c>
    </row>
    <row r="1420" customFormat="false" ht="15" hidden="false" customHeight="false" outlineLevel="0" collapsed="false">
      <c r="A1420" s="21" t="s">
        <v>1689</v>
      </c>
      <c r="B1420" s="21" t="s">
        <v>1545</v>
      </c>
      <c r="C1420" s="21"/>
      <c r="D1420" s="37" t="s">
        <v>84</v>
      </c>
      <c r="E1420" s="37" t="s">
        <v>84</v>
      </c>
      <c r="F1420" s="37" t="s">
        <v>153</v>
      </c>
      <c r="G1420" s="21" t="s">
        <v>1548</v>
      </c>
      <c r="H1420" s="21" t="n">
        <v>0</v>
      </c>
      <c r="I1420" s="21" t="s">
        <v>137</v>
      </c>
    </row>
    <row r="1421" customFormat="false" ht="15" hidden="false" customHeight="false" outlineLevel="0" collapsed="false">
      <c r="A1421" s="21" t="s">
        <v>1690</v>
      </c>
      <c r="B1421" s="21" t="s">
        <v>1545</v>
      </c>
      <c r="C1421" s="21"/>
      <c r="D1421" s="37" t="s">
        <v>84</v>
      </c>
      <c r="E1421" s="37" t="s">
        <v>84</v>
      </c>
      <c r="F1421" s="37" t="s">
        <v>153</v>
      </c>
      <c r="G1421" s="21" t="s">
        <v>1548</v>
      </c>
      <c r="H1421" s="21" t="n">
        <v>0</v>
      </c>
      <c r="I1421" s="21" t="s">
        <v>137</v>
      </c>
    </row>
    <row r="1422" customFormat="false" ht="15" hidden="false" customHeight="false" outlineLevel="0" collapsed="false">
      <c r="A1422" s="21" t="s">
        <v>1691</v>
      </c>
      <c r="B1422" s="21" t="s">
        <v>1545</v>
      </c>
      <c r="C1422" s="21"/>
      <c r="D1422" s="37" t="s">
        <v>84</v>
      </c>
      <c r="E1422" s="37" t="s">
        <v>84</v>
      </c>
      <c r="F1422" s="37" t="s">
        <v>153</v>
      </c>
      <c r="G1422" s="21" t="s">
        <v>1548</v>
      </c>
      <c r="H1422" s="21" t="n">
        <v>0</v>
      </c>
      <c r="I1422" s="21" t="s">
        <v>137</v>
      </c>
    </row>
    <row r="1423" customFormat="false" ht="15" hidden="false" customHeight="false" outlineLevel="0" collapsed="false">
      <c r="A1423" s="21" t="s">
        <v>1692</v>
      </c>
      <c r="B1423" s="21" t="s">
        <v>1545</v>
      </c>
      <c r="C1423" s="21"/>
      <c r="D1423" s="37" t="s">
        <v>84</v>
      </c>
      <c r="E1423" s="37" t="s">
        <v>84</v>
      </c>
      <c r="F1423" s="37" t="s">
        <v>153</v>
      </c>
      <c r="G1423" s="21" t="s">
        <v>1548</v>
      </c>
      <c r="H1423" s="21" t="n">
        <v>0</v>
      </c>
      <c r="I1423" s="21" t="s">
        <v>137</v>
      </c>
    </row>
    <row r="1424" customFormat="false" ht="15" hidden="false" customHeight="false" outlineLevel="0" collapsed="false">
      <c r="A1424" s="21" t="s">
        <v>1693</v>
      </c>
      <c r="B1424" s="21" t="s">
        <v>1545</v>
      </c>
      <c r="C1424" s="21"/>
      <c r="D1424" s="37" t="s">
        <v>84</v>
      </c>
      <c r="E1424" s="37" t="s">
        <v>84</v>
      </c>
      <c r="F1424" s="37" t="s">
        <v>153</v>
      </c>
      <c r="G1424" s="21" t="s">
        <v>461</v>
      </c>
      <c r="H1424" s="21" t="n">
        <v>0</v>
      </c>
      <c r="I1424" s="21" t="s">
        <v>137</v>
      </c>
    </row>
    <row r="1425" customFormat="false" ht="15" hidden="false" customHeight="false" outlineLevel="0" collapsed="false">
      <c r="A1425" s="21" t="s">
        <v>1694</v>
      </c>
      <c r="B1425" s="21" t="s">
        <v>1554</v>
      </c>
      <c r="C1425" s="21"/>
      <c r="D1425" s="37" t="s">
        <v>84</v>
      </c>
      <c r="E1425" s="37" t="s">
        <v>84</v>
      </c>
      <c r="F1425" s="37" t="s">
        <v>153</v>
      </c>
      <c r="G1425" s="21" t="s">
        <v>1548</v>
      </c>
      <c r="H1425" s="21" t="n">
        <v>0</v>
      </c>
      <c r="I1425" s="21" t="s">
        <v>137</v>
      </c>
    </row>
    <row r="1426" customFormat="false" ht="15" hidden="false" customHeight="false" outlineLevel="0" collapsed="false">
      <c r="A1426" s="21" t="s">
        <v>1695</v>
      </c>
      <c r="B1426" s="21" t="s">
        <v>1545</v>
      </c>
      <c r="C1426" s="21"/>
      <c r="D1426" s="37" t="s">
        <v>84</v>
      </c>
      <c r="E1426" s="37" t="s">
        <v>84</v>
      </c>
      <c r="F1426" s="37" t="s">
        <v>153</v>
      </c>
      <c r="G1426" s="21" t="s">
        <v>461</v>
      </c>
      <c r="H1426" s="21" t="n">
        <v>0</v>
      </c>
      <c r="I1426" s="21" t="s">
        <v>137</v>
      </c>
    </row>
    <row r="1427" customFormat="false" ht="15" hidden="false" customHeight="false" outlineLevel="0" collapsed="false">
      <c r="A1427" s="21" t="s">
        <v>1696</v>
      </c>
      <c r="B1427" s="21" t="s">
        <v>1545</v>
      </c>
      <c r="C1427" s="21"/>
      <c r="D1427" s="37" t="s">
        <v>84</v>
      </c>
      <c r="E1427" s="37" t="s">
        <v>84</v>
      </c>
      <c r="F1427" s="37" t="s">
        <v>153</v>
      </c>
      <c r="G1427" s="21" t="s">
        <v>461</v>
      </c>
      <c r="H1427" s="21" t="n">
        <v>0</v>
      </c>
      <c r="I1427" s="21" t="s">
        <v>137</v>
      </c>
    </row>
    <row r="1428" customFormat="false" ht="15" hidden="false" customHeight="false" outlineLevel="0" collapsed="false">
      <c r="A1428" s="21" t="s">
        <v>1697</v>
      </c>
      <c r="B1428" s="21" t="s">
        <v>1554</v>
      </c>
      <c r="C1428" s="21"/>
      <c r="D1428" s="37" t="s">
        <v>84</v>
      </c>
      <c r="E1428" s="37" t="s">
        <v>84</v>
      </c>
      <c r="F1428" s="37" t="s">
        <v>153</v>
      </c>
      <c r="G1428" s="21" t="s">
        <v>461</v>
      </c>
      <c r="H1428" s="21" t="n">
        <v>0</v>
      </c>
      <c r="I1428" s="21" t="s">
        <v>137</v>
      </c>
    </row>
    <row r="1429" customFormat="false" ht="15" hidden="false" customHeight="false" outlineLevel="0" collapsed="false">
      <c r="A1429" s="21" t="s">
        <v>1698</v>
      </c>
      <c r="B1429" s="21" t="s">
        <v>1554</v>
      </c>
      <c r="C1429" s="21"/>
      <c r="D1429" s="37" t="s">
        <v>84</v>
      </c>
      <c r="E1429" s="37" t="s">
        <v>84</v>
      </c>
      <c r="F1429" s="37" t="s">
        <v>153</v>
      </c>
      <c r="G1429" s="21" t="s">
        <v>1548</v>
      </c>
      <c r="H1429" s="21" t="n">
        <v>0</v>
      </c>
      <c r="I1429" s="21" t="s">
        <v>137</v>
      </c>
    </row>
    <row r="1430" customFormat="false" ht="15" hidden="false" customHeight="false" outlineLevel="0" collapsed="false">
      <c r="A1430" s="21" t="s">
        <v>1699</v>
      </c>
      <c r="B1430" s="21" t="s">
        <v>1554</v>
      </c>
      <c r="C1430" s="21"/>
      <c r="D1430" s="37" t="s">
        <v>84</v>
      </c>
      <c r="E1430" s="37" t="s">
        <v>84</v>
      </c>
      <c r="F1430" s="37" t="s">
        <v>153</v>
      </c>
      <c r="G1430" s="21" t="s">
        <v>1548</v>
      </c>
      <c r="H1430" s="21" t="n">
        <v>0</v>
      </c>
      <c r="I1430" s="21" t="s">
        <v>137</v>
      </c>
    </row>
    <row r="1431" customFormat="false" ht="15" hidden="false" customHeight="false" outlineLevel="0" collapsed="false">
      <c r="A1431" s="21" t="s">
        <v>1700</v>
      </c>
      <c r="B1431" s="21" t="s">
        <v>1545</v>
      </c>
      <c r="C1431" s="21"/>
      <c r="D1431" s="37" t="s">
        <v>84</v>
      </c>
      <c r="E1431" s="37" t="s">
        <v>84</v>
      </c>
      <c r="F1431" s="37" t="s">
        <v>153</v>
      </c>
      <c r="G1431" s="21" t="s">
        <v>1548</v>
      </c>
      <c r="H1431" s="21" t="n">
        <v>0</v>
      </c>
      <c r="I1431" s="21" t="s">
        <v>137</v>
      </c>
    </row>
    <row r="1432" customFormat="false" ht="15" hidden="false" customHeight="false" outlineLevel="0" collapsed="false">
      <c r="A1432" s="21" t="s">
        <v>1701</v>
      </c>
      <c r="B1432" s="21" t="s">
        <v>1554</v>
      </c>
      <c r="C1432" s="21"/>
      <c r="D1432" s="37" t="s">
        <v>84</v>
      </c>
      <c r="E1432" s="37" t="s">
        <v>84</v>
      </c>
      <c r="F1432" s="37" t="s">
        <v>153</v>
      </c>
      <c r="G1432" s="21" t="s">
        <v>461</v>
      </c>
      <c r="H1432" s="21" t="n">
        <v>0</v>
      </c>
      <c r="I1432" s="21" t="s">
        <v>137</v>
      </c>
    </row>
    <row r="1433" customFormat="false" ht="15" hidden="false" customHeight="false" outlineLevel="0" collapsed="false">
      <c r="A1433" s="21" t="s">
        <v>1702</v>
      </c>
      <c r="B1433" s="21" t="s">
        <v>1545</v>
      </c>
      <c r="C1433" s="21"/>
      <c r="D1433" s="37" t="s">
        <v>84</v>
      </c>
      <c r="E1433" s="37" t="s">
        <v>84</v>
      </c>
      <c r="F1433" s="37" t="s">
        <v>153</v>
      </c>
      <c r="G1433" s="21" t="s">
        <v>461</v>
      </c>
      <c r="H1433" s="21" t="n">
        <v>0</v>
      </c>
      <c r="I1433" s="21" t="s">
        <v>137</v>
      </c>
    </row>
    <row r="1434" customFormat="false" ht="15" hidden="false" customHeight="false" outlineLevel="0" collapsed="false">
      <c r="A1434" s="21" t="s">
        <v>1703</v>
      </c>
      <c r="B1434" s="21" t="s">
        <v>1554</v>
      </c>
      <c r="C1434" s="21"/>
      <c r="D1434" s="37" t="s">
        <v>84</v>
      </c>
      <c r="E1434" s="37" t="s">
        <v>84</v>
      </c>
      <c r="F1434" s="37" t="s">
        <v>153</v>
      </c>
      <c r="G1434" s="21" t="s">
        <v>1548</v>
      </c>
      <c r="H1434" s="21" t="n">
        <v>0</v>
      </c>
      <c r="I1434" s="21" t="s">
        <v>137</v>
      </c>
    </row>
    <row r="1435" customFormat="false" ht="15" hidden="false" customHeight="false" outlineLevel="0" collapsed="false">
      <c r="A1435" s="21" t="s">
        <v>1704</v>
      </c>
      <c r="B1435" s="21" t="s">
        <v>1545</v>
      </c>
      <c r="C1435" s="21"/>
      <c r="D1435" s="37" t="s">
        <v>84</v>
      </c>
      <c r="E1435" s="37" t="s">
        <v>84</v>
      </c>
      <c r="F1435" s="37" t="s">
        <v>153</v>
      </c>
      <c r="G1435" s="21" t="s">
        <v>461</v>
      </c>
      <c r="H1435" s="21" t="n">
        <v>0</v>
      </c>
      <c r="I1435" s="21" t="s">
        <v>137</v>
      </c>
    </row>
    <row r="1436" customFormat="false" ht="15" hidden="false" customHeight="false" outlineLevel="0" collapsed="false">
      <c r="A1436" s="21" t="s">
        <v>1705</v>
      </c>
      <c r="B1436" s="21" t="s">
        <v>1545</v>
      </c>
      <c r="C1436" s="21"/>
      <c r="D1436" s="37" t="s">
        <v>84</v>
      </c>
      <c r="E1436" s="37" t="s">
        <v>84</v>
      </c>
      <c r="F1436" s="37" t="s">
        <v>153</v>
      </c>
      <c r="G1436" s="21" t="s">
        <v>461</v>
      </c>
      <c r="H1436" s="21" t="n">
        <v>0</v>
      </c>
      <c r="I1436" s="21" t="s">
        <v>137</v>
      </c>
    </row>
    <row r="1437" customFormat="false" ht="15" hidden="false" customHeight="false" outlineLevel="0" collapsed="false">
      <c r="A1437" s="21" t="s">
        <v>1706</v>
      </c>
      <c r="B1437" s="21" t="s">
        <v>1545</v>
      </c>
      <c r="C1437" s="21"/>
      <c r="D1437" s="37" t="s">
        <v>84</v>
      </c>
      <c r="E1437" s="37" t="s">
        <v>84</v>
      </c>
      <c r="F1437" s="37" t="s">
        <v>153</v>
      </c>
      <c r="G1437" s="21" t="s">
        <v>1548</v>
      </c>
      <c r="H1437" s="21" t="n">
        <v>0</v>
      </c>
      <c r="I1437" s="21" t="s">
        <v>137</v>
      </c>
    </row>
    <row r="1438" customFormat="false" ht="15" hidden="false" customHeight="false" outlineLevel="0" collapsed="false">
      <c r="A1438" s="21" t="s">
        <v>1707</v>
      </c>
      <c r="B1438" s="21" t="s">
        <v>1545</v>
      </c>
      <c r="C1438" s="21"/>
      <c r="D1438" s="37" t="s">
        <v>84</v>
      </c>
      <c r="E1438" s="37" t="s">
        <v>84</v>
      </c>
      <c r="F1438" s="37" t="s">
        <v>153</v>
      </c>
      <c r="G1438" s="21" t="s">
        <v>1548</v>
      </c>
      <c r="H1438" s="21" t="n">
        <v>0</v>
      </c>
      <c r="I1438" s="21" t="s">
        <v>137</v>
      </c>
    </row>
    <row r="1439" customFormat="false" ht="15" hidden="false" customHeight="false" outlineLevel="0" collapsed="false">
      <c r="A1439" s="21" t="s">
        <v>1708</v>
      </c>
      <c r="B1439" s="21" t="s">
        <v>1554</v>
      </c>
      <c r="C1439" s="21"/>
      <c r="D1439" s="37" t="s">
        <v>84</v>
      </c>
      <c r="E1439" s="37" t="s">
        <v>84</v>
      </c>
      <c r="F1439" s="37" t="s">
        <v>153</v>
      </c>
      <c r="G1439" s="21" t="s">
        <v>461</v>
      </c>
      <c r="H1439" s="21" t="n">
        <v>0</v>
      </c>
      <c r="I1439" s="21" t="s">
        <v>137</v>
      </c>
    </row>
    <row r="1440" customFormat="false" ht="15" hidden="false" customHeight="false" outlineLevel="0" collapsed="false">
      <c r="A1440" s="21" t="s">
        <v>1709</v>
      </c>
      <c r="B1440" s="21" t="s">
        <v>1545</v>
      </c>
      <c r="C1440" s="21"/>
      <c r="D1440" s="37" t="s">
        <v>84</v>
      </c>
      <c r="E1440" s="37" t="s">
        <v>84</v>
      </c>
      <c r="F1440" s="37" t="s">
        <v>153</v>
      </c>
      <c r="G1440" s="21" t="s">
        <v>1548</v>
      </c>
      <c r="H1440" s="21" t="n">
        <v>0</v>
      </c>
      <c r="I1440" s="21" t="s">
        <v>137</v>
      </c>
    </row>
    <row r="1441" customFormat="false" ht="15" hidden="false" customHeight="false" outlineLevel="0" collapsed="false">
      <c r="A1441" s="21" t="s">
        <v>1710</v>
      </c>
      <c r="B1441" s="21" t="s">
        <v>1554</v>
      </c>
      <c r="C1441" s="21"/>
      <c r="D1441" s="37" t="s">
        <v>84</v>
      </c>
      <c r="E1441" s="37" t="s">
        <v>84</v>
      </c>
      <c r="F1441" s="37" t="s">
        <v>153</v>
      </c>
      <c r="G1441" s="21" t="s">
        <v>1548</v>
      </c>
      <c r="H1441" s="21" t="n">
        <v>0</v>
      </c>
      <c r="I1441" s="21" t="s">
        <v>137</v>
      </c>
    </row>
    <row r="1442" customFormat="false" ht="15" hidden="false" customHeight="false" outlineLevel="0" collapsed="false">
      <c r="A1442" s="21" t="s">
        <v>1711</v>
      </c>
      <c r="B1442" s="21" t="s">
        <v>1545</v>
      </c>
      <c r="C1442" s="21"/>
      <c r="D1442" s="37" t="s">
        <v>84</v>
      </c>
      <c r="E1442" s="37" t="s">
        <v>84</v>
      </c>
      <c r="F1442" s="37" t="s">
        <v>153</v>
      </c>
      <c r="G1442" s="21" t="s">
        <v>1548</v>
      </c>
      <c r="H1442" s="21" t="n">
        <v>0</v>
      </c>
      <c r="I1442" s="21" t="s">
        <v>137</v>
      </c>
    </row>
    <row r="1443" customFormat="false" ht="15" hidden="false" customHeight="false" outlineLevel="0" collapsed="false">
      <c r="A1443" s="21" t="s">
        <v>1712</v>
      </c>
      <c r="B1443" s="21" t="s">
        <v>1545</v>
      </c>
      <c r="C1443" s="21"/>
      <c r="D1443" s="37" t="s">
        <v>84</v>
      </c>
      <c r="E1443" s="37" t="s">
        <v>84</v>
      </c>
      <c r="F1443" s="37" t="s">
        <v>153</v>
      </c>
      <c r="G1443" s="21" t="s">
        <v>1548</v>
      </c>
      <c r="H1443" s="21" t="n">
        <v>0</v>
      </c>
      <c r="I1443" s="21" t="s">
        <v>137</v>
      </c>
    </row>
    <row r="1444" customFormat="false" ht="15" hidden="false" customHeight="false" outlineLevel="0" collapsed="false">
      <c r="A1444" s="21" t="s">
        <v>1713</v>
      </c>
      <c r="B1444" s="21" t="s">
        <v>1545</v>
      </c>
      <c r="C1444" s="21"/>
      <c r="D1444" s="37" t="s">
        <v>84</v>
      </c>
      <c r="E1444" s="37" t="s">
        <v>84</v>
      </c>
      <c r="F1444" s="37" t="s">
        <v>153</v>
      </c>
      <c r="G1444" s="21" t="s">
        <v>461</v>
      </c>
      <c r="H1444" s="21" t="n">
        <v>0</v>
      </c>
      <c r="I1444" s="21" t="s">
        <v>137</v>
      </c>
    </row>
    <row r="1445" customFormat="false" ht="15" hidden="false" customHeight="false" outlineLevel="0" collapsed="false">
      <c r="A1445" s="21" t="s">
        <v>1714</v>
      </c>
      <c r="B1445" s="21" t="s">
        <v>1545</v>
      </c>
      <c r="C1445" s="21"/>
      <c r="D1445" s="37" t="s">
        <v>84</v>
      </c>
      <c r="E1445" s="37" t="s">
        <v>84</v>
      </c>
      <c r="F1445" s="37" t="s">
        <v>153</v>
      </c>
      <c r="G1445" s="21" t="s">
        <v>461</v>
      </c>
      <c r="H1445" s="21" t="n">
        <v>0</v>
      </c>
      <c r="I1445" s="21" t="s">
        <v>137</v>
      </c>
    </row>
    <row r="1446" customFormat="false" ht="15" hidden="false" customHeight="false" outlineLevel="0" collapsed="false">
      <c r="A1446" s="21" t="s">
        <v>1715</v>
      </c>
      <c r="B1446" s="21" t="s">
        <v>1545</v>
      </c>
      <c r="C1446" s="21"/>
      <c r="D1446" s="37" t="s">
        <v>84</v>
      </c>
      <c r="E1446" s="37" t="s">
        <v>84</v>
      </c>
      <c r="F1446" s="37" t="s">
        <v>153</v>
      </c>
      <c r="G1446" s="21" t="s">
        <v>1548</v>
      </c>
      <c r="H1446" s="21" t="n">
        <v>0</v>
      </c>
      <c r="I1446" s="21" t="s">
        <v>137</v>
      </c>
    </row>
    <row r="1447" customFormat="false" ht="15" hidden="false" customHeight="false" outlineLevel="0" collapsed="false">
      <c r="A1447" s="21" t="s">
        <v>1716</v>
      </c>
      <c r="B1447" s="21" t="s">
        <v>1554</v>
      </c>
      <c r="C1447" s="21"/>
      <c r="D1447" s="37" t="s">
        <v>84</v>
      </c>
      <c r="E1447" s="37" t="s">
        <v>84</v>
      </c>
      <c r="F1447" s="37" t="s">
        <v>153</v>
      </c>
      <c r="G1447" s="21" t="s">
        <v>461</v>
      </c>
      <c r="H1447" s="21" t="n">
        <v>0</v>
      </c>
      <c r="I1447" s="21" t="s">
        <v>137</v>
      </c>
    </row>
    <row r="1448" customFormat="false" ht="15" hidden="false" customHeight="false" outlineLevel="0" collapsed="false">
      <c r="A1448" s="21" t="s">
        <v>1717</v>
      </c>
      <c r="B1448" s="21" t="s">
        <v>1545</v>
      </c>
      <c r="C1448" s="21"/>
      <c r="D1448" s="37" t="s">
        <v>84</v>
      </c>
      <c r="E1448" s="37" t="s">
        <v>84</v>
      </c>
      <c r="F1448" s="37" t="s">
        <v>153</v>
      </c>
      <c r="G1448" s="21" t="s">
        <v>1548</v>
      </c>
      <c r="H1448" s="21" t="n">
        <v>0</v>
      </c>
      <c r="I1448" s="21" t="s">
        <v>137</v>
      </c>
    </row>
    <row r="1449" customFormat="false" ht="15" hidden="false" customHeight="false" outlineLevel="0" collapsed="false">
      <c r="A1449" s="21" t="s">
        <v>1718</v>
      </c>
      <c r="B1449" s="21" t="s">
        <v>1545</v>
      </c>
      <c r="C1449" s="21"/>
      <c r="D1449" s="37" t="s">
        <v>84</v>
      </c>
      <c r="E1449" s="37" t="s">
        <v>84</v>
      </c>
      <c r="F1449" s="37" t="s">
        <v>153</v>
      </c>
      <c r="G1449" s="21" t="s">
        <v>461</v>
      </c>
      <c r="H1449" s="21" t="n">
        <v>0</v>
      </c>
      <c r="I1449" s="21" t="s">
        <v>137</v>
      </c>
    </row>
    <row r="1450" customFormat="false" ht="15" hidden="false" customHeight="false" outlineLevel="0" collapsed="false">
      <c r="A1450" s="21" t="s">
        <v>1719</v>
      </c>
      <c r="B1450" s="21" t="s">
        <v>1545</v>
      </c>
      <c r="C1450" s="21"/>
      <c r="D1450" s="37" t="s">
        <v>84</v>
      </c>
      <c r="E1450" s="37" t="s">
        <v>84</v>
      </c>
      <c r="F1450" s="37" t="s">
        <v>153</v>
      </c>
      <c r="G1450" s="21" t="s">
        <v>1548</v>
      </c>
      <c r="H1450" s="21" t="n">
        <v>0</v>
      </c>
      <c r="I1450" s="21" t="s">
        <v>137</v>
      </c>
    </row>
    <row r="1451" customFormat="false" ht="15" hidden="false" customHeight="false" outlineLevel="0" collapsed="false">
      <c r="A1451" s="21" t="s">
        <v>1720</v>
      </c>
      <c r="B1451" s="21" t="s">
        <v>1554</v>
      </c>
      <c r="C1451" s="21"/>
      <c r="D1451" s="37" t="s">
        <v>84</v>
      </c>
      <c r="E1451" s="37" t="s">
        <v>84</v>
      </c>
      <c r="F1451" s="37" t="s">
        <v>153</v>
      </c>
      <c r="G1451" s="21" t="s">
        <v>1548</v>
      </c>
      <c r="H1451" s="21" t="n">
        <v>0</v>
      </c>
      <c r="I1451" s="21" t="s">
        <v>137</v>
      </c>
    </row>
    <row r="1452" customFormat="false" ht="15" hidden="false" customHeight="false" outlineLevel="0" collapsed="false">
      <c r="A1452" s="21" t="s">
        <v>1721</v>
      </c>
      <c r="B1452" s="21" t="s">
        <v>1545</v>
      </c>
      <c r="C1452" s="21"/>
      <c r="D1452" s="37" t="s">
        <v>84</v>
      </c>
      <c r="E1452" s="37" t="s">
        <v>84</v>
      </c>
      <c r="F1452" s="37" t="s">
        <v>153</v>
      </c>
      <c r="G1452" s="21" t="s">
        <v>1548</v>
      </c>
      <c r="H1452" s="21" t="n">
        <v>0</v>
      </c>
      <c r="I1452" s="21" t="s">
        <v>137</v>
      </c>
    </row>
    <row r="1453" customFormat="false" ht="15" hidden="false" customHeight="false" outlineLevel="0" collapsed="false">
      <c r="A1453" s="21" t="s">
        <v>1722</v>
      </c>
      <c r="B1453" s="21" t="s">
        <v>1545</v>
      </c>
      <c r="C1453" s="21"/>
      <c r="D1453" s="37" t="s">
        <v>84</v>
      </c>
      <c r="E1453" s="37" t="s">
        <v>84</v>
      </c>
      <c r="F1453" s="37" t="s">
        <v>153</v>
      </c>
      <c r="G1453" s="21" t="s">
        <v>1548</v>
      </c>
      <c r="H1453" s="21" t="n">
        <v>0</v>
      </c>
      <c r="I1453" s="21" t="s">
        <v>137</v>
      </c>
    </row>
    <row r="1454" customFormat="false" ht="15" hidden="false" customHeight="false" outlineLevel="0" collapsed="false">
      <c r="A1454" s="21" t="s">
        <v>1723</v>
      </c>
      <c r="B1454" s="21" t="s">
        <v>1554</v>
      </c>
      <c r="C1454" s="21"/>
      <c r="D1454" s="37" t="s">
        <v>84</v>
      </c>
      <c r="E1454" s="37" t="s">
        <v>84</v>
      </c>
      <c r="F1454" s="37" t="s">
        <v>153</v>
      </c>
      <c r="G1454" s="21" t="s">
        <v>1548</v>
      </c>
      <c r="H1454" s="21" t="n">
        <v>0</v>
      </c>
      <c r="I1454" s="21" t="s">
        <v>137</v>
      </c>
    </row>
    <row r="1455" customFormat="false" ht="15" hidden="false" customHeight="false" outlineLevel="0" collapsed="false">
      <c r="A1455" s="21" t="s">
        <v>1724</v>
      </c>
      <c r="B1455" s="21" t="s">
        <v>1545</v>
      </c>
      <c r="C1455" s="21"/>
      <c r="D1455" s="37" t="s">
        <v>84</v>
      </c>
      <c r="E1455" s="37" t="s">
        <v>84</v>
      </c>
      <c r="F1455" s="37" t="s">
        <v>153</v>
      </c>
      <c r="G1455" s="21" t="s">
        <v>1548</v>
      </c>
      <c r="H1455" s="21" t="n">
        <v>0</v>
      </c>
      <c r="I1455" s="21" t="s">
        <v>137</v>
      </c>
    </row>
    <row r="1456" customFormat="false" ht="15" hidden="false" customHeight="false" outlineLevel="0" collapsed="false">
      <c r="A1456" s="21" t="s">
        <v>1725</v>
      </c>
      <c r="B1456" s="21" t="s">
        <v>1554</v>
      </c>
      <c r="C1456" s="21"/>
      <c r="D1456" s="37" t="s">
        <v>84</v>
      </c>
      <c r="E1456" s="37" t="s">
        <v>84</v>
      </c>
      <c r="F1456" s="37" t="s">
        <v>153</v>
      </c>
      <c r="G1456" s="21" t="s">
        <v>1548</v>
      </c>
      <c r="H1456" s="21" t="n">
        <v>0</v>
      </c>
      <c r="I1456" s="21" t="s">
        <v>137</v>
      </c>
    </row>
    <row r="1457" customFormat="false" ht="15" hidden="false" customHeight="false" outlineLevel="0" collapsed="false">
      <c r="A1457" s="21" t="s">
        <v>1726</v>
      </c>
      <c r="B1457" s="21" t="s">
        <v>1554</v>
      </c>
      <c r="C1457" s="21"/>
      <c r="D1457" s="37" t="s">
        <v>84</v>
      </c>
      <c r="E1457" s="37" t="s">
        <v>84</v>
      </c>
      <c r="F1457" s="37" t="s">
        <v>153</v>
      </c>
      <c r="G1457" s="21" t="s">
        <v>1548</v>
      </c>
      <c r="H1457" s="21" t="n">
        <v>0</v>
      </c>
      <c r="I1457" s="21" t="s">
        <v>137</v>
      </c>
    </row>
    <row r="1458" customFormat="false" ht="15" hidden="false" customHeight="false" outlineLevel="0" collapsed="false">
      <c r="A1458" s="21" t="s">
        <v>1727</v>
      </c>
      <c r="B1458" s="21" t="s">
        <v>1554</v>
      </c>
      <c r="C1458" s="21"/>
      <c r="D1458" s="37" t="s">
        <v>84</v>
      </c>
      <c r="E1458" s="37" t="s">
        <v>84</v>
      </c>
      <c r="F1458" s="37" t="s">
        <v>153</v>
      </c>
      <c r="G1458" s="21" t="s">
        <v>461</v>
      </c>
      <c r="H1458" s="21" t="n">
        <v>0</v>
      </c>
      <c r="I1458" s="21" t="s">
        <v>137</v>
      </c>
    </row>
    <row r="1459" customFormat="false" ht="15" hidden="false" customHeight="false" outlineLevel="0" collapsed="false">
      <c r="A1459" s="21" t="s">
        <v>1728</v>
      </c>
      <c r="B1459" s="21" t="s">
        <v>1545</v>
      </c>
      <c r="C1459" s="21"/>
      <c r="D1459" s="37" t="s">
        <v>84</v>
      </c>
      <c r="E1459" s="37" t="s">
        <v>84</v>
      </c>
      <c r="F1459" s="37" t="s">
        <v>153</v>
      </c>
      <c r="G1459" s="21" t="s">
        <v>1548</v>
      </c>
      <c r="H1459" s="21" t="n">
        <v>0</v>
      </c>
      <c r="I1459" s="21" t="s">
        <v>137</v>
      </c>
    </row>
    <row r="1460" customFormat="false" ht="15" hidden="false" customHeight="false" outlineLevel="0" collapsed="false">
      <c r="A1460" s="21" t="s">
        <v>1729</v>
      </c>
      <c r="B1460" s="21" t="s">
        <v>1554</v>
      </c>
      <c r="C1460" s="21"/>
      <c r="D1460" s="37" t="s">
        <v>84</v>
      </c>
      <c r="E1460" s="37" t="s">
        <v>84</v>
      </c>
      <c r="F1460" s="37" t="s">
        <v>153</v>
      </c>
      <c r="G1460" s="21" t="s">
        <v>1548</v>
      </c>
      <c r="H1460" s="21" t="n">
        <v>0</v>
      </c>
      <c r="I1460" s="21" t="s">
        <v>137</v>
      </c>
    </row>
    <row r="1461" customFormat="false" ht="15" hidden="false" customHeight="false" outlineLevel="0" collapsed="false">
      <c r="A1461" s="21" t="s">
        <v>1730</v>
      </c>
      <c r="B1461" s="21" t="s">
        <v>1545</v>
      </c>
      <c r="C1461" s="21"/>
      <c r="D1461" s="37" t="s">
        <v>84</v>
      </c>
      <c r="E1461" s="37" t="s">
        <v>84</v>
      </c>
      <c r="F1461" s="37" t="s">
        <v>153</v>
      </c>
      <c r="G1461" s="21" t="s">
        <v>1548</v>
      </c>
      <c r="H1461" s="21" t="n">
        <v>0</v>
      </c>
      <c r="I1461" s="21" t="s">
        <v>137</v>
      </c>
    </row>
    <row r="1462" customFormat="false" ht="15" hidden="false" customHeight="false" outlineLevel="0" collapsed="false">
      <c r="A1462" s="21" t="s">
        <v>1731</v>
      </c>
      <c r="B1462" s="21" t="s">
        <v>1554</v>
      </c>
      <c r="C1462" s="21"/>
      <c r="D1462" s="37" t="s">
        <v>84</v>
      </c>
      <c r="E1462" s="37" t="s">
        <v>84</v>
      </c>
      <c r="F1462" s="37" t="s">
        <v>153</v>
      </c>
      <c r="G1462" s="21" t="s">
        <v>461</v>
      </c>
      <c r="H1462" s="21" t="n">
        <v>0</v>
      </c>
      <c r="I1462" s="21" t="s">
        <v>137</v>
      </c>
    </row>
    <row r="1463" customFormat="false" ht="15" hidden="false" customHeight="false" outlineLevel="0" collapsed="false">
      <c r="A1463" s="21" t="s">
        <v>1732</v>
      </c>
      <c r="B1463" s="21" t="s">
        <v>1545</v>
      </c>
      <c r="C1463" s="21"/>
      <c r="D1463" s="37" t="s">
        <v>84</v>
      </c>
      <c r="E1463" s="37" t="s">
        <v>84</v>
      </c>
      <c r="F1463" s="37" t="s">
        <v>153</v>
      </c>
      <c r="G1463" s="21" t="s">
        <v>1548</v>
      </c>
      <c r="H1463" s="21" t="n">
        <v>0</v>
      </c>
      <c r="I1463" s="21" t="s">
        <v>137</v>
      </c>
    </row>
    <row r="1464" customFormat="false" ht="15" hidden="false" customHeight="false" outlineLevel="0" collapsed="false">
      <c r="A1464" s="21" t="s">
        <v>1733</v>
      </c>
      <c r="B1464" s="21" t="s">
        <v>1545</v>
      </c>
      <c r="C1464" s="21"/>
      <c r="D1464" s="37" t="s">
        <v>84</v>
      </c>
      <c r="E1464" s="37" t="s">
        <v>84</v>
      </c>
      <c r="F1464" s="37" t="s">
        <v>153</v>
      </c>
      <c r="G1464" s="21" t="s">
        <v>1548</v>
      </c>
      <c r="H1464" s="21" t="n">
        <v>0</v>
      </c>
      <c r="I1464" s="21" t="s">
        <v>137</v>
      </c>
    </row>
    <row r="1465" customFormat="false" ht="15" hidden="false" customHeight="false" outlineLevel="0" collapsed="false">
      <c r="A1465" s="21" t="s">
        <v>1734</v>
      </c>
      <c r="B1465" s="21" t="s">
        <v>1545</v>
      </c>
      <c r="C1465" s="21"/>
      <c r="D1465" s="37" t="s">
        <v>84</v>
      </c>
      <c r="E1465" s="37" t="s">
        <v>84</v>
      </c>
      <c r="F1465" s="37" t="s">
        <v>153</v>
      </c>
      <c r="G1465" s="21" t="s">
        <v>461</v>
      </c>
      <c r="H1465" s="21" t="n">
        <v>0</v>
      </c>
      <c r="I1465" s="21" t="s">
        <v>137</v>
      </c>
    </row>
    <row r="1466" customFormat="false" ht="15" hidden="false" customHeight="false" outlineLevel="0" collapsed="false">
      <c r="A1466" s="21" t="s">
        <v>1735</v>
      </c>
      <c r="B1466" s="21" t="s">
        <v>1545</v>
      </c>
      <c r="C1466" s="21"/>
      <c r="D1466" s="37" t="s">
        <v>84</v>
      </c>
      <c r="E1466" s="37" t="s">
        <v>84</v>
      </c>
      <c r="F1466" s="37" t="s">
        <v>153</v>
      </c>
      <c r="G1466" s="21" t="s">
        <v>1548</v>
      </c>
      <c r="H1466" s="21" t="n">
        <v>0</v>
      </c>
      <c r="I1466" s="21" t="s">
        <v>137</v>
      </c>
    </row>
    <row r="1467" customFormat="false" ht="15" hidden="false" customHeight="false" outlineLevel="0" collapsed="false">
      <c r="A1467" s="21" t="s">
        <v>1736</v>
      </c>
      <c r="B1467" s="21" t="s">
        <v>1554</v>
      </c>
      <c r="C1467" s="21"/>
      <c r="D1467" s="37" t="s">
        <v>84</v>
      </c>
      <c r="E1467" s="37" t="s">
        <v>84</v>
      </c>
      <c r="F1467" s="37" t="s">
        <v>153</v>
      </c>
      <c r="G1467" s="21" t="s">
        <v>1548</v>
      </c>
      <c r="H1467" s="21" t="n">
        <v>0</v>
      </c>
      <c r="I1467" s="21" t="s">
        <v>137</v>
      </c>
    </row>
    <row r="1468" customFormat="false" ht="15" hidden="false" customHeight="false" outlineLevel="0" collapsed="false">
      <c r="A1468" s="21" t="s">
        <v>1737</v>
      </c>
      <c r="B1468" s="21" t="s">
        <v>1545</v>
      </c>
      <c r="C1468" s="21"/>
      <c r="D1468" s="37" t="s">
        <v>84</v>
      </c>
      <c r="E1468" s="37" t="s">
        <v>84</v>
      </c>
      <c r="F1468" s="37" t="s">
        <v>153</v>
      </c>
      <c r="G1468" s="21" t="s">
        <v>1548</v>
      </c>
      <c r="H1468" s="21" t="n">
        <v>0</v>
      </c>
      <c r="I1468" s="21" t="s">
        <v>137</v>
      </c>
    </row>
    <row r="1469" customFormat="false" ht="15" hidden="false" customHeight="false" outlineLevel="0" collapsed="false">
      <c r="A1469" s="21" t="s">
        <v>1738</v>
      </c>
      <c r="B1469" s="21" t="s">
        <v>1545</v>
      </c>
      <c r="C1469" s="21"/>
      <c r="D1469" s="37" t="s">
        <v>84</v>
      </c>
      <c r="E1469" s="37" t="s">
        <v>84</v>
      </c>
      <c r="F1469" s="37" t="s">
        <v>153</v>
      </c>
      <c r="G1469" s="21" t="s">
        <v>1548</v>
      </c>
      <c r="H1469" s="21" t="n">
        <v>0</v>
      </c>
      <c r="I1469" s="21" t="s">
        <v>137</v>
      </c>
    </row>
    <row r="1470" customFormat="false" ht="15" hidden="false" customHeight="false" outlineLevel="0" collapsed="false">
      <c r="A1470" s="21" t="s">
        <v>1739</v>
      </c>
      <c r="B1470" s="21" t="s">
        <v>1545</v>
      </c>
      <c r="C1470" s="21"/>
      <c r="D1470" s="37" t="s">
        <v>84</v>
      </c>
      <c r="E1470" s="37" t="s">
        <v>84</v>
      </c>
      <c r="F1470" s="37" t="s">
        <v>153</v>
      </c>
      <c r="G1470" s="21" t="s">
        <v>461</v>
      </c>
      <c r="H1470" s="21" t="n">
        <v>0</v>
      </c>
      <c r="I1470" s="21" t="s">
        <v>137</v>
      </c>
    </row>
    <row r="1471" customFormat="false" ht="15" hidden="false" customHeight="false" outlineLevel="0" collapsed="false">
      <c r="A1471" s="21" t="s">
        <v>1740</v>
      </c>
      <c r="B1471" s="21" t="s">
        <v>1554</v>
      </c>
      <c r="C1471" s="21"/>
      <c r="D1471" s="37" t="s">
        <v>84</v>
      </c>
      <c r="E1471" s="37" t="s">
        <v>84</v>
      </c>
      <c r="F1471" s="37" t="s">
        <v>153</v>
      </c>
      <c r="G1471" s="21" t="s">
        <v>1548</v>
      </c>
      <c r="H1471" s="21" t="n">
        <v>0</v>
      </c>
      <c r="I1471" s="21" t="s">
        <v>137</v>
      </c>
    </row>
    <row r="1472" customFormat="false" ht="15" hidden="false" customHeight="false" outlineLevel="0" collapsed="false">
      <c r="A1472" s="21" t="s">
        <v>1741</v>
      </c>
      <c r="B1472" s="21" t="s">
        <v>1545</v>
      </c>
      <c r="C1472" s="21"/>
      <c r="D1472" s="37" t="s">
        <v>84</v>
      </c>
      <c r="E1472" s="37" t="s">
        <v>84</v>
      </c>
      <c r="F1472" s="37" t="s">
        <v>153</v>
      </c>
      <c r="G1472" s="21" t="s">
        <v>1548</v>
      </c>
      <c r="H1472" s="21" t="n">
        <v>0</v>
      </c>
      <c r="I1472" s="21" t="s">
        <v>137</v>
      </c>
    </row>
    <row r="1473" customFormat="false" ht="15" hidden="false" customHeight="false" outlineLevel="0" collapsed="false">
      <c r="A1473" s="21" t="s">
        <v>1742</v>
      </c>
      <c r="B1473" s="21" t="s">
        <v>1545</v>
      </c>
      <c r="C1473" s="21"/>
      <c r="D1473" s="37" t="s">
        <v>84</v>
      </c>
      <c r="E1473" s="37" t="s">
        <v>84</v>
      </c>
      <c r="F1473" s="37" t="s">
        <v>153</v>
      </c>
      <c r="G1473" s="21" t="s">
        <v>1548</v>
      </c>
      <c r="H1473" s="21" t="n">
        <v>0</v>
      </c>
      <c r="I1473" s="21" t="s">
        <v>137</v>
      </c>
    </row>
    <row r="1474" customFormat="false" ht="15" hidden="false" customHeight="false" outlineLevel="0" collapsed="false">
      <c r="A1474" s="21" t="s">
        <v>1743</v>
      </c>
      <c r="B1474" s="21" t="s">
        <v>1545</v>
      </c>
      <c r="C1474" s="21"/>
      <c r="D1474" s="37" t="s">
        <v>84</v>
      </c>
      <c r="E1474" s="37" t="s">
        <v>84</v>
      </c>
      <c r="F1474" s="37" t="s">
        <v>153</v>
      </c>
      <c r="G1474" s="21" t="s">
        <v>461</v>
      </c>
      <c r="H1474" s="21" t="n">
        <v>0</v>
      </c>
      <c r="I1474" s="21" t="s">
        <v>137</v>
      </c>
    </row>
    <row r="1475" customFormat="false" ht="15" hidden="false" customHeight="false" outlineLevel="0" collapsed="false">
      <c r="A1475" s="21" t="s">
        <v>1744</v>
      </c>
      <c r="B1475" s="21" t="s">
        <v>1554</v>
      </c>
      <c r="C1475" s="21"/>
      <c r="D1475" s="37" t="s">
        <v>84</v>
      </c>
      <c r="E1475" s="37" t="s">
        <v>84</v>
      </c>
      <c r="F1475" s="37" t="s">
        <v>153</v>
      </c>
      <c r="G1475" s="21" t="s">
        <v>461</v>
      </c>
      <c r="H1475" s="21" t="n">
        <v>0</v>
      </c>
      <c r="I1475" s="21" t="s">
        <v>137</v>
      </c>
    </row>
    <row r="1476" customFormat="false" ht="15" hidden="false" customHeight="false" outlineLevel="0" collapsed="false">
      <c r="A1476" s="21" t="s">
        <v>1745</v>
      </c>
      <c r="B1476" s="21" t="s">
        <v>1545</v>
      </c>
      <c r="C1476" s="21"/>
      <c r="D1476" s="37" t="s">
        <v>84</v>
      </c>
      <c r="E1476" s="37" t="s">
        <v>84</v>
      </c>
      <c r="F1476" s="37" t="s">
        <v>153</v>
      </c>
      <c r="G1476" s="21" t="s">
        <v>461</v>
      </c>
      <c r="H1476" s="21" t="n">
        <v>0</v>
      </c>
      <c r="I1476" s="21" t="s">
        <v>137</v>
      </c>
    </row>
    <row r="1477" customFormat="false" ht="15" hidden="false" customHeight="false" outlineLevel="0" collapsed="false">
      <c r="A1477" s="21" t="s">
        <v>1746</v>
      </c>
      <c r="B1477" s="21" t="s">
        <v>1554</v>
      </c>
      <c r="C1477" s="21"/>
      <c r="D1477" s="37" t="s">
        <v>84</v>
      </c>
      <c r="E1477" s="37" t="s">
        <v>84</v>
      </c>
      <c r="F1477" s="37" t="s">
        <v>153</v>
      </c>
      <c r="G1477" s="21" t="s">
        <v>1548</v>
      </c>
      <c r="H1477" s="21" t="n">
        <v>0</v>
      </c>
      <c r="I1477" s="21" t="s">
        <v>137</v>
      </c>
    </row>
    <row r="1478" customFormat="false" ht="15" hidden="false" customHeight="false" outlineLevel="0" collapsed="false">
      <c r="A1478" s="21" t="s">
        <v>1747</v>
      </c>
      <c r="B1478" s="21" t="s">
        <v>1545</v>
      </c>
      <c r="C1478" s="21"/>
      <c r="D1478" s="37" t="s">
        <v>84</v>
      </c>
      <c r="E1478" s="37" t="s">
        <v>84</v>
      </c>
      <c r="F1478" s="37" t="s">
        <v>153</v>
      </c>
      <c r="G1478" s="21" t="s">
        <v>1548</v>
      </c>
      <c r="H1478" s="21" t="n">
        <v>0</v>
      </c>
      <c r="I1478" s="21" t="s">
        <v>137</v>
      </c>
    </row>
    <row r="1479" customFormat="false" ht="15" hidden="false" customHeight="false" outlineLevel="0" collapsed="false">
      <c r="A1479" s="21" t="s">
        <v>1748</v>
      </c>
      <c r="B1479" s="21" t="s">
        <v>1545</v>
      </c>
      <c r="C1479" s="21"/>
      <c r="D1479" s="37" t="s">
        <v>84</v>
      </c>
      <c r="E1479" s="37" t="s">
        <v>84</v>
      </c>
      <c r="F1479" s="37" t="s">
        <v>153</v>
      </c>
      <c r="G1479" s="21" t="s">
        <v>461</v>
      </c>
      <c r="H1479" s="21" t="n">
        <v>0</v>
      </c>
      <c r="I1479" s="21" t="s">
        <v>137</v>
      </c>
    </row>
    <row r="1480" customFormat="false" ht="15" hidden="false" customHeight="false" outlineLevel="0" collapsed="false">
      <c r="A1480" s="21" t="s">
        <v>1749</v>
      </c>
      <c r="B1480" s="21" t="s">
        <v>1545</v>
      </c>
      <c r="C1480" s="21"/>
      <c r="D1480" s="37" t="s">
        <v>84</v>
      </c>
      <c r="E1480" s="37" t="s">
        <v>84</v>
      </c>
      <c r="F1480" s="37" t="s">
        <v>153</v>
      </c>
      <c r="G1480" s="21" t="s">
        <v>1548</v>
      </c>
      <c r="H1480" s="21" t="n">
        <v>0</v>
      </c>
      <c r="I1480" s="21" t="s">
        <v>137</v>
      </c>
    </row>
    <row r="1481" customFormat="false" ht="15" hidden="false" customHeight="false" outlineLevel="0" collapsed="false">
      <c r="A1481" s="21" t="s">
        <v>1750</v>
      </c>
      <c r="B1481" s="21" t="s">
        <v>1545</v>
      </c>
      <c r="C1481" s="21"/>
      <c r="D1481" s="37" t="s">
        <v>84</v>
      </c>
      <c r="E1481" s="37" t="s">
        <v>84</v>
      </c>
      <c r="F1481" s="37" t="s">
        <v>153</v>
      </c>
      <c r="G1481" s="21" t="s">
        <v>461</v>
      </c>
      <c r="H1481" s="21" t="n">
        <v>0</v>
      </c>
      <c r="I1481" s="21" t="s">
        <v>137</v>
      </c>
    </row>
    <row r="1482" customFormat="false" ht="15" hidden="false" customHeight="false" outlineLevel="0" collapsed="false">
      <c r="A1482" s="21" t="s">
        <v>1751</v>
      </c>
      <c r="B1482" s="21" t="s">
        <v>1554</v>
      </c>
      <c r="C1482" s="21"/>
      <c r="D1482" s="37" t="s">
        <v>84</v>
      </c>
      <c r="E1482" s="37" t="s">
        <v>84</v>
      </c>
      <c r="F1482" s="37" t="s">
        <v>153</v>
      </c>
      <c r="G1482" s="21" t="s">
        <v>461</v>
      </c>
      <c r="H1482" s="21" t="n">
        <v>0</v>
      </c>
      <c r="I1482" s="21" t="s">
        <v>137</v>
      </c>
    </row>
    <row r="1483" customFormat="false" ht="15" hidden="false" customHeight="false" outlineLevel="0" collapsed="false">
      <c r="A1483" s="21" t="s">
        <v>1752</v>
      </c>
      <c r="B1483" s="21" t="s">
        <v>1554</v>
      </c>
      <c r="C1483" s="21"/>
      <c r="D1483" s="37" t="s">
        <v>84</v>
      </c>
      <c r="E1483" s="37" t="s">
        <v>84</v>
      </c>
      <c r="F1483" s="37" t="s">
        <v>153</v>
      </c>
      <c r="G1483" s="21" t="s">
        <v>1548</v>
      </c>
      <c r="H1483" s="21" t="n">
        <v>0</v>
      </c>
      <c r="I1483" s="21" t="s">
        <v>137</v>
      </c>
    </row>
    <row r="1484" customFormat="false" ht="15" hidden="false" customHeight="false" outlineLevel="0" collapsed="false">
      <c r="A1484" s="21" t="s">
        <v>1753</v>
      </c>
      <c r="B1484" s="21" t="s">
        <v>1545</v>
      </c>
      <c r="C1484" s="21"/>
      <c r="D1484" s="37" t="s">
        <v>84</v>
      </c>
      <c r="E1484" s="37" t="s">
        <v>84</v>
      </c>
      <c r="F1484" s="37" t="s">
        <v>153</v>
      </c>
      <c r="G1484" s="21" t="s">
        <v>1548</v>
      </c>
      <c r="H1484" s="21" t="n">
        <v>0</v>
      </c>
      <c r="I1484" s="21" t="s">
        <v>137</v>
      </c>
    </row>
    <row r="1485" customFormat="false" ht="15" hidden="false" customHeight="false" outlineLevel="0" collapsed="false">
      <c r="A1485" s="21" t="s">
        <v>1754</v>
      </c>
      <c r="B1485" s="21" t="s">
        <v>1545</v>
      </c>
      <c r="C1485" s="21"/>
      <c r="D1485" s="37" t="s">
        <v>84</v>
      </c>
      <c r="E1485" s="37" t="s">
        <v>84</v>
      </c>
      <c r="F1485" s="37" t="s">
        <v>153</v>
      </c>
      <c r="G1485" s="21" t="s">
        <v>1548</v>
      </c>
      <c r="H1485" s="21" t="n">
        <v>0</v>
      </c>
      <c r="I1485" s="21" t="s">
        <v>137</v>
      </c>
    </row>
    <row r="1486" customFormat="false" ht="15" hidden="false" customHeight="false" outlineLevel="0" collapsed="false">
      <c r="A1486" s="21" t="s">
        <v>1755</v>
      </c>
      <c r="B1486" s="21" t="s">
        <v>1545</v>
      </c>
      <c r="C1486" s="21"/>
      <c r="D1486" s="37" t="s">
        <v>84</v>
      </c>
      <c r="E1486" s="37" t="s">
        <v>84</v>
      </c>
      <c r="F1486" s="37" t="s">
        <v>153</v>
      </c>
      <c r="G1486" s="21" t="s">
        <v>461</v>
      </c>
      <c r="H1486" s="21" t="n">
        <v>0</v>
      </c>
      <c r="I1486" s="21" t="s">
        <v>137</v>
      </c>
    </row>
    <row r="1487" customFormat="false" ht="15" hidden="false" customHeight="false" outlineLevel="0" collapsed="false">
      <c r="A1487" s="21" t="s">
        <v>1756</v>
      </c>
      <c r="B1487" s="21" t="s">
        <v>1545</v>
      </c>
      <c r="C1487" s="21"/>
      <c r="D1487" s="37" t="s">
        <v>84</v>
      </c>
      <c r="E1487" s="37" t="s">
        <v>84</v>
      </c>
      <c r="F1487" s="37" t="s">
        <v>153</v>
      </c>
      <c r="G1487" s="21" t="s">
        <v>1548</v>
      </c>
      <c r="H1487" s="21" t="n">
        <v>0</v>
      </c>
      <c r="I1487" s="21" t="s">
        <v>137</v>
      </c>
    </row>
    <row r="1488" customFormat="false" ht="15" hidden="false" customHeight="false" outlineLevel="0" collapsed="false">
      <c r="A1488" s="21" t="s">
        <v>1757</v>
      </c>
      <c r="B1488" s="21" t="s">
        <v>1545</v>
      </c>
      <c r="C1488" s="21"/>
      <c r="D1488" s="37" t="s">
        <v>84</v>
      </c>
      <c r="E1488" s="37" t="s">
        <v>84</v>
      </c>
      <c r="F1488" s="37" t="s">
        <v>153</v>
      </c>
      <c r="G1488" s="21" t="s">
        <v>1548</v>
      </c>
      <c r="H1488" s="21" t="n">
        <v>0</v>
      </c>
      <c r="I1488" s="21" t="s">
        <v>137</v>
      </c>
    </row>
    <row r="1489" customFormat="false" ht="15" hidden="false" customHeight="false" outlineLevel="0" collapsed="false">
      <c r="A1489" s="21" t="s">
        <v>1758</v>
      </c>
      <c r="B1489" s="21" t="s">
        <v>1545</v>
      </c>
      <c r="C1489" s="21"/>
      <c r="D1489" s="37" t="s">
        <v>84</v>
      </c>
      <c r="E1489" s="37" t="s">
        <v>84</v>
      </c>
      <c r="F1489" s="37" t="s">
        <v>153</v>
      </c>
      <c r="G1489" s="21" t="s">
        <v>1548</v>
      </c>
      <c r="H1489" s="21" t="n">
        <v>0</v>
      </c>
      <c r="I1489" s="21" t="s">
        <v>137</v>
      </c>
    </row>
    <row r="1490" customFormat="false" ht="15" hidden="false" customHeight="false" outlineLevel="0" collapsed="false">
      <c r="A1490" s="21" t="s">
        <v>1759</v>
      </c>
      <c r="B1490" s="21" t="s">
        <v>1545</v>
      </c>
      <c r="C1490" s="21"/>
      <c r="D1490" s="37" t="s">
        <v>84</v>
      </c>
      <c r="E1490" s="37" t="s">
        <v>84</v>
      </c>
      <c r="F1490" s="37" t="s">
        <v>153</v>
      </c>
      <c r="G1490" s="21" t="s">
        <v>1548</v>
      </c>
      <c r="H1490" s="21" t="n">
        <v>0</v>
      </c>
      <c r="I1490" s="21" t="s">
        <v>137</v>
      </c>
    </row>
    <row r="1491" customFormat="false" ht="15" hidden="false" customHeight="false" outlineLevel="0" collapsed="false">
      <c r="A1491" s="21" t="s">
        <v>1760</v>
      </c>
      <c r="B1491" s="21" t="s">
        <v>1545</v>
      </c>
      <c r="C1491" s="21"/>
      <c r="D1491" s="37" t="s">
        <v>84</v>
      </c>
      <c r="E1491" s="37" t="s">
        <v>84</v>
      </c>
      <c r="F1491" s="37" t="s">
        <v>153</v>
      </c>
      <c r="G1491" s="21" t="s">
        <v>461</v>
      </c>
      <c r="H1491" s="21" t="n">
        <v>0</v>
      </c>
      <c r="I1491" s="21" t="s">
        <v>137</v>
      </c>
    </row>
    <row r="1492" customFormat="false" ht="15" hidden="false" customHeight="false" outlineLevel="0" collapsed="false">
      <c r="A1492" s="21" t="s">
        <v>1761</v>
      </c>
      <c r="B1492" s="21" t="s">
        <v>1545</v>
      </c>
      <c r="C1492" s="21"/>
      <c r="D1492" s="37" t="s">
        <v>84</v>
      </c>
      <c r="E1492" s="37" t="s">
        <v>84</v>
      </c>
      <c r="F1492" s="37" t="s">
        <v>153</v>
      </c>
      <c r="G1492" s="21" t="s">
        <v>1548</v>
      </c>
      <c r="H1492" s="21" t="n">
        <v>0</v>
      </c>
      <c r="I1492" s="21" t="s">
        <v>137</v>
      </c>
    </row>
    <row r="1493" customFormat="false" ht="15" hidden="false" customHeight="false" outlineLevel="0" collapsed="false">
      <c r="A1493" s="21" t="s">
        <v>1762</v>
      </c>
      <c r="B1493" s="21" t="s">
        <v>1545</v>
      </c>
      <c r="C1493" s="21"/>
      <c r="D1493" s="37" t="s">
        <v>84</v>
      </c>
      <c r="E1493" s="37" t="s">
        <v>84</v>
      </c>
      <c r="F1493" s="37" t="s">
        <v>153</v>
      </c>
      <c r="G1493" s="21" t="s">
        <v>461</v>
      </c>
      <c r="H1493" s="21" t="n">
        <v>0</v>
      </c>
      <c r="I1493" s="21" t="s">
        <v>137</v>
      </c>
    </row>
    <row r="1494" customFormat="false" ht="15" hidden="false" customHeight="false" outlineLevel="0" collapsed="false">
      <c r="A1494" s="21" t="s">
        <v>1763</v>
      </c>
      <c r="B1494" s="21" t="s">
        <v>1552</v>
      </c>
      <c r="C1494" s="21"/>
      <c r="D1494" s="37" t="s">
        <v>84</v>
      </c>
      <c r="E1494" s="37" t="s">
        <v>84</v>
      </c>
      <c r="F1494" s="37" t="s">
        <v>153</v>
      </c>
      <c r="G1494" s="21" t="s">
        <v>461</v>
      </c>
      <c r="H1494" s="21" t="n">
        <v>0</v>
      </c>
      <c r="I1494" s="21" t="s">
        <v>137</v>
      </c>
    </row>
    <row r="1495" customFormat="false" ht="15" hidden="false" customHeight="false" outlineLevel="0" collapsed="false">
      <c r="A1495" s="21" t="s">
        <v>1764</v>
      </c>
      <c r="B1495" s="21" t="s">
        <v>1545</v>
      </c>
      <c r="C1495" s="21"/>
      <c r="D1495" s="37" t="s">
        <v>84</v>
      </c>
      <c r="E1495" s="37" t="s">
        <v>84</v>
      </c>
      <c r="F1495" s="37" t="s">
        <v>153</v>
      </c>
      <c r="G1495" s="21" t="s">
        <v>461</v>
      </c>
      <c r="H1495" s="21" t="n">
        <v>0</v>
      </c>
      <c r="I1495" s="21" t="s">
        <v>137</v>
      </c>
    </row>
    <row r="1496" customFormat="false" ht="15" hidden="false" customHeight="false" outlineLevel="0" collapsed="false">
      <c r="A1496" s="21" t="s">
        <v>1765</v>
      </c>
      <c r="B1496" s="21" t="s">
        <v>1545</v>
      </c>
      <c r="C1496" s="21"/>
      <c r="D1496" s="37" t="s">
        <v>84</v>
      </c>
      <c r="E1496" s="37" t="s">
        <v>84</v>
      </c>
      <c r="F1496" s="37" t="s">
        <v>153</v>
      </c>
      <c r="G1496" s="21" t="s">
        <v>1548</v>
      </c>
      <c r="H1496" s="21" t="n">
        <v>0</v>
      </c>
      <c r="I1496" s="21" t="s">
        <v>137</v>
      </c>
    </row>
    <row r="1497" customFormat="false" ht="15" hidden="false" customHeight="false" outlineLevel="0" collapsed="false">
      <c r="A1497" s="21" t="s">
        <v>1766</v>
      </c>
      <c r="B1497" s="21" t="s">
        <v>1554</v>
      </c>
      <c r="C1497" s="21"/>
      <c r="D1497" s="37" t="s">
        <v>84</v>
      </c>
      <c r="E1497" s="37" t="s">
        <v>84</v>
      </c>
      <c r="F1497" s="37" t="s">
        <v>153</v>
      </c>
      <c r="G1497" s="21" t="s">
        <v>461</v>
      </c>
      <c r="H1497" s="21" t="n">
        <v>0</v>
      </c>
      <c r="I1497" s="21" t="s">
        <v>137</v>
      </c>
    </row>
    <row r="1498" customFormat="false" ht="15" hidden="false" customHeight="false" outlineLevel="0" collapsed="false">
      <c r="A1498" s="21" t="s">
        <v>1767</v>
      </c>
      <c r="B1498" s="21" t="s">
        <v>1545</v>
      </c>
      <c r="C1498" s="21"/>
      <c r="D1498" s="37" t="s">
        <v>84</v>
      </c>
      <c r="E1498" s="37" t="s">
        <v>84</v>
      </c>
      <c r="F1498" s="37" t="s">
        <v>153</v>
      </c>
      <c r="G1498" s="21" t="s">
        <v>1548</v>
      </c>
      <c r="H1498" s="21" t="n">
        <v>0</v>
      </c>
      <c r="I1498" s="21" t="s">
        <v>137</v>
      </c>
    </row>
    <row r="1499" customFormat="false" ht="15" hidden="false" customHeight="false" outlineLevel="0" collapsed="false">
      <c r="A1499" s="21" t="s">
        <v>1768</v>
      </c>
      <c r="B1499" s="21" t="s">
        <v>1554</v>
      </c>
      <c r="C1499" s="21"/>
      <c r="D1499" s="37" t="s">
        <v>84</v>
      </c>
      <c r="E1499" s="37" t="s">
        <v>84</v>
      </c>
      <c r="F1499" s="37" t="s">
        <v>153</v>
      </c>
      <c r="G1499" s="21" t="s">
        <v>1548</v>
      </c>
      <c r="H1499" s="21" t="n">
        <v>0</v>
      </c>
      <c r="I1499" s="21" t="s">
        <v>137</v>
      </c>
    </row>
    <row r="1500" customFormat="false" ht="15" hidden="false" customHeight="false" outlineLevel="0" collapsed="false">
      <c r="A1500" s="21" t="s">
        <v>1769</v>
      </c>
      <c r="B1500" s="21" t="s">
        <v>1552</v>
      </c>
      <c r="C1500" s="21"/>
      <c r="D1500" s="37" t="s">
        <v>84</v>
      </c>
      <c r="E1500" s="37" t="s">
        <v>84</v>
      </c>
      <c r="F1500" s="37" t="s">
        <v>153</v>
      </c>
      <c r="G1500" s="21" t="s">
        <v>461</v>
      </c>
      <c r="H1500" s="21" t="n">
        <v>0</v>
      </c>
      <c r="I1500" s="21" t="s">
        <v>137</v>
      </c>
    </row>
    <row r="1501" customFormat="false" ht="15" hidden="false" customHeight="false" outlineLevel="0" collapsed="false">
      <c r="A1501" s="21" t="s">
        <v>1770</v>
      </c>
      <c r="B1501" s="21" t="s">
        <v>1545</v>
      </c>
      <c r="C1501" s="21"/>
      <c r="D1501" s="37" t="s">
        <v>84</v>
      </c>
      <c r="E1501" s="37" t="s">
        <v>84</v>
      </c>
      <c r="F1501" s="37" t="s">
        <v>153</v>
      </c>
      <c r="G1501" s="21" t="s">
        <v>1548</v>
      </c>
      <c r="H1501" s="21" t="n">
        <v>0</v>
      </c>
      <c r="I1501" s="21" t="s">
        <v>137</v>
      </c>
    </row>
    <row r="1502" customFormat="false" ht="15" hidden="false" customHeight="false" outlineLevel="0" collapsed="false">
      <c r="A1502" s="21" t="s">
        <v>1771</v>
      </c>
      <c r="B1502" s="21" t="s">
        <v>1545</v>
      </c>
      <c r="C1502" s="21"/>
      <c r="D1502" s="37" t="s">
        <v>84</v>
      </c>
      <c r="E1502" s="37" t="s">
        <v>84</v>
      </c>
      <c r="F1502" s="37" t="s">
        <v>153</v>
      </c>
      <c r="G1502" s="21" t="s">
        <v>1548</v>
      </c>
      <c r="H1502" s="21" t="n">
        <v>0</v>
      </c>
      <c r="I1502" s="21" t="s">
        <v>137</v>
      </c>
    </row>
    <row r="1503" customFormat="false" ht="15" hidden="false" customHeight="false" outlineLevel="0" collapsed="false">
      <c r="A1503" s="21" t="s">
        <v>1772</v>
      </c>
      <c r="B1503" s="21" t="s">
        <v>1773</v>
      </c>
      <c r="C1503" s="21"/>
      <c r="D1503" s="37" t="s">
        <v>211</v>
      </c>
      <c r="E1503" s="37" t="s">
        <v>26</v>
      </c>
      <c r="F1503" s="37" t="s">
        <v>153</v>
      </c>
      <c r="G1503" s="21" t="s">
        <v>456</v>
      </c>
      <c r="H1503" s="21" t="n">
        <v>0</v>
      </c>
      <c r="I1503" s="21" t="s">
        <v>137</v>
      </c>
    </row>
    <row r="1504" customFormat="false" ht="15" hidden="false" customHeight="false" outlineLevel="0" collapsed="false">
      <c r="A1504" s="21" t="s">
        <v>1774</v>
      </c>
      <c r="B1504" s="21"/>
      <c r="C1504" s="21"/>
      <c r="D1504" s="37" t="s">
        <v>84</v>
      </c>
      <c r="E1504" s="37" t="s">
        <v>84</v>
      </c>
      <c r="F1504" s="37" t="s">
        <v>153</v>
      </c>
      <c r="G1504" s="21" t="s">
        <v>450</v>
      </c>
      <c r="H1504" s="21" t="n">
        <v>0</v>
      </c>
      <c r="I1504" s="21" t="s">
        <v>137</v>
      </c>
    </row>
    <row r="1505" customFormat="false" ht="15" hidden="false" customHeight="false" outlineLevel="0" collapsed="false">
      <c r="A1505" s="21" t="s">
        <v>1775</v>
      </c>
      <c r="B1505" s="21" t="s">
        <v>1776</v>
      </c>
      <c r="C1505" s="21"/>
      <c r="D1505" s="37" t="s">
        <v>211</v>
      </c>
      <c r="E1505" s="37" t="s">
        <v>26</v>
      </c>
      <c r="F1505" s="37" t="s">
        <v>153</v>
      </c>
      <c r="G1505" s="21" t="s">
        <v>445</v>
      </c>
      <c r="H1505" s="21" t="n">
        <v>0</v>
      </c>
      <c r="I1505" s="21" t="s">
        <v>137</v>
      </c>
    </row>
    <row r="1506" customFormat="false" ht="15" hidden="false" customHeight="false" outlineLevel="0" collapsed="false">
      <c r="A1506" s="21" t="s">
        <v>1777</v>
      </c>
      <c r="B1506" s="21" t="s">
        <v>1778</v>
      </c>
      <c r="C1506" s="21"/>
      <c r="D1506" s="37" t="s">
        <v>305</v>
      </c>
      <c r="E1506" s="37" t="s">
        <v>26</v>
      </c>
      <c r="F1506" s="37" t="s">
        <v>153</v>
      </c>
      <c r="G1506" s="21" t="s">
        <v>445</v>
      </c>
      <c r="H1506" s="21" t="n">
        <v>0</v>
      </c>
      <c r="I1506" s="21" t="s">
        <v>137</v>
      </c>
    </row>
    <row r="1507" customFormat="false" ht="15" hidden="false" customHeight="false" outlineLevel="0" collapsed="false">
      <c r="A1507" s="21" t="s">
        <v>1779</v>
      </c>
      <c r="B1507" s="21" t="s">
        <v>1780</v>
      </c>
      <c r="C1507" s="21"/>
      <c r="D1507" s="37" t="s">
        <v>84</v>
      </c>
      <c r="E1507" s="37" t="s">
        <v>84</v>
      </c>
      <c r="F1507" s="37" t="s">
        <v>153</v>
      </c>
      <c r="G1507" s="21" t="s">
        <v>441</v>
      </c>
      <c r="H1507" s="21" t="n">
        <v>0</v>
      </c>
      <c r="I1507" s="21" t="s">
        <v>137</v>
      </c>
    </row>
    <row r="1508" customFormat="false" ht="15" hidden="false" customHeight="false" outlineLevel="0" collapsed="false">
      <c r="A1508" s="21" t="s">
        <v>1781</v>
      </c>
      <c r="B1508" s="21" t="s">
        <v>1782</v>
      </c>
      <c r="C1508" s="21"/>
      <c r="D1508" s="37" t="s">
        <v>148</v>
      </c>
      <c r="E1508" s="37" t="s">
        <v>27</v>
      </c>
      <c r="F1508" s="37" t="s">
        <v>142</v>
      </c>
      <c r="G1508" s="21" t="s">
        <v>445</v>
      </c>
      <c r="H1508" s="21" t="n">
        <v>0</v>
      </c>
      <c r="I1508" s="21" t="s">
        <v>137</v>
      </c>
    </row>
    <row r="1509" customFormat="false" ht="15" hidden="false" customHeight="false" outlineLevel="0" collapsed="false">
      <c r="A1509" s="21" t="s">
        <v>1783</v>
      </c>
      <c r="B1509" s="21" t="s">
        <v>1784</v>
      </c>
      <c r="C1509" s="21"/>
      <c r="D1509" s="37" t="s">
        <v>152</v>
      </c>
      <c r="E1509" s="37" t="s">
        <v>26</v>
      </c>
      <c r="F1509" s="37" t="s">
        <v>153</v>
      </c>
      <c r="G1509" s="21" t="s">
        <v>105</v>
      </c>
      <c r="H1509" s="21" t="n">
        <v>0</v>
      </c>
      <c r="I1509" s="21" t="s">
        <v>137</v>
      </c>
    </row>
    <row r="1510" customFormat="false" ht="15" hidden="false" customHeight="false" outlineLevel="0" collapsed="false">
      <c r="A1510" s="21" t="s">
        <v>1785</v>
      </c>
      <c r="B1510" s="21" t="s">
        <v>1786</v>
      </c>
      <c r="C1510" s="21"/>
      <c r="D1510" s="37" t="s">
        <v>221</v>
      </c>
      <c r="E1510" s="37" t="s">
        <v>26</v>
      </c>
      <c r="F1510" s="37" t="s">
        <v>153</v>
      </c>
      <c r="G1510" s="21" t="s">
        <v>441</v>
      </c>
      <c r="H1510" s="21" t="n">
        <v>0</v>
      </c>
      <c r="I1510" s="21" t="s">
        <v>137</v>
      </c>
    </row>
    <row r="1511" customFormat="false" ht="15" hidden="false" customHeight="false" outlineLevel="0" collapsed="false">
      <c r="A1511" s="21" t="s">
        <v>1787</v>
      </c>
      <c r="B1511" s="21" t="s">
        <v>1788</v>
      </c>
      <c r="C1511" s="21"/>
      <c r="D1511" s="37" t="s">
        <v>148</v>
      </c>
      <c r="E1511" s="37" t="s">
        <v>27</v>
      </c>
      <c r="F1511" s="37" t="s">
        <v>142</v>
      </c>
      <c r="G1511" s="21" t="s">
        <v>445</v>
      </c>
      <c r="H1511" s="21" t="n">
        <v>0</v>
      </c>
      <c r="I1511" s="21" t="s">
        <v>137</v>
      </c>
    </row>
    <row r="1512" customFormat="false" ht="15" hidden="false" customHeight="false" outlineLevel="0" collapsed="false">
      <c r="A1512" s="21" t="s">
        <v>1789</v>
      </c>
      <c r="B1512" s="21"/>
      <c r="C1512" s="21"/>
      <c r="D1512" s="37" t="s">
        <v>84</v>
      </c>
      <c r="E1512" s="37" t="s">
        <v>84</v>
      </c>
      <c r="F1512" s="37" t="s">
        <v>153</v>
      </c>
      <c r="G1512" s="21" t="s">
        <v>450</v>
      </c>
      <c r="H1512" s="21" t="n">
        <v>0</v>
      </c>
      <c r="I1512" s="21" t="s">
        <v>137</v>
      </c>
    </row>
    <row r="1513" customFormat="false" ht="15" hidden="false" customHeight="false" outlineLevel="0" collapsed="false">
      <c r="A1513" s="21" t="s">
        <v>1790</v>
      </c>
      <c r="B1513" s="21"/>
      <c r="C1513" s="21"/>
      <c r="D1513" s="37" t="s">
        <v>84</v>
      </c>
      <c r="E1513" s="37" t="s">
        <v>84</v>
      </c>
      <c r="F1513" s="37" t="s">
        <v>153</v>
      </c>
      <c r="G1513" s="21" t="s">
        <v>450</v>
      </c>
      <c r="H1513" s="21" t="n">
        <v>0</v>
      </c>
      <c r="I1513" s="21" t="s">
        <v>137</v>
      </c>
    </row>
    <row r="1514" customFormat="false" ht="15" hidden="false" customHeight="false" outlineLevel="0" collapsed="false">
      <c r="A1514" s="21" t="s">
        <v>1791</v>
      </c>
      <c r="B1514" s="21"/>
      <c r="C1514" s="21"/>
      <c r="D1514" s="37" t="s">
        <v>84</v>
      </c>
      <c r="E1514" s="37" t="s">
        <v>84</v>
      </c>
      <c r="F1514" s="37" t="s">
        <v>153</v>
      </c>
      <c r="G1514" s="21" t="s">
        <v>450</v>
      </c>
      <c r="H1514" s="21" t="n">
        <v>0</v>
      </c>
      <c r="I1514" s="21" t="s">
        <v>137</v>
      </c>
    </row>
    <row r="1515" customFormat="false" ht="15" hidden="false" customHeight="false" outlineLevel="0" collapsed="false">
      <c r="A1515" s="21" t="s">
        <v>1792</v>
      </c>
      <c r="B1515" s="21"/>
      <c r="C1515" s="21"/>
      <c r="D1515" s="37" t="s">
        <v>84</v>
      </c>
      <c r="E1515" s="37" t="s">
        <v>84</v>
      </c>
      <c r="F1515" s="37" t="s">
        <v>153</v>
      </c>
      <c r="G1515" s="21" t="s">
        <v>450</v>
      </c>
      <c r="H1515" s="21" t="n">
        <v>0</v>
      </c>
      <c r="I1515" s="21" t="s">
        <v>137</v>
      </c>
    </row>
    <row r="1516" customFormat="false" ht="15" hidden="false" customHeight="false" outlineLevel="0" collapsed="false">
      <c r="A1516" s="21" t="s">
        <v>1793</v>
      </c>
      <c r="B1516" s="21" t="s">
        <v>1794</v>
      </c>
      <c r="C1516" s="21"/>
      <c r="D1516" s="37" t="s">
        <v>84</v>
      </c>
      <c r="E1516" s="37" t="s">
        <v>84</v>
      </c>
      <c r="F1516" s="37" t="s">
        <v>153</v>
      </c>
      <c r="G1516" s="21" t="s">
        <v>456</v>
      </c>
      <c r="H1516" s="21" t="n">
        <v>0</v>
      </c>
      <c r="I1516" s="21" t="s">
        <v>137</v>
      </c>
    </row>
    <row r="1517" customFormat="false" ht="15" hidden="false" customHeight="false" outlineLevel="0" collapsed="false">
      <c r="A1517" s="21" t="s">
        <v>1795</v>
      </c>
      <c r="B1517" s="21"/>
      <c r="C1517" s="21"/>
      <c r="D1517" s="37" t="s">
        <v>84</v>
      </c>
      <c r="E1517" s="37" t="s">
        <v>84</v>
      </c>
      <c r="F1517" s="37" t="s">
        <v>153</v>
      </c>
      <c r="G1517" s="21" t="s">
        <v>1796</v>
      </c>
      <c r="H1517" s="21" t="n">
        <v>0</v>
      </c>
      <c r="I1517" s="21" t="s">
        <v>137</v>
      </c>
    </row>
    <row r="1518" customFormat="false" ht="15" hidden="false" customHeight="false" outlineLevel="0" collapsed="false">
      <c r="A1518" s="21" t="s">
        <v>1797</v>
      </c>
      <c r="B1518" s="21" t="s">
        <v>1798</v>
      </c>
      <c r="C1518" s="21"/>
      <c r="D1518" s="37" t="s">
        <v>84</v>
      </c>
      <c r="E1518" s="37" t="s">
        <v>84</v>
      </c>
      <c r="F1518" s="37" t="s">
        <v>153</v>
      </c>
      <c r="G1518" s="21" t="s">
        <v>1796</v>
      </c>
      <c r="H1518" s="21" t="n">
        <v>0</v>
      </c>
      <c r="I1518" s="21" t="s">
        <v>137</v>
      </c>
    </row>
    <row r="1519" customFormat="false" ht="15" hidden="false" customHeight="false" outlineLevel="0" collapsed="false">
      <c r="A1519" s="21" t="s">
        <v>1799</v>
      </c>
      <c r="B1519" s="21" t="s">
        <v>1798</v>
      </c>
      <c r="C1519" s="21"/>
      <c r="D1519" s="37" t="s">
        <v>84</v>
      </c>
      <c r="E1519" s="37" t="s">
        <v>84</v>
      </c>
      <c r="F1519" s="37" t="s">
        <v>153</v>
      </c>
      <c r="G1519" s="21" t="s">
        <v>1796</v>
      </c>
      <c r="H1519" s="21" t="n">
        <v>0</v>
      </c>
      <c r="I1519" s="21" t="s">
        <v>137</v>
      </c>
    </row>
    <row r="1520" customFormat="false" ht="15" hidden="false" customHeight="false" outlineLevel="0" collapsed="false">
      <c r="A1520" s="21" t="s">
        <v>1800</v>
      </c>
      <c r="B1520" s="21" t="s">
        <v>1801</v>
      </c>
      <c r="C1520" s="21"/>
      <c r="D1520" s="37" t="s">
        <v>84</v>
      </c>
      <c r="E1520" s="37" t="s">
        <v>84</v>
      </c>
      <c r="F1520" s="37" t="s">
        <v>153</v>
      </c>
      <c r="G1520" s="21" t="s">
        <v>1796</v>
      </c>
      <c r="H1520" s="21" t="n">
        <v>0</v>
      </c>
      <c r="I1520" s="21" t="s">
        <v>137</v>
      </c>
    </row>
    <row r="1521" customFormat="false" ht="15" hidden="false" customHeight="false" outlineLevel="0" collapsed="false">
      <c r="A1521" s="21" t="s">
        <v>1802</v>
      </c>
      <c r="B1521" s="21" t="s">
        <v>1798</v>
      </c>
      <c r="C1521" s="21"/>
      <c r="D1521" s="37" t="s">
        <v>84</v>
      </c>
      <c r="E1521" s="37" t="s">
        <v>84</v>
      </c>
      <c r="F1521" s="37" t="s">
        <v>153</v>
      </c>
      <c r="G1521" s="21" t="s">
        <v>1796</v>
      </c>
      <c r="H1521" s="21" t="n">
        <v>0</v>
      </c>
      <c r="I1521" s="21" t="s">
        <v>137</v>
      </c>
    </row>
    <row r="1522" customFormat="false" ht="15" hidden="false" customHeight="false" outlineLevel="0" collapsed="false">
      <c r="A1522" s="21" t="s">
        <v>1803</v>
      </c>
      <c r="B1522" s="21" t="s">
        <v>1798</v>
      </c>
      <c r="C1522" s="21"/>
      <c r="D1522" s="37" t="s">
        <v>84</v>
      </c>
      <c r="E1522" s="37" t="s">
        <v>84</v>
      </c>
      <c r="F1522" s="37" t="s">
        <v>153</v>
      </c>
      <c r="G1522" s="21" t="s">
        <v>1796</v>
      </c>
      <c r="H1522" s="21" t="n">
        <v>0</v>
      </c>
      <c r="I1522" s="21" t="s">
        <v>137</v>
      </c>
    </row>
    <row r="1523" customFormat="false" ht="15" hidden="false" customHeight="false" outlineLevel="0" collapsed="false">
      <c r="A1523" s="21" t="s">
        <v>1804</v>
      </c>
      <c r="B1523" s="21"/>
      <c r="C1523" s="21"/>
      <c r="D1523" s="37" t="s">
        <v>84</v>
      </c>
      <c r="E1523" s="37" t="s">
        <v>84</v>
      </c>
      <c r="F1523" s="37" t="s">
        <v>153</v>
      </c>
      <c r="G1523" s="21" t="s">
        <v>1796</v>
      </c>
      <c r="H1523" s="21" t="n">
        <v>0</v>
      </c>
      <c r="I1523" s="21" t="s">
        <v>137</v>
      </c>
    </row>
    <row r="1524" customFormat="false" ht="15" hidden="false" customHeight="false" outlineLevel="0" collapsed="false">
      <c r="A1524" s="21" t="s">
        <v>1805</v>
      </c>
      <c r="B1524" s="21" t="s">
        <v>1798</v>
      </c>
      <c r="C1524" s="21"/>
      <c r="D1524" s="37" t="s">
        <v>84</v>
      </c>
      <c r="E1524" s="37" t="s">
        <v>84</v>
      </c>
      <c r="F1524" s="37" t="s">
        <v>153</v>
      </c>
      <c r="G1524" s="21" t="s">
        <v>1796</v>
      </c>
      <c r="H1524" s="21" t="n">
        <v>0</v>
      </c>
      <c r="I1524" s="21" t="s">
        <v>137</v>
      </c>
    </row>
    <row r="1525" customFormat="false" ht="15" hidden="false" customHeight="false" outlineLevel="0" collapsed="false">
      <c r="A1525" s="21" t="s">
        <v>1806</v>
      </c>
      <c r="B1525" s="21"/>
      <c r="C1525" s="21"/>
      <c r="D1525" s="37" t="s">
        <v>84</v>
      </c>
      <c r="E1525" s="37" t="s">
        <v>84</v>
      </c>
      <c r="F1525" s="37" t="s">
        <v>153</v>
      </c>
      <c r="G1525" s="21" t="s">
        <v>1796</v>
      </c>
      <c r="H1525" s="21" t="n">
        <v>0</v>
      </c>
      <c r="I1525" s="21" t="s">
        <v>137</v>
      </c>
    </row>
    <row r="1526" customFormat="false" ht="15" hidden="false" customHeight="false" outlineLevel="0" collapsed="false">
      <c r="A1526" s="21" t="s">
        <v>1807</v>
      </c>
      <c r="B1526" s="21"/>
      <c r="C1526" s="21"/>
      <c r="D1526" s="37" t="s">
        <v>84</v>
      </c>
      <c r="E1526" s="37" t="s">
        <v>84</v>
      </c>
      <c r="F1526" s="37" t="s">
        <v>153</v>
      </c>
      <c r="G1526" s="21" t="s">
        <v>1796</v>
      </c>
      <c r="H1526" s="21" t="n">
        <v>0</v>
      </c>
      <c r="I1526" s="21" t="s">
        <v>137</v>
      </c>
    </row>
    <row r="1527" customFormat="false" ht="15" hidden="false" customHeight="false" outlineLevel="0" collapsed="false">
      <c r="A1527" s="21" t="s">
        <v>1808</v>
      </c>
      <c r="B1527" s="21" t="s">
        <v>1798</v>
      </c>
      <c r="C1527" s="21"/>
      <c r="D1527" s="37" t="s">
        <v>84</v>
      </c>
      <c r="E1527" s="37" t="s">
        <v>84</v>
      </c>
      <c r="F1527" s="37" t="s">
        <v>153</v>
      </c>
      <c r="G1527" s="21" t="s">
        <v>1796</v>
      </c>
      <c r="H1527" s="21" t="n">
        <v>0</v>
      </c>
      <c r="I1527" s="21" t="s">
        <v>137</v>
      </c>
    </row>
    <row r="1528" customFormat="false" ht="15" hidden="false" customHeight="false" outlineLevel="0" collapsed="false">
      <c r="A1528" s="21" t="s">
        <v>1809</v>
      </c>
      <c r="B1528" s="21" t="s">
        <v>1798</v>
      </c>
      <c r="C1528" s="21"/>
      <c r="D1528" s="37" t="s">
        <v>84</v>
      </c>
      <c r="E1528" s="37" t="s">
        <v>84</v>
      </c>
      <c r="F1528" s="37" t="s">
        <v>153</v>
      </c>
      <c r="G1528" s="21" t="s">
        <v>1796</v>
      </c>
      <c r="H1528" s="21" t="n">
        <v>0</v>
      </c>
      <c r="I1528" s="21" t="s">
        <v>137</v>
      </c>
    </row>
    <row r="1529" customFormat="false" ht="15" hidden="false" customHeight="false" outlineLevel="0" collapsed="false">
      <c r="A1529" s="21" t="s">
        <v>1810</v>
      </c>
      <c r="B1529" s="21" t="s">
        <v>1798</v>
      </c>
      <c r="C1529" s="21"/>
      <c r="D1529" s="37" t="s">
        <v>84</v>
      </c>
      <c r="E1529" s="37" t="s">
        <v>84</v>
      </c>
      <c r="F1529" s="37" t="s">
        <v>153</v>
      </c>
      <c r="G1529" s="21" t="s">
        <v>1796</v>
      </c>
      <c r="H1529" s="21" t="n">
        <v>0</v>
      </c>
      <c r="I1529" s="21" t="s">
        <v>137</v>
      </c>
    </row>
    <row r="1530" customFormat="false" ht="15" hidden="false" customHeight="false" outlineLevel="0" collapsed="false">
      <c r="A1530" s="21" t="s">
        <v>1811</v>
      </c>
      <c r="B1530" s="21"/>
      <c r="C1530" s="21"/>
      <c r="D1530" s="37" t="s">
        <v>84</v>
      </c>
      <c r="E1530" s="37" t="s">
        <v>84</v>
      </c>
      <c r="F1530" s="37" t="s">
        <v>153</v>
      </c>
      <c r="G1530" s="21" t="s">
        <v>1796</v>
      </c>
      <c r="H1530" s="21" t="n">
        <v>0</v>
      </c>
      <c r="I1530" s="21" t="s">
        <v>137</v>
      </c>
    </row>
    <row r="1531" customFormat="false" ht="15" hidden="false" customHeight="false" outlineLevel="0" collapsed="false">
      <c r="A1531" s="21" t="s">
        <v>1812</v>
      </c>
      <c r="B1531" s="21"/>
      <c r="C1531" s="21"/>
      <c r="D1531" s="37" t="s">
        <v>84</v>
      </c>
      <c r="E1531" s="37" t="s">
        <v>84</v>
      </c>
      <c r="F1531" s="37" t="s">
        <v>153</v>
      </c>
      <c r="G1531" s="21" t="s">
        <v>1796</v>
      </c>
      <c r="H1531" s="21" t="n">
        <v>0</v>
      </c>
      <c r="I1531" s="21" t="s">
        <v>137</v>
      </c>
    </row>
    <row r="1532" customFormat="false" ht="15" hidden="false" customHeight="false" outlineLevel="0" collapsed="false">
      <c r="A1532" s="21" t="s">
        <v>1813</v>
      </c>
      <c r="B1532" s="21"/>
      <c r="C1532" s="21"/>
      <c r="D1532" s="37" t="s">
        <v>84</v>
      </c>
      <c r="E1532" s="37" t="s">
        <v>84</v>
      </c>
      <c r="F1532" s="37" t="s">
        <v>153</v>
      </c>
      <c r="G1532" s="21" t="s">
        <v>1796</v>
      </c>
      <c r="H1532" s="21" t="n">
        <v>0</v>
      </c>
      <c r="I1532" s="21" t="s">
        <v>137</v>
      </c>
    </row>
    <row r="1533" customFormat="false" ht="15" hidden="false" customHeight="false" outlineLevel="0" collapsed="false">
      <c r="A1533" s="21" t="s">
        <v>1814</v>
      </c>
      <c r="B1533" s="21" t="s">
        <v>1798</v>
      </c>
      <c r="C1533" s="21"/>
      <c r="D1533" s="37" t="s">
        <v>84</v>
      </c>
      <c r="E1533" s="37" t="s">
        <v>84</v>
      </c>
      <c r="F1533" s="37" t="s">
        <v>153</v>
      </c>
      <c r="G1533" s="21" t="s">
        <v>1796</v>
      </c>
      <c r="H1533" s="21" t="n">
        <v>0</v>
      </c>
      <c r="I1533" s="21" t="s">
        <v>137</v>
      </c>
    </row>
    <row r="1534" customFormat="false" ht="15" hidden="false" customHeight="false" outlineLevel="0" collapsed="false">
      <c r="A1534" s="21" t="s">
        <v>1815</v>
      </c>
      <c r="B1534" s="21" t="s">
        <v>1816</v>
      </c>
      <c r="C1534" s="21"/>
      <c r="D1534" s="37" t="s">
        <v>84</v>
      </c>
      <c r="E1534" s="37" t="s">
        <v>84</v>
      </c>
      <c r="F1534" s="37" t="s">
        <v>153</v>
      </c>
      <c r="G1534" s="21" t="s">
        <v>1796</v>
      </c>
      <c r="H1534" s="21" t="n">
        <v>0</v>
      </c>
      <c r="I1534" s="21" t="s">
        <v>137</v>
      </c>
    </row>
    <row r="1535" customFormat="false" ht="15" hidden="false" customHeight="false" outlineLevel="0" collapsed="false">
      <c r="A1535" s="21" t="s">
        <v>1817</v>
      </c>
      <c r="B1535" s="21"/>
      <c r="C1535" s="21"/>
      <c r="D1535" s="37" t="s">
        <v>84</v>
      </c>
      <c r="E1535" s="37" t="s">
        <v>84</v>
      </c>
      <c r="F1535" s="37" t="s">
        <v>153</v>
      </c>
      <c r="G1535" s="21" t="s">
        <v>1796</v>
      </c>
      <c r="H1535" s="21" t="n">
        <v>0</v>
      </c>
      <c r="I1535" s="21" t="s">
        <v>137</v>
      </c>
    </row>
    <row r="1536" customFormat="false" ht="15" hidden="false" customHeight="false" outlineLevel="0" collapsed="false">
      <c r="A1536" s="21" t="s">
        <v>1818</v>
      </c>
      <c r="B1536" s="21"/>
      <c r="C1536" s="21"/>
      <c r="D1536" s="37" t="s">
        <v>84</v>
      </c>
      <c r="E1536" s="37" t="s">
        <v>84</v>
      </c>
      <c r="F1536" s="37" t="s">
        <v>153</v>
      </c>
      <c r="G1536" s="21" t="s">
        <v>1796</v>
      </c>
      <c r="H1536" s="21" t="n">
        <v>0</v>
      </c>
      <c r="I1536" s="21" t="s">
        <v>137</v>
      </c>
    </row>
    <row r="1537" customFormat="false" ht="15" hidden="false" customHeight="false" outlineLevel="0" collapsed="false">
      <c r="A1537" s="21" t="s">
        <v>1819</v>
      </c>
      <c r="B1537" s="21"/>
      <c r="C1537" s="21"/>
      <c r="D1537" s="37" t="s">
        <v>84</v>
      </c>
      <c r="E1537" s="37" t="s">
        <v>84</v>
      </c>
      <c r="F1537" s="37" t="s">
        <v>153</v>
      </c>
      <c r="G1537" s="21" t="s">
        <v>1796</v>
      </c>
      <c r="H1537" s="21" t="n">
        <v>0</v>
      </c>
      <c r="I1537" s="21" t="s">
        <v>137</v>
      </c>
    </row>
    <row r="1538" customFormat="false" ht="15" hidden="false" customHeight="false" outlineLevel="0" collapsed="false">
      <c r="A1538" s="21" t="s">
        <v>1820</v>
      </c>
      <c r="B1538" s="21" t="s">
        <v>1798</v>
      </c>
      <c r="C1538" s="21"/>
      <c r="D1538" s="37" t="s">
        <v>84</v>
      </c>
      <c r="E1538" s="37" t="s">
        <v>84</v>
      </c>
      <c r="F1538" s="37" t="s">
        <v>153</v>
      </c>
      <c r="G1538" s="21" t="s">
        <v>1796</v>
      </c>
      <c r="H1538" s="21" t="n">
        <v>0</v>
      </c>
      <c r="I1538" s="21" t="s">
        <v>137</v>
      </c>
    </row>
    <row r="1539" customFormat="false" ht="15" hidden="false" customHeight="false" outlineLevel="0" collapsed="false">
      <c r="A1539" s="21" t="s">
        <v>1821</v>
      </c>
      <c r="B1539" s="21" t="s">
        <v>1798</v>
      </c>
      <c r="C1539" s="21"/>
      <c r="D1539" s="37" t="s">
        <v>84</v>
      </c>
      <c r="E1539" s="37" t="s">
        <v>84</v>
      </c>
      <c r="F1539" s="37" t="s">
        <v>153</v>
      </c>
      <c r="G1539" s="21" t="s">
        <v>1796</v>
      </c>
      <c r="H1539" s="21" t="n">
        <v>0</v>
      </c>
      <c r="I1539" s="21" t="s">
        <v>137</v>
      </c>
    </row>
    <row r="1540" customFormat="false" ht="15" hidden="false" customHeight="false" outlineLevel="0" collapsed="false">
      <c r="A1540" s="21" t="s">
        <v>1822</v>
      </c>
      <c r="B1540" s="21"/>
      <c r="C1540" s="21"/>
      <c r="D1540" s="37" t="s">
        <v>84</v>
      </c>
      <c r="E1540" s="37" t="s">
        <v>84</v>
      </c>
      <c r="F1540" s="37" t="s">
        <v>153</v>
      </c>
      <c r="G1540" s="21" t="s">
        <v>1796</v>
      </c>
      <c r="H1540" s="21" t="n">
        <v>0</v>
      </c>
      <c r="I1540" s="21" t="s">
        <v>137</v>
      </c>
    </row>
    <row r="1541" customFormat="false" ht="15" hidden="false" customHeight="false" outlineLevel="0" collapsed="false">
      <c r="A1541" s="21" t="s">
        <v>1823</v>
      </c>
      <c r="B1541" s="21"/>
      <c r="C1541" s="21"/>
      <c r="D1541" s="37" t="s">
        <v>84</v>
      </c>
      <c r="E1541" s="37" t="s">
        <v>84</v>
      </c>
      <c r="F1541" s="37" t="s">
        <v>153</v>
      </c>
      <c r="G1541" s="21" t="s">
        <v>1796</v>
      </c>
      <c r="H1541" s="21" t="n">
        <v>0</v>
      </c>
      <c r="I1541" s="21" t="s">
        <v>137</v>
      </c>
    </row>
    <row r="1542" customFormat="false" ht="15" hidden="false" customHeight="false" outlineLevel="0" collapsed="false">
      <c r="A1542" s="21" t="s">
        <v>1824</v>
      </c>
      <c r="B1542" s="21" t="s">
        <v>1798</v>
      </c>
      <c r="C1542" s="21"/>
      <c r="D1542" s="37" t="s">
        <v>84</v>
      </c>
      <c r="E1542" s="37" t="s">
        <v>84</v>
      </c>
      <c r="F1542" s="37" t="s">
        <v>153</v>
      </c>
      <c r="G1542" s="21" t="s">
        <v>1796</v>
      </c>
      <c r="H1542" s="21" t="n">
        <v>0</v>
      </c>
      <c r="I1542" s="21" t="s">
        <v>137</v>
      </c>
    </row>
    <row r="1543" customFormat="false" ht="15" hidden="false" customHeight="false" outlineLevel="0" collapsed="false">
      <c r="A1543" s="21" t="s">
        <v>1825</v>
      </c>
      <c r="B1543" s="21" t="s">
        <v>1798</v>
      </c>
      <c r="C1543" s="21"/>
      <c r="D1543" s="37" t="s">
        <v>84</v>
      </c>
      <c r="E1543" s="37" t="s">
        <v>84</v>
      </c>
      <c r="F1543" s="37" t="s">
        <v>153</v>
      </c>
      <c r="G1543" s="21" t="s">
        <v>1796</v>
      </c>
      <c r="H1543" s="21" t="n">
        <v>0</v>
      </c>
      <c r="I1543" s="21" t="s">
        <v>137</v>
      </c>
    </row>
    <row r="1544" customFormat="false" ht="15" hidden="false" customHeight="false" outlineLevel="0" collapsed="false">
      <c r="A1544" s="21" t="s">
        <v>1826</v>
      </c>
      <c r="B1544" s="21" t="s">
        <v>1798</v>
      </c>
      <c r="C1544" s="21"/>
      <c r="D1544" s="37" t="s">
        <v>84</v>
      </c>
      <c r="E1544" s="37" t="s">
        <v>84</v>
      </c>
      <c r="F1544" s="37" t="s">
        <v>153</v>
      </c>
      <c r="G1544" s="21" t="s">
        <v>1796</v>
      </c>
      <c r="H1544" s="21" t="n">
        <v>0</v>
      </c>
      <c r="I1544" s="21" t="s">
        <v>137</v>
      </c>
    </row>
    <row r="1545" customFormat="false" ht="15" hidden="false" customHeight="false" outlineLevel="0" collapsed="false">
      <c r="A1545" s="21" t="s">
        <v>1827</v>
      </c>
      <c r="B1545" s="21" t="s">
        <v>1798</v>
      </c>
      <c r="C1545" s="21"/>
      <c r="D1545" s="37" t="s">
        <v>84</v>
      </c>
      <c r="E1545" s="37" t="s">
        <v>84</v>
      </c>
      <c r="F1545" s="37" t="s">
        <v>153</v>
      </c>
      <c r="G1545" s="21" t="s">
        <v>1796</v>
      </c>
      <c r="H1545" s="21" t="n">
        <v>0</v>
      </c>
      <c r="I1545" s="21" t="s">
        <v>137</v>
      </c>
    </row>
    <row r="1546" customFormat="false" ht="15" hidden="false" customHeight="false" outlineLevel="0" collapsed="false">
      <c r="A1546" s="21" t="s">
        <v>1828</v>
      </c>
      <c r="B1546" s="21"/>
      <c r="C1546" s="21"/>
      <c r="D1546" s="37" t="s">
        <v>84</v>
      </c>
      <c r="E1546" s="37" t="s">
        <v>84</v>
      </c>
      <c r="F1546" s="37" t="s">
        <v>153</v>
      </c>
      <c r="G1546" s="21" t="s">
        <v>1796</v>
      </c>
      <c r="H1546" s="21" t="n">
        <v>0</v>
      </c>
      <c r="I1546" s="21" t="s">
        <v>137</v>
      </c>
    </row>
    <row r="1547" customFormat="false" ht="15" hidden="false" customHeight="false" outlineLevel="0" collapsed="false">
      <c r="A1547" s="21" t="s">
        <v>1829</v>
      </c>
      <c r="B1547" s="21" t="s">
        <v>1798</v>
      </c>
      <c r="C1547" s="21"/>
      <c r="D1547" s="37" t="s">
        <v>84</v>
      </c>
      <c r="E1547" s="37" t="s">
        <v>84</v>
      </c>
      <c r="F1547" s="37" t="s">
        <v>153</v>
      </c>
      <c r="G1547" s="21" t="s">
        <v>1796</v>
      </c>
      <c r="H1547" s="21" t="n">
        <v>0</v>
      </c>
      <c r="I1547" s="21" t="s">
        <v>137</v>
      </c>
    </row>
    <row r="1548" customFormat="false" ht="15" hidden="false" customHeight="false" outlineLevel="0" collapsed="false">
      <c r="A1548" s="21" t="s">
        <v>1830</v>
      </c>
      <c r="B1548" s="21"/>
      <c r="C1548" s="21"/>
      <c r="D1548" s="37" t="s">
        <v>84</v>
      </c>
      <c r="E1548" s="37" t="s">
        <v>84</v>
      </c>
      <c r="F1548" s="37" t="s">
        <v>153</v>
      </c>
      <c r="G1548" s="21" t="s">
        <v>1796</v>
      </c>
      <c r="H1548" s="21" t="n">
        <v>0</v>
      </c>
      <c r="I1548" s="21" t="s">
        <v>137</v>
      </c>
    </row>
    <row r="1549" customFormat="false" ht="15" hidden="false" customHeight="false" outlineLevel="0" collapsed="false">
      <c r="A1549" s="21" t="s">
        <v>1831</v>
      </c>
      <c r="B1549" s="21" t="s">
        <v>1832</v>
      </c>
      <c r="C1549" s="21"/>
      <c r="D1549" s="37" t="s">
        <v>84</v>
      </c>
      <c r="E1549" s="37" t="s">
        <v>84</v>
      </c>
      <c r="F1549" s="37" t="s">
        <v>153</v>
      </c>
      <c r="G1549" s="21" t="s">
        <v>1796</v>
      </c>
      <c r="H1549" s="21" t="n">
        <v>0</v>
      </c>
      <c r="I1549" s="21" t="s">
        <v>137</v>
      </c>
    </row>
    <row r="1550" customFormat="false" ht="15" hidden="false" customHeight="false" outlineLevel="0" collapsed="false">
      <c r="A1550" s="21" t="s">
        <v>1833</v>
      </c>
      <c r="B1550" s="21" t="s">
        <v>1798</v>
      </c>
      <c r="C1550" s="21"/>
      <c r="D1550" s="37" t="s">
        <v>84</v>
      </c>
      <c r="E1550" s="37" t="s">
        <v>84</v>
      </c>
      <c r="F1550" s="37" t="s">
        <v>153</v>
      </c>
      <c r="G1550" s="21" t="s">
        <v>1796</v>
      </c>
      <c r="H1550" s="21" t="n">
        <v>0</v>
      </c>
      <c r="I1550" s="21" t="s">
        <v>137</v>
      </c>
    </row>
    <row r="1551" customFormat="false" ht="15" hidden="false" customHeight="false" outlineLevel="0" collapsed="false">
      <c r="A1551" s="21" t="s">
        <v>1834</v>
      </c>
      <c r="B1551" s="21" t="s">
        <v>1798</v>
      </c>
      <c r="C1551" s="21"/>
      <c r="D1551" s="37" t="s">
        <v>84</v>
      </c>
      <c r="E1551" s="37" t="s">
        <v>84</v>
      </c>
      <c r="F1551" s="37" t="s">
        <v>153</v>
      </c>
      <c r="G1551" s="21" t="s">
        <v>1796</v>
      </c>
      <c r="H1551" s="21" t="n">
        <v>0</v>
      </c>
      <c r="I1551" s="21" t="s">
        <v>137</v>
      </c>
    </row>
    <row r="1552" customFormat="false" ht="15" hidden="false" customHeight="false" outlineLevel="0" collapsed="false">
      <c r="A1552" s="21" t="s">
        <v>1835</v>
      </c>
      <c r="B1552" s="21" t="s">
        <v>1798</v>
      </c>
      <c r="C1552" s="21"/>
      <c r="D1552" s="37" t="s">
        <v>84</v>
      </c>
      <c r="E1552" s="37" t="s">
        <v>84</v>
      </c>
      <c r="F1552" s="37" t="s">
        <v>153</v>
      </c>
      <c r="G1552" s="21" t="s">
        <v>1796</v>
      </c>
      <c r="H1552" s="21" t="n">
        <v>0</v>
      </c>
      <c r="I1552" s="21" t="s">
        <v>137</v>
      </c>
    </row>
    <row r="1553" customFormat="false" ht="15" hidden="false" customHeight="false" outlineLevel="0" collapsed="false">
      <c r="A1553" s="21" t="s">
        <v>1836</v>
      </c>
      <c r="B1553" s="21" t="s">
        <v>1798</v>
      </c>
      <c r="C1553" s="21"/>
      <c r="D1553" s="37" t="s">
        <v>84</v>
      </c>
      <c r="E1553" s="37" t="s">
        <v>84</v>
      </c>
      <c r="F1553" s="37" t="s">
        <v>153</v>
      </c>
      <c r="G1553" s="21" t="s">
        <v>1796</v>
      </c>
      <c r="H1553" s="21" t="n">
        <v>0</v>
      </c>
      <c r="I1553" s="21" t="s">
        <v>137</v>
      </c>
    </row>
    <row r="1554" customFormat="false" ht="15" hidden="false" customHeight="false" outlineLevel="0" collapsed="false">
      <c r="A1554" s="21" t="s">
        <v>1837</v>
      </c>
      <c r="B1554" s="21" t="s">
        <v>1838</v>
      </c>
      <c r="C1554" s="21"/>
      <c r="D1554" s="37" t="s">
        <v>84</v>
      </c>
      <c r="E1554" s="37" t="s">
        <v>84</v>
      </c>
      <c r="F1554" s="37" t="s">
        <v>153</v>
      </c>
      <c r="G1554" s="21" t="s">
        <v>1796</v>
      </c>
      <c r="H1554" s="21" t="n">
        <v>0</v>
      </c>
      <c r="I1554" s="21" t="s">
        <v>137</v>
      </c>
    </row>
    <row r="1555" customFormat="false" ht="15" hidden="false" customHeight="false" outlineLevel="0" collapsed="false">
      <c r="A1555" s="21" t="s">
        <v>1839</v>
      </c>
      <c r="B1555" s="21" t="s">
        <v>1798</v>
      </c>
      <c r="C1555" s="21"/>
      <c r="D1555" s="37" t="s">
        <v>84</v>
      </c>
      <c r="E1555" s="37" t="s">
        <v>84</v>
      </c>
      <c r="F1555" s="37" t="s">
        <v>153</v>
      </c>
      <c r="G1555" s="21" t="s">
        <v>1796</v>
      </c>
      <c r="H1555" s="21" t="n">
        <v>0</v>
      </c>
      <c r="I1555" s="21" t="s">
        <v>137</v>
      </c>
    </row>
    <row r="1556" customFormat="false" ht="15" hidden="false" customHeight="false" outlineLevel="0" collapsed="false">
      <c r="A1556" s="21" t="s">
        <v>1840</v>
      </c>
      <c r="B1556" s="21" t="s">
        <v>1798</v>
      </c>
      <c r="C1556" s="21"/>
      <c r="D1556" s="37" t="s">
        <v>84</v>
      </c>
      <c r="E1556" s="37" t="s">
        <v>84</v>
      </c>
      <c r="F1556" s="37" t="s">
        <v>153</v>
      </c>
      <c r="G1556" s="21" t="s">
        <v>1796</v>
      </c>
      <c r="H1556" s="21" t="n">
        <v>0</v>
      </c>
      <c r="I1556" s="21" t="s">
        <v>137</v>
      </c>
    </row>
    <row r="1557" customFormat="false" ht="15" hidden="false" customHeight="false" outlineLevel="0" collapsed="false">
      <c r="A1557" s="21" t="s">
        <v>1841</v>
      </c>
      <c r="B1557" s="21" t="s">
        <v>1798</v>
      </c>
      <c r="C1557" s="21"/>
      <c r="D1557" s="37" t="s">
        <v>84</v>
      </c>
      <c r="E1557" s="37" t="s">
        <v>84</v>
      </c>
      <c r="F1557" s="37" t="s">
        <v>153</v>
      </c>
      <c r="G1557" s="21" t="s">
        <v>1796</v>
      </c>
      <c r="H1557" s="21" t="n">
        <v>0</v>
      </c>
      <c r="I1557" s="21" t="s">
        <v>137</v>
      </c>
    </row>
    <row r="1558" customFormat="false" ht="15" hidden="false" customHeight="false" outlineLevel="0" collapsed="false">
      <c r="A1558" s="21" t="s">
        <v>1842</v>
      </c>
      <c r="B1558" s="21" t="s">
        <v>1798</v>
      </c>
      <c r="C1558" s="21"/>
      <c r="D1558" s="37" t="s">
        <v>84</v>
      </c>
      <c r="E1558" s="37" t="s">
        <v>84</v>
      </c>
      <c r="F1558" s="37" t="s">
        <v>153</v>
      </c>
      <c r="G1558" s="21" t="s">
        <v>1796</v>
      </c>
      <c r="H1558" s="21" t="n">
        <v>0</v>
      </c>
      <c r="I1558" s="21" t="s">
        <v>137</v>
      </c>
    </row>
    <row r="1559" customFormat="false" ht="15" hidden="false" customHeight="false" outlineLevel="0" collapsed="false">
      <c r="A1559" s="21" t="s">
        <v>1843</v>
      </c>
      <c r="B1559" s="21"/>
      <c r="C1559" s="21"/>
      <c r="D1559" s="37" t="s">
        <v>84</v>
      </c>
      <c r="E1559" s="37" t="s">
        <v>84</v>
      </c>
      <c r="F1559" s="37" t="s">
        <v>153</v>
      </c>
      <c r="G1559" s="21" t="s">
        <v>1796</v>
      </c>
      <c r="H1559" s="21" t="n">
        <v>0</v>
      </c>
      <c r="I1559" s="21" t="s">
        <v>137</v>
      </c>
    </row>
    <row r="1560" customFormat="false" ht="15" hidden="false" customHeight="false" outlineLevel="0" collapsed="false">
      <c r="A1560" s="21" t="s">
        <v>1844</v>
      </c>
      <c r="B1560" s="21"/>
      <c r="C1560" s="21"/>
      <c r="D1560" s="37" t="s">
        <v>84</v>
      </c>
      <c r="E1560" s="37" t="s">
        <v>84</v>
      </c>
      <c r="F1560" s="37" t="s">
        <v>153</v>
      </c>
      <c r="G1560" s="21" t="s">
        <v>1796</v>
      </c>
      <c r="H1560" s="21" t="n">
        <v>0</v>
      </c>
      <c r="I1560" s="21" t="s">
        <v>137</v>
      </c>
    </row>
    <row r="1561" customFormat="false" ht="15" hidden="false" customHeight="false" outlineLevel="0" collapsed="false">
      <c r="A1561" s="21" t="s">
        <v>1845</v>
      </c>
      <c r="B1561" s="21" t="s">
        <v>1798</v>
      </c>
      <c r="C1561" s="21"/>
      <c r="D1561" s="37" t="s">
        <v>84</v>
      </c>
      <c r="E1561" s="37" t="s">
        <v>84</v>
      </c>
      <c r="F1561" s="37" t="s">
        <v>153</v>
      </c>
      <c r="G1561" s="21" t="s">
        <v>1796</v>
      </c>
      <c r="H1561" s="21" t="n">
        <v>0</v>
      </c>
      <c r="I1561" s="21" t="s">
        <v>137</v>
      </c>
    </row>
    <row r="1562" customFormat="false" ht="15" hidden="false" customHeight="false" outlineLevel="0" collapsed="false">
      <c r="A1562" s="21" t="s">
        <v>1846</v>
      </c>
      <c r="B1562" s="21"/>
      <c r="C1562" s="21"/>
      <c r="D1562" s="37" t="s">
        <v>84</v>
      </c>
      <c r="E1562" s="37" t="s">
        <v>84</v>
      </c>
      <c r="F1562" s="37" t="s">
        <v>153</v>
      </c>
      <c r="G1562" s="21" t="s">
        <v>1796</v>
      </c>
      <c r="H1562" s="21" t="n">
        <v>0</v>
      </c>
      <c r="I1562" s="21" t="s">
        <v>137</v>
      </c>
    </row>
    <row r="1563" customFormat="false" ht="15" hidden="false" customHeight="false" outlineLevel="0" collapsed="false">
      <c r="A1563" s="21" t="s">
        <v>1847</v>
      </c>
      <c r="B1563" s="21" t="s">
        <v>1848</v>
      </c>
      <c r="C1563" s="21"/>
      <c r="D1563" s="37" t="s">
        <v>84</v>
      </c>
      <c r="E1563" s="37" t="s">
        <v>84</v>
      </c>
      <c r="F1563" s="37" t="s">
        <v>153</v>
      </c>
      <c r="G1563" s="21" t="s">
        <v>1796</v>
      </c>
      <c r="H1563" s="21" t="n">
        <v>0</v>
      </c>
      <c r="I1563" s="21" t="s">
        <v>137</v>
      </c>
    </row>
    <row r="1564" customFormat="false" ht="15" hidden="false" customHeight="false" outlineLevel="0" collapsed="false">
      <c r="A1564" s="21" t="s">
        <v>1849</v>
      </c>
      <c r="B1564" s="21" t="s">
        <v>1798</v>
      </c>
      <c r="C1564" s="21"/>
      <c r="D1564" s="37" t="s">
        <v>84</v>
      </c>
      <c r="E1564" s="37" t="s">
        <v>84</v>
      </c>
      <c r="F1564" s="37" t="s">
        <v>153</v>
      </c>
      <c r="G1564" s="21" t="s">
        <v>1796</v>
      </c>
      <c r="H1564" s="21" t="n">
        <v>0</v>
      </c>
      <c r="I1564" s="21" t="s">
        <v>137</v>
      </c>
    </row>
    <row r="1565" customFormat="false" ht="15" hidden="false" customHeight="false" outlineLevel="0" collapsed="false">
      <c r="A1565" s="21" t="s">
        <v>1850</v>
      </c>
      <c r="B1565" s="21" t="s">
        <v>1798</v>
      </c>
      <c r="C1565" s="21"/>
      <c r="D1565" s="37" t="s">
        <v>84</v>
      </c>
      <c r="E1565" s="37" t="s">
        <v>84</v>
      </c>
      <c r="F1565" s="37" t="s">
        <v>153</v>
      </c>
      <c r="G1565" s="21" t="s">
        <v>1796</v>
      </c>
      <c r="H1565" s="21" t="n">
        <v>0</v>
      </c>
      <c r="I1565" s="21" t="s">
        <v>137</v>
      </c>
    </row>
    <row r="1566" customFormat="false" ht="15" hidden="false" customHeight="false" outlineLevel="0" collapsed="false">
      <c r="A1566" s="21" t="s">
        <v>1851</v>
      </c>
      <c r="B1566" s="21"/>
      <c r="C1566" s="21"/>
      <c r="D1566" s="37" t="s">
        <v>84</v>
      </c>
      <c r="E1566" s="37" t="s">
        <v>84</v>
      </c>
      <c r="F1566" s="37" t="s">
        <v>153</v>
      </c>
      <c r="G1566" s="21" t="s">
        <v>1796</v>
      </c>
      <c r="H1566" s="21" t="n">
        <v>0</v>
      </c>
      <c r="I1566" s="21" t="s">
        <v>137</v>
      </c>
    </row>
    <row r="1567" customFormat="false" ht="15" hidden="false" customHeight="false" outlineLevel="0" collapsed="false">
      <c r="A1567" s="21" t="s">
        <v>1852</v>
      </c>
      <c r="B1567" s="21" t="s">
        <v>1798</v>
      </c>
      <c r="C1567" s="21"/>
      <c r="D1567" s="37" t="s">
        <v>84</v>
      </c>
      <c r="E1567" s="37" t="s">
        <v>84</v>
      </c>
      <c r="F1567" s="37" t="s">
        <v>153</v>
      </c>
      <c r="G1567" s="21" t="s">
        <v>1796</v>
      </c>
      <c r="H1567" s="21" t="n">
        <v>0</v>
      </c>
      <c r="I1567" s="21" t="s">
        <v>137</v>
      </c>
    </row>
    <row r="1568" customFormat="false" ht="15" hidden="false" customHeight="false" outlineLevel="0" collapsed="false">
      <c r="A1568" s="21" t="s">
        <v>1853</v>
      </c>
      <c r="B1568" s="21" t="s">
        <v>1854</v>
      </c>
      <c r="C1568" s="21"/>
      <c r="D1568" s="37" t="s">
        <v>84</v>
      </c>
      <c r="E1568" s="37" t="s">
        <v>84</v>
      </c>
      <c r="F1568" s="37" t="s">
        <v>153</v>
      </c>
      <c r="G1568" s="21" t="s">
        <v>1796</v>
      </c>
      <c r="H1568" s="21" t="n">
        <v>0</v>
      </c>
      <c r="I1568" s="21" t="s">
        <v>137</v>
      </c>
    </row>
    <row r="1569" customFormat="false" ht="15" hidden="false" customHeight="false" outlineLevel="0" collapsed="false">
      <c r="A1569" s="21" t="s">
        <v>1855</v>
      </c>
      <c r="B1569" s="21"/>
      <c r="C1569" s="21"/>
      <c r="D1569" s="37" t="s">
        <v>84</v>
      </c>
      <c r="E1569" s="37" t="s">
        <v>84</v>
      </c>
      <c r="F1569" s="37" t="s">
        <v>153</v>
      </c>
      <c r="G1569" s="21" t="s">
        <v>1796</v>
      </c>
      <c r="H1569" s="21" t="n">
        <v>0</v>
      </c>
      <c r="I1569" s="21" t="s">
        <v>137</v>
      </c>
    </row>
    <row r="1570" customFormat="false" ht="15" hidden="false" customHeight="false" outlineLevel="0" collapsed="false">
      <c r="A1570" s="21" t="s">
        <v>1856</v>
      </c>
      <c r="B1570" s="21"/>
      <c r="C1570" s="21"/>
      <c r="D1570" s="37" t="s">
        <v>84</v>
      </c>
      <c r="E1570" s="37" t="s">
        <v>84</v>
      </c>
      <c r="F1570" s="37" t="s">
        <v>153</v>
      </c>
      <c r="G1570" s="21" t="s">
        <v>1796</v>
      </c>
      <c r="H1570" s="21" t="n">
        <v>0</v>
      </c>
      <c r="I1570" s="21" t="s">
        <v>137</v>
      </c>
    </row>
    <row r="1571" customFormat="false" ht="15" hidden="false" customHeight="false" outlineLevel="0" collapsed="false">
      <c r="A1571" s="21" t="s">
        <v>1857</v>
      </c>
      <c r="B1571" s="21"/>
      <c r="C1571" s="21"/>
      <c r="D1571" s="37" t="s">
        <v>84</v>
      </c>
      <c r="E1571" s="37" t="s">
        <v>84</v>
      </c>
      <c r="F1571" s="37" t="s">
        <v>153</v>
      </c>
      <c r="G1571" s="21" t="s">
        <v>1796</v>
      </c>
      <c r="H1571" s="21" t="n">
        <v>0</v>
      </c>
      <c r="I1571" s="21" t="s">
        <v>137</v>
      </c>
    </row>
    <row r="1572" customFormat="false" ht="15" hidden="false" customHeight="false" outlineLevel="0" collapsed="false">
      <c r="A1572" s="21" t="s">
        <v>1858</v>
      </c>
      <c r="B1572" s="21" t="s">
        <v>1859</v>
      </c>
      <c r="C1572" s="21"/>
      <c r="D1572" s="37" t="s">
        <v>84</v>
      </c>
      <c r="E1572" s="37" t="s">
        <v>84</v>
      </c>
      <c r="F1572" s="37" t="s">
        <v>153</v>
      </c>
      <c r="G1572" s="21" t="s">
        <v>1796</v>
      </c>
      <c r="H1572" s="21" t="n">
        <v>0</v>
      </c>
      <c r="I1572" s="21" t="s">
        <v>137</v>
      </c>
    </row>
    <row r="1573" customFormat="false" ht="15" hidden="false" customHeight="false" outlineLevel="0" collapsed="false">
      <c r="A1573" s="21" t="s">
        <v>1860</v>
      </c>
      <c r="B1573" s="21" t="s">
        <v>1861</v>
      </c>
      <c r="C1573" s="21"/>
      <c r="D1573" s="37" t="s">
        <v>84</v>
      </c>
      <c r="E1573" s="37" t="s">
        <v>84</v>
      </c>
      <c r="F1573" s="37" t="s">
        <v>153</v>
      </c>
      <c r="G1573" s="21" t="s">
        <v>1796</v>
      </c>
      <c r="H1573" s="21" t="n">
        <v>0</v>
      </c>
      <c r="I1573" s="21" t="s">
        <v>137</v>
      </c>
    </row>
    <row r="1574" customFormat="false" ht="15" hidden="false" customHeight="false" outlineLevel="0" collapsed="false">
      <c r="A1574" s="21" t="s">
        <v>1862</v>
      </c>
      <c r="B1574" s="21" t="s">
        <v>1863</v>
      </c>
      <c r="C1574" s="21"/>
      <c r="D1574" s="37" t="s">
        <v>84</v>
      </c>
      <c r="E1574" s="37" t="s">
        <v>84</v>
      </c>
      <c r="F1574" s="37" t="s">
        <v>153</v>
      </c>
      <c r="G1574" s="21" t="s">
        <v>1796</v>
      </c>
      <c r="H1574" s="21" t="n">
        <v>0</v>
      </c>
      <c r="I1574" s="21" t="s">
        <v>137</v>
      </c>
    </row>
    <row r="1575" customFormat="false" ht="15" hidden="false" customHeight="false" outlineLevel="0" collapsed="false">
      <c r="A1575" s="21" t="s">
        <v>1864</v>
      </c>
      <c r="B1575" s="21" t="s">
        <v>1859</v>
      </c>
      <c r="C1575" s="21"/>
      <c r="D1575" s="37" t="s">
        <v>84</v>
      </c>
      <c r="E1575" s="37" t="s">
        <v>84</v>
      </c>
      <c r="F1575" s="37" t="s">
        <v>153</v>
      </c>
      <c r="G1575" s="21" t="s">
        <v>1796</v>
      </c>
      <c r="H1575" s="21" t="n">
        <v>0</v>
      </c>
      <c r="I1575" s="21" t="s">
        <v>137</v>
      </c>
    </row>
    <row r="1576" customFormat="false" ht="15" hidden="false" customHeight="false" outlineLevel="0" collapsed="false">
      <c r="A1576" s="21" t="s">
        <v>1865</v>
      </c>
      <c r="B1576" s="21" t="s">
        <v>1859</v>
      </c>
      <c r="C1576" s="21"/>
      <c r="D1576" s="37" t="s">
        <v>84</v>
      </c>
      <c r="E1576" s="37" t="s">
        <v>84</v>
      </c>
      <c r="F1576" s="37" t="s">
        <v>153</v>
      </c>
      <c r="G1576" s="21" t="s">
        <v>1796</v>
      </c>
      <c r="H1576" s="21" t="n">
        <v>0</v>
      </c>
      <c r="I1576" s="21" t="s">
        <v>137</v>
      </c>
    </row>
    <row r="1577" customFormat="false" ht="15" hidden="false" customHeight="false" outlineLevel="0" collapsed="false">
      <c r="A1577" s="21" t="s">
        <v>1866</v>
      </c>
      <c r="B1577" s="21" t="s">
        <v>1867</v>
      </c>
      <c r="C1577" s="21"/>
      <c r="D1577" s="37" t="s">
        <v>84</v>
      </c>
      <c r="E1577" s="37" t="s">
        <v>84</v>
      </c>
      <c r="F1577" s="37" t="s">
        <v>153</v>
      </c>
      <c r="G1577" s="21" t="s">
        <v>1796</v>
      </c>
      <c r="H1577" s="21" t="n">
        <v>0</v>
      </c>
      <c r="I1577" s="21" t="s">
        <v>137</v>
      </c>
    </row>
    <row r="1578" customFormat="false" ht="15" hidden="false" customHeight="false" outlineLevel="0" collapsed="false">
      <c r="A1578" s="21" t="s">
        <v>1868</v>
      </c>
      <c r="B1578" s="21" t="s">
        <v>1859</v>
      </c>
      <c r="C1578" s="21"/>
      <c r="D1578" s="37" t="s">
        <v>84</v>
      </c>
      <c r="E1578" s="37" t="s">
        <v>84</v>
      </c>
      <c r="F1578" s="37" t="s">
        <v>153</v>
      </c>
      <c r="G1578" s="21" t="s">
        <v>1796</v>
      </c>
      <c r="H1578" s="21" t="n">
        <v>0</v>
      </c>
      <c r="I1578" s="21" t="s">
        <v>137</v>
      </c>
    </row>
    <row r="1579" customFormat="false" ht="15" hidden="false" customHeight="false" outlineLevel="0" collapsed="false">
      <c r="A1579" s="21" t="s">
        <v>1869</v>
      </c>
      <c r="B1579" s="21" t="s">
        <v>1859</v>
      </c>
      <c r="C1579" s="21"/>
      <c r="D1579" s="37" t="s">
        <v>84</v>
      </c>
      <c r="E1579" s="37" t="s">
        <v>84</v>
      </c>
      <c r="F1579" s="37" t="s">
        <v>153</v>
      </c>
      <c r="G1579" s="21" t="s">
        <v>1796</v>
      </c>
      <c r="H1579" s="21" t="n">
        <v>0</v>
      </c>
      <c r="I1579" s="21" t="s">
        <v>137</v>
      </c>
    </row>
    <row r="1580" customFormat="false" ht="15" hidden="false" customHeight="false" outlineLevel="0" collapsed="false">
      <c r="A1580" s="21" t="s">
        <v>1870</v>
      </c>
      <c r="B1580" s="21" t="s">
        <v>1859</v>
      </c>
      <c r="C1580" s="21"/>
      <c r="D1580" s="37" t="s">
        <v>84</v>
      </c>
      <c r="E1580" s="37" t="s">
        <v>84</v>
      </c>
      <c r="F1580" s="37" t="s">
        <v>153</v>
      </c>
      <c r="G1580" s="21" t="s">
        <v>1796</v>
      </c>
      <c r="H1580" s="21" t="n">
        <v>0</v>
      </c>
      <c r="I1580" s="21" t="s">
        <v>137</v>
      </c>
    </row>
    <row r="1581" customFormat="false" ht="15" hidden="false" customHeight="false" outlineLevel="0" collapsed="false">
      <c r="A1581" s="21" t="s">
        <v>1871</v>
      </c>
      <c r="B1581" s="21"/>
      <c r="C1581" s="21"/>
      <c r="D1581" s="37" t="s">
        <v>84</v>
      </c>
      <c r="E1581" s="37" t="s">
        <v>84</v>
      </c>
      <c r="F1581" s="37" t="s">
        <v>153</v>
      </c>
      <c r="G1581" s="21" t="s">
        <v>450</v>
      </c>
      <c r="H1581" s="21" t="n">
        <v>0</v>
      </c>
      <c r="I1581" s="21" t="s">
        <v>137</v>
      </c>
    </row>
    <row r="1582" customFormat="false" ht="15" hidden="false" customHeight="false" outlineLevel="0" collapsed="false">
      <c r="A1582" s="21" t="s">
        <v>1872</v>
      </c>
      <c r="B1582" s="21"/>
      <c r="C1582" s="21"/>
      <c r="D1582" s="37" t="s">
        <v>84</v>
      </c>
      <c r="E1582" s="37" t="s">
        <v>84</v>
      </c>
      <c r="F1582" s="37" t="s">
        <v>153</v>
      </c>
      <c r="G1582" s="21" t="s">
        <v>445</v>
      </c>
      <c r="H1582" s="21" t="n">
        <v>0</v>
      </c>
      <c r="I1582" s="21" t="s">
        <v>137</v>
      </c>
    </row>
    <row r="1583" customFormat="false" ht="15" hidden="false" customHeight="false" outlineLevel="0" collapsed="false">
      <c r="A1583" s="21" t="s">
        <v>1873</v>
      </c>
      <c r="B1583" s="21" t="s">
        <v>1874</v>
      </c>
      <c r="C1583" s="21"/>
      <c r="D1583" s="37" t="s">
        <v>84</v>
      </c>
      <c r="E1583" s="37" t="s">
        <v>84</v>
      </c>
      <c r="F1583" s="37" t="s">
        <v>153</v>
      </c>
      <c r="G1583" s="21" t="s">
        <v>456</v>
      </c>
      <c r="H1583" s="21" t="n">
        <v>0</v>
      </c>
      <c r="I1583" s="21" t="s">
        <v>137</v>
      </c>
    </row>
    <row r="1584" customFormat="false" ht="15" hidden="false" customHeight="false" outlineLevel="0" collapsed="false">
      <c r="A1584" s="21" t="s">
        <v>1875</v>
      </c>
      <c r="B1584" s="21" t="s">
        <v>1876</v>
      </c>
      <c r="C1584" s="21"/>
      <c r="D1584" s="37" t="s">
        <v>84</v>
      </c>
      <c r="E1584" s="37" t="s">
        <v>84</v>
      </c>
      <c r="F1584" s="37" t="s">
        <v>153</v>
      </c>
      <c r="G1584" s="21" t="s">
        <v>456</v>
      </c>
      <c r="H1584" s="21" t="n">
        <v>0</v>
      </c>
      <c r="I1584" s="21" t="s">
        <v>137</v>
      </c>
    </row>
    <row r="1585" customFormat="false" ht="15" hidden="false" customHeight="false" outlineLevel="0" collapsed="false">
      <c r="A1585" s="21" t="s">
        <v>1877</v>
      </c>
      <c r="B1585" s="21" t="s">
        <v>1878</v>
      </c>
      <c r="C1585" s="21"/>
      <c r="D1585" s="37" t="s">
        <v>84</v>
      </c>
      <c r="E1585" s="37" t="s">
        <v>84</v>
      </c>
      <c r="F1585" s="37" t="s">
        <v>153</v>
      </c>
      <c r="G1585" s="21" t="s">
        <v>1796</v>
      </c>
      <c r="H1585" s="21" t="n">
        <v>0</v>
      </c>
      <c r="I1585" s="21" t="s">
        <v>137</v>
      </c>
    </row>
    <row r="1586" customFormat="false" ht="15" hidden="false" customHeight="false" outlineLevel="0" collapsed="false">
      <c r="A1586" s="21" t="s">
        <v>1879</v>
      </c>
      <c r="B1586" s="21" t="s">
        <v>1880</v>
      </c>
      <c r="C1586" s="21"/>
      <c r="D1586" s="37" t="s">
        <v>84</v>
      </c>
      <c r="E1586" s="37" t="s">
        <v>84</v>
      </c>
      <c r="F1586" s="37" t="s">
        <v>153</v>
      </c>
      <c r="G1586" s="21" t="s">
        <v>1796</v>
      </c>
      <c r="H1586" s="21" t="n">
        <v>0</v>
      </c>
      <c r="I1586" s="21" t="s">
        <v>137</v>
      </c>
    </row>
    <row r="1587" customFormat="false" ht="15" hidden="false" customHeight="false" outlineLevel="0" collapsed="false">
      <c r="A1587" s="21" t="s">
        <v>1881</v>
      </c>
      <c r="B1587" s="21" t="s">
        <v>1878</v>
      </c>
      <c r="C1587" s="21"/>
      <c r="D1587" s="37" t="s">
        <v>84</v>
      </c>
      <c r="E1587" s="37" t="s">
        <v>84</v>
      </c>
      <c r="F1587" s="37" t="s">
        <v>153</v>
      </c>
      <c r="G1587" s="21" t="s">
        <v>1796</v>
      </c>
      <c r="H1587" s="21" t="n">
        <v>0</v>
      </c>
      <c r="I1587" s="21" t="s">
        <v>137</v>
      </c>
    </row>
    <row r="1588" customFormat="false" ht="15" hidden="false" customHeight="false" outlineLevel="0" collapsed="false">
      <c r="A1588" s="21" t="s">
        <v>1882</v>
      </c>
      <c r="B1588" s="21" t="s">
        <v>1880</v>
      </c>
      <c r="C1588" s="21"/>
      <c r="D1588" s="37" t="s">
        <v>84</v>
      </c>
      <c r="E1588" s="37" t="s">
        <v>84</v>
      </c>
      <c r="F1588" s="37" t="s">
        <v>153</v>
      </c>
      <c r="G1588" s="21" t="s">
        <v>1796</v>
      </c>
      <c r="H1588" s="21" t="n">
        <v>0</v>
      </c>
      <c r="I1588" s="21" t="s">
        <v>137</v>
      </c>
    </row>
    <row r="1589" customFormat="false" ht="15" hidden="false" customHeight="false" outlineLevel="0" collapsed="false">
      <c r="A1589" s="21" t="s">
        <v>1883</v>
      </c>
      <c r="B1589" s="21" t="s">
        <v>1880</v>
      </c>
      <c r="C1589" s="21"/>
      <c r="D1589" s="37" t="s">
        <v>84</v>
      </c>
      <c r="E1589" s="37" t="s">
        <v>84</v>
      </c>
      <c r="F1589" s="37" t="s">
        <v>153</v>
      </c>
      <c r="G1589" s="21" t="s">
        <v>1796</v>
      </c>
      <c r="H1589" s="21" t="n">
        <v>0</v>
      </c>
      <c r="I1589" s="21" t="s">
        <v>137</v>
      </c>
    </row>
    <row r="1590" customFormat="false" ht="15" hidden="false" customHeight="false" outlineLevel="0" collapsed="false">
      <c r="A1590" s="21" t="s">
        <v>1884</v>
      </c>
      <c r="B1590" s="21" t="s">
        <v>1880</v>
      </c>
      <c r="C1590" s="21"/>
      <c r="D1590" s="37" t="s">
        <v>84</v>
      </c>
      <c r="E1590" s="37" t="s">
        <v>84</v>
      </c>
      <c r="F1590" s="37" t="s">
        <v>153</v>
      </c>
      <c r="G1590" s="21" t="s">
        <v>1796</v>
      </c>
      <c r="H1590" s="21" t="n">
        <v>0</v>
      </c>
      <c r="I1590" s="21" t="s">
        <v>137</v>
      </c>
    </row>
    <row r="1591" customFormat="false" ht="15" hidden="false" customHeight="false" outlineLevel="0" collapsed="false">
      <c r="A1591" s="21" t="s">
        <v>1885</v>
      </c>
      <c r="B1591" s="21" t="s">
        <v>1878</v>
      </c>
      <c r="C1591" s="21"/>
      <c r="D1591" s="37" t="s">
        <v>84</v>
      </c>
      <c r="E1591" s="37" t="s">
        <v>84</v>
      </c>
      <c r="F1591" s="37" t="s">
        <v>153</v>
      </c>
      <c r="G1591" s="21" t="s">
        <v>1796</v>
      </c>
      <c r="H1591" s="21" t="n">
        <v>0</v>
      </c>
      <c r="I1591" s="21" t="s">
        <v>137</v>
      </c>
    </row>
    <row r="1592" customFormat="false" ht="15" hidden="false" customHeight="false" outlineLevel="0" collapsed="false">
      <c r="A1592" s="21" t="s">
        <v>1886</v>
      </c>
      <c r="B1592" s="21" t="s">
        <v>1880</v>
      </c>
      <c r="C1592" s="21"/>
      <c r="D1592" s="37" t="s">
        <v>84</v>
      </c>
      <c r="E1592" s="37" t="s">
        <v>84</v>
      </c>
      <c r="F1592" s="37" t="s">
        <v>153</v>
      </c>
      <c r="G1592" s="21" t="s">
        <v>1796</v>
      </c>
      <c r="H1592" s="21" t="n">
        <v>0</v>
      </c>
      <c r="I1592" s="21" t="s">
        <v>137</v>
      </c>
    </row>
    <row r="1593" customFormat="false" ht="15" hidden="false" customHeight="false" outlineLevel="0" collapsed="false">
      <c r="A1593" s="21" t="s">
        <v>1887</v>
      </c>
      <c r="B1593" s="21" t="s">
        <v>1880</v>
      </c>
      <c r="C1593" s="21"/>
      <c r="D1593" s="37" t="s">
        <v>84</v>
      </c>
      <c r="E1593" s="37" t="s">
        <v>84</v>
      </c>
      <c r="F1593" s="37" t="s">
        <v>153</v>
      </c>
      <c r="G1593" s="21" t="s">
        <v>1796</v>
      </c>
      <c r="H1593" s="21" t="n">
        <v>0</v>
      </c>
      <c r="I1593" s="21" t="s">
        <v>137</v>
      </c>
    </row>
    <row r="1594" customFormat="false" ht="15" hidden="false" customHeight="false" outlineLevel="0" collapsed="false">
      <c r="A1594" s="21" t="s">
        <v>1888</v>
      </c>
      <c r="B1594" s="21" t="s">
        <v>1880</v>
      </c>
      <c r="C1594" s="21"/>
      <c r="D1594" s="37" t="s">
        <v>84</v>
      </c>
      <c r="E1594" s="37" t="s">
        <v>84</v>
      </c>
      <c r="F1594" s="37" t="s">
        <v>153</v>
      </c>
      <c r="G1594" s="21" t="s">
        <v>1796</v>
      </c>
      <c r="H1594" s="21" t="n">
        <v>0</v>
      </c>
      <c r="I1594" s="21" t="s">
        <v>137</v>
      </c>
    </row>
    <row r="1595" customFormat="false" ht="15" hidden="false" customHeight="false" outlineLevel="0" collapsed="false">
      <c r="A1595" s="21" t="s">
        <v>1889</v>
      </c>
      <c r="B1595" s="21" t="s">
        <v>1880</v>
      </c>
      <c r="C1595" s="21"/>
      <c r="D1595" s="37" t="s">
        <v>84</v>
      </c>
      <c r="E1595" s="37" t="s">
        <v>84</v>
      </c>
      <c r="F1595" s="37" t="s">
        <v>153</v>
      </c>
      <c r="G1595" s="21" t="s">
        <v>1796</v>
      </c>
      <c r="H1595" s="21" t="n">
        <v>0</v>
      </c>
      <c r="I1595" s="21" t="s">
        <v>137</v>
      </c>
    </row>
    <row r="1596" customFormat="false" ht="15" hidden="false" customHeight="false" outlineLevel="0" collapsed="false">
      <c r="A1596" s="21" t="s">
        <v>1890</v>
      </c>
      <c r="B1596" s="21" t="s">
        <v>1880</v>
      </c>
      <c r="C1596" s="21"/>
      <c r="D1596" s="37" t="s">
        <v>84</v>
      </c>
      <c r="E1596" s="37" t="s">
        <v>84</v>
      </c>
      <c r="F1596" s="37" t="s">
        <v>153</v>
      </c>
      <c r="G1596" s="21" t="s">
        <v>1796</v>
      </c>
      <c r="H1596" s="21" t="n">
        <v>0</v>
      </c>
      <c r="I1596" s="21" t="s">
        <v>137</v>
      </c>
    </row>
    <row r="1597" customFormat="false" ht="15" hidden="false" customHeight="false" outlineLevel="0" collapsed="false">
      <c r="A1597" s="21" t="s">
        <v>1891</v>
      </c>
      <c r="B1597" s="21" t="s">
        <v>1880</v>
      </c>
      <c r="C1597" s="21"/>
      <c r="D1597" s="37" t="s">
        <v>84</v>
      </c>
      <c r="E1597" s="37" t="s">
        <v>84</v>
      </c>
      <c r="F1597" s="37" t="s">
        <v>153</v>
      </c>
      <c r="G1597" s="21" t="s">
        <v>1796</v>
      </c>
      <c r="H1597" s="21" t="n">
        <v>0</v>
      </c>
      <c r="I1597" s="21" t="s">
        <v>137</v>
      </c>
    </row>
    <row r="1598" customFormat="false" ht="15" hidden="false" customHeight="false" outlineLevel="0" collapsed="false">
      <c r="A1598" s="21" t="s">
        <v>1892</v>
      </c>
      <c r="B1598" s="21" t="s">
        <v>1880</v>
      </c>
      <c r="C1598" s="21"/>
      <c r="D1598" s="37" t="s">
        <v>84</v>
      </c>
      <c r="E1598" s="37" t="s">
        <v>84</v>
      </c>
      <c r="F1598" s="37" t="s">
        <v>153</v>
      </c>
      <c r="G1598" s="21" t="s">
        <v>1796</v>
      </c>
      <c r="H1598" s="21" t="n">
        <v>0</v>
      </c>
      <c r="I1598" s="21" t="s">
        <v>137</v>
      </c>
    </row>
    <row r="1599" customFormat="false" ht="15" hidden="false" customHeight="false" outlineLevel="0" collapsed="false">
      <c r="A1599" s="21" t="s">
        <v>1893</v>
      </c>
      <c r="B1599" s="21" t="s">
        <v>1894</v>
      </c>
      <c r="C1599" s="21"/>
      <c r="D1599" s="37" t="s">
        <v>84</v>
      </c>
      <c r="E1599" s="37" t="s">
        <v>84</v>
      </c>
      <c r="F1599" s="37" t="s">
        <v>153</v>
      </c>
      <c r="G1599" s="21" t="s">
        <v>1796</v>
      </c>
      <c r="H1599" s="21" t="n">
        <v>0</v>
      </c>
      <c r="I1599" s="21" t="s">
        <v>137</v>
      </c>
    </row>
    <row r="1600" customFormat="false" ht="15" hidden="false" customHeight="false" outlineLevel="0" collapsed="false">
      <c r="A1600" s="21" t="s">
        <v>1895</v>
      </c>
      <c r="B1600" s="21" t="s">
        <v>1894</v>
      </c>
      <c r="C1600" s="21"/>
      <c r="D1600" s="37" t="s">
        <v>84</v>
      </c>
      <c r="E1600" s="37" t="s">
        <v>84</v>
      </c>
      <c r="F1600" s="37" t="s">
        <v>153</v>
      </c>
      <c r="G1600" s="21" t="s">
        <v>1796</v>
      </c>
      <c r="H1600" s="21" t="n">
        <v>0</v>
      </c>
      <c r="I1600" s="21" t="s">
        <v>137</v>
      </c>
    </row>
    <row r="1601" customFormat="false" ht="15" hidden="false" customHeight="false" outlineLevel="0" collapsed="false">
      <c r="A1601" s="21" t="s">
        <v>1896</v>
      </c>
      <c r="B1601" s="21" t="s">
        <v>1894</v>
      </c>
      <c r="C1601" s="21"/>
      <c r="D1601" s="37" t="s">
        <v>84</v>
      </c>
      <c r="E1601" s="37" t="s">
        <v>84</v>
      </c>
      <c r="F1601" s="37" t="s">
        <v>153</v>
      </c>
      <c r="G1601" s="21" t="s">
        <v>1796</v>
      </c>
      <c r="H1601" s="21" t="n">
        <v>0</v>
      </c>
      <c r="I1601" s="21" t="s">
        <v>137</v>
      </c>
    </row>
    <row r="1602" customFormat="false" ht="15" hidden="false" customHeight="false" outlineLevel="0" collapsed="false">
      <c r="A1602" s="21" t="s">
        <v>1897</v>
      </c>
      <c r="B1602" s="21" t="s">
        <v>1894</v>
      </c>
      <c r="C1602" s="21"/>
      <c r="D1602" s="37" t="s">
        <v>84</v>
      </c>
      <c r="E1602" s="37" t="s">
        <v>84</v>
      </c>
      <c r="F1602" s="37" t="s">
        <v>153</v>
      </c>
      <c r="G1602" s="21" t="s">
        <v>1796</v>
      </c>
      <c r="H1602" s="21" t="n">
        <v>0</v>
      </c>
      <c r="I1602" s="21" t="s">
        <v>137</v>
      </c>
    </row>
    <row r="1603" customFormat="false" ht="15" hidden="false" customHeight="false" outlineLevel="0" collapsed="false">
      <c r="A1603" s="21" t="s">
        <v>1898</v>
      </c>
      <c r="B1603" s="21" t="s">
        <v>1894</v>
      </c>
      <c r="C1603" s="21"/>
      <c r="D1603" s="37" t="s">
        <v>84</v>
      </c>
      <c r="E1603" s="37" t="s">
        <v>84</v>
      </c>
      <c r="F1603" s="37" t="s">
        <v>153</v>
      </c>
      <c r="G1603" s="21" t="s">
        <v>1796</v>
      </c>
      <c r="H1603" s="21" t="n">
        <v>0</v>
      </c>
      <c r="I1603" s="21" t="s">
        <v>137</v>
      </c>
    </row>
    <row r="1604" customFormat="false" ht="15" hidden="false" customHeight="false" outlineLevel="0" collapsed="false">
      <c r="A1604" s="21" t="s">
        <v>1899</v>
      </c>
      <c r="B1604" s="21" t="s">
        <v>1894</v>
      </c>
      <c r="C1604" s="21"/>
      <c r="D1604" s="37" t="s">
        <v>84</v>
      </c>
      <c r="E1604" s="37" t="s">
        <v>84</v>
      </c>
      <c r="F1604" s="37" t="s">
        <v>153</v>
      </c>
      <c r="G1604" s="21" t="s">
        <v>1796</v>
      </c>
      <c r="H1604" s="21" t="n">
        <v>0</v>
      </c>
      <c r="I1604" s="21" t="s">
        <v>137</v>
      </c>
    </row>
    <row r="1605" customFormat="false" ht="15" hidden="false" customHeight="false" outlineLevel="0" collapsed="false">
      <c r="A1605" s="21" t="s">
        <v>1900</v>
      </c>
      <c r="B1605" s="21" t="s">
        <v>1894</v>
      </c>
      <c r="C1605" s="21"/>
      <c r="D1605" s="37" t="s">
        <v>84</v>
      </c>
      <c r="E1605" s="37" t="s">
        <v>84</v>
      </c>
      <c r="F1605" s="37" t="s">
        <v>153</v>
      </c>
      <c r="G1605" s="21" t="s">
        <v>1796</v>
      </c>
      <c r="H1605" s="21" t="n">
        <v>0</v>
      </c>
      <c r="I1605" s="21" t="s">
        <v>137</v>
      </c>
    </row>
    <row r="1606" customFormat="false" ht="15" hidden="false" customHeight="false" outlineLevel="0" collapsed="false">
      <c r="A1606" s="21" t="s">
        <v>1901</v>
      </c>
      <c r="B1606" s="21" t="s">
        <v>1894</v>
      </c>
      <c r="C1606" s="21"/>
      <c r="D1606" s="37" t="s">
        <v>84</v>
      </c>
      <c r="E1606" s="37" t="s">
        <v>84</v>
      </c>
      <c r="F1606" s="37" t="s">
        <v>153</v>
      </c>
      <c r="G1606" s="21" t="s">
        <v>1796</v>
      </c>
      <c r="H1606" s="21" t="n">
        <v>0</v>
      </c>
      <c r="I1606" s="21" t="s">
        <v>137</v>
      </c>
    </row>
    <row r="1607" customFormat="false" ht="15" hidden="false" customHeight="false" outlineLevel="0" collapsed="false">
      <c r="A1607" s="21" t="s">
        <v>1902</v>
      </c>
      <c r="B1607" s="21" t="s">
        <v>1894</v>
      </c>
      <c r="C1607" s="21"/>
      <c r="D1607" s="37" t="s">
        <v>84</v>
      </c>
      <c r="E1607" s="37" t="s">
        <v>84</v>
      </c>
      <c r="F1607" s="37" t="s">
        <v>153</v>
      </c>
      <c r="G1607" s="21" t="s">
        <v>1796</v>
      </c>
      <c r="H1607" s="21" t="n">
        <v>0</v>
      </c>
      <c r="I1607" s="21" t="s">
        <v>137</v>
      </c>
    </row>
    <row r="1608" customFormat="false" ht="15" hidden="false" customHeight="false" outlineLevel="0" collapsed="false">
      <c r="A1608" s="21" t="s">
        <v>1903</v>
      </c>
      <c r="B1608" s="21" t="s">
        <v>1894</v>
      </c>
      <c r="C1608" s="21"/>
      <c r="D1608" s="37" t="s">
        <v>84</v>
      </c>
      <c r="E1608" s="37" t="s">
        <v>84</v>
      </c>
      <c r="F1608" s="37" t="s">
        <v>153</v>
      </c>
      <c r="G1608" s="21" t="s">
        <v>1796</v>
      </c>
      <c r="H1608" s="21" t="n">
        <v>0</v>
      </c>
      <c r="I1608" s="21" t="s">
        <v>137</v>
      </c>
    </row>
    <row r="1609" customFormat="false" ht="15" hidden="false" customHeight="false" outlineLevel="0" collapsed="false">
      <c r="A1609" s="21" t="s">
        <v>1904</v>
      </c>
      <c r="B1609" s="21" t="s">
        <v>1894</v>
      </c>
      <c r="C1609" s="21"/>
      <c r="D1609" s="37" t="s">
        <v>84</v>
      </c>
      <c r="E1609" s="37" t="s">
        <v>84</v>
      </c>
      <c r="F1609" s="37" t="s">
        <v>153</v>
      </c>
      <c r="G1609" s="21" t="s">
        <v>1796</v>
      </c>
      <c r="H1609" s="21" t="n">
        <v>0</v>
      </c>
      <c r="I1609" s="21" t="s">
        <v>137</v>
      </c>
    </row>
    <row r="1610" customFormat="false" ht="15" hidden="false" customHeight="false" outlineLevel="0" collapsed="false">
      <c r="A1610" s="21" t="s">
        <v>1905</v>
      </c>
      <c r="B1610" s="21" t="s">
        <v>1894</v>
      </c>
      <c r="C1610" s="21"/>
      <c r="D1610" s="37" t="s">
        <v>84</v>
      </c>
      <c r="E1610" s="37" t="s">
        <v>84</v>
      </c>
      <c r="F1610" s="37" t="s">
        <v>153</v>
      </c>
      <c r="G1610" s="21" t="s">
        <v>1796</v>
      </c>
      <c r="H1610" s="21" t="n">
        <v>0</v>
      </c>
      <c r="I1610" s="21" t="s">
        <v>137</v>
      </c>
    </row>
    <row r="1611" customFormat="false" ht="15" hidden="false" customHeight="false" outlineLevel="0" collapsed="false">
      <c r="A1611" s="21" t="s">
        <v>1906</v>
      </c>
      <c r="B1611" s="21" t="s">
        <v>1894</v>
      </c>
      <c r="C1611" s="21"/>
      <c r="D1611" s="37" t="s">
        <v>84</v>
      </c>
      <c r="E1611" s="37" t="s">
        <v>84</v>
      </c>
      <c r="F1611" s="37" t="s">
        <v>153</v>
      </c>
      <c r="G1611" s="21" t="s">
        <v>1796</v>
      </c>
      <c r="H1611" s="21" t="n">
        <v>0</v>
      </c>
      <c r="I1611" s="21" t="s">
        <v>137</v>
      </c>
    </row>
    <row r="1612" customFormat="false" ht="15" hidden="false" customHeight="false" outlineLevel="0" collapsed="false">
      <c r="A1612" s="21" t="s">
        <v>1907</v>
      </c>
      <c r="B1612" s="21" t="s">
        <v>1894</v>
      </c>
      <c r="C1612" s="21"/>
      <c r="D1612" s="37" t="s">
        <v>84</v>
      </c>
      <c r="E1612" s="37" t="s">
        <v>84</v>
      </c>
      <c r="F1612" s="37" t="s">
        <v>153</v>
      </c>
      <c r="G1612" s="21" t="s">
        <v>1796</v>
      </c>
      <c r="H1612" s="21" t="n">
        <v>0</v>
      </c>
      <c r="I1612" s="21" t="s">
        <v>137</v>
      </c>
    </row>
    <row r="1613" customFormat="false" ht="15" hidden="false" customHeight="false" outlineLevel="0" collapsed="false">
      <c r="A1613" s="21" t="s">
        <v>1908</v>
      </c>
      <c r="B1613" s="21" t="s">
        <v>1894</v>
      </c>
      <c r="C1613" s="21"/>
      <c r="D1613" s="37" t="s">
        <v>84</v>
      </c>
      <c r="E1613" s="37" t="s">
        <v>84</v>
      </c>
      <c r="F1613" s="37" t="s">
        <v>153</v>
      </c>
      <c r="G1613" s="21" t="s">
        <v>1796</v>
      </c>
      <c r="H1613" s="21" t="n">
        <v>0</v>
      </c>
      <c r="I1613" s="21" t="s">
        <v>137</v>
      </c>
    </row>
    <row r="1614" customFormat="false" ht="15" hidden="false" customHeight="false" outlineLevel="0" collapsed="false">
      <c r="A1614" s="21" t="s">
        <v>1909</v>
      </c>
      <c r="B1614" s="21" t="s">
        <v>1894</v>
      </c>
      <c r="C1614" s="21"/>
      <c r="D1614" s="37" t="s">
        <v>84</v>
      </c>
      <c r="E1614" s="37" t="s">
        <v>84</v>
      </c>
      <c r="F1614" s="37" t="s">
        <v>153</v>
      </c>
      <c r="G1614" s="21" t="s">
        <v>1796</v>
      </c>
      <c r="H1614" s="21" t="n">
        <v>0</v>
      </c>
      <c r="I1614" s="21" t="s">
        <v>137</v>
      </c>
    </row>
    <row r="1615" customFormat="false" ht="15" hidden="false" customHeight="false" outlineLevel="0" collapsed="false">
      <c r="A1615" s="21" t="s">
        <v>1910</v>
      </c>
      <c r="B1615" s="21" t="s">
        <v>1894</v>
      </c>
      <c r="C1615" s="21"/>
      <c r="D1615" s="37" t="s">
        <v>221</v>
      </c>
      <c r="E1615" s="37" t="s">
        <v>26</v>
      </c>
      <c r="F1615" s="37" t="s">
        <v>153</v>
      </c>
      <c r="G1615" s="21" t="s">
        <v>1796</v>
      </c>
      <c r="H1615" s="21" t="n">
        <v>0</v>
      </c>
      <c r="I1615" s="21" t="s">
        <v>137</v>
      </c>
    </row>
    <row r="1616" customFormat="false" ht="15" hidden="false" customHeight="false" outlineLevel="0" collapsed="false">
      <c r="A1616" s="21" t="s">
        <v>1911</v>
      </c>
      <c r="B1616" s="21" t="s">
        <v>1894</v>
      </c>
      <c r="C1616" s="21"/>
      <c r="D1616" s="37" t="s">
        <v>84</v>
      </c>
      <c r="E1616" s="37" t="s">
        <v>84</v>
      </c>
      <c r="F1616" s="37" t="s">
        <v>153</v>
      </c>
      <c r="G1616" s="21" t="s">
        <v>1796</v>
      </c>
      <c r="H1616" s="21" t="n">
        <v>0</v>
      </c>
      <c r="I1616" s="21" t="s">
        <v>137</v>
      </c>
    </row>
    <row r="1617" customFormat="false" ht="15" hidden="false" customHeight="false" outlineLevel="0" collapsed="false">
      <c r="A1617" s="21" t="s">
        <v>1912</v>
      </c>
      <c r="B1617" s="21" t="s">
        <v>1894</v>
      </c>
      <c r="C1617" s="21"/>
      <c r="D1617" s="37" t="s">
        <v>84</v>
      </c>
      <c r="E1617" s="37" t="s">
        <v>84</v>
      </c>
      <c r="F1617" s="37" t="s">
        <v>153</v>
      </c>
      <c r="G1617" s="21" t="s">
        <v>1796</v>
      </c>
      <c r="H1617" s="21" t="n">
        <v>0</v>
      </c>
      <c r="I1617" s="21" t="s">
        <v>137</v>
      </c>
    </row>
    <row r="1618" customFormat="false" ht="15" hidden="false" customHeight="false" outlineLevel="0" collapsed="false">
      <c r="A1618" s="21" t="s">
        <v>1913</v>
      </c>
      <c r="B1618" s="21" t="s">
        <v>1894</v>
      </c>
      <c r="C1618" s="21"/>
      <c r="D1618" s="37" t="s">
        <v>84</v>
      </c>
      <c r="E1618" s="37" t="s">
        <v>84</v>
      </c>
      <c r="F1618" s="37" t="s">
        <v>153</v>
      </c>
      <c r="G1618" s="21" t="s">
        <v>1796</v>
      </c>
      <c r="H1618" s="21" t="n">
        <v>0</v>
      </c>
      <c r="I1618" s="21" t="s">
        <v>137</v>
      </c>
    </row>
    <row r="1619" customFormat="false" ht="15" hidden="false" customHeight="false" outlineLevel="0" collapsed="false">
      <c r="A1619" s="21" t="s">
        <v>1914</v>
      </c>
      <c r="B1619" s="21" t="s">
        <v>1894</v>
      </c>
      <c r="C1619" s="21"/>
      <c r="D1619" s="37" t="s">
        <v>84</v>
      </c>
      <c r="E1619" s="37" t="s">
        <v>84</v>
      </c>
      <c r="F1619" s="37" t="s">
        <v>153</v>
      </c>
      <c r="G1619" s="21" t="s">
        <v>1796</v>
      </c>
      <c r="H1619" s="21" t="n">
        <v>0</v>
      </c>
      <c r="I1619" s="21" t="s">
        <v>137</v>
      </c>
    </row>
    <row r="1620" customFormat="false" ht="15" hidden="false" customHeight="false" outlineLevel="0" collapsed="false">
      <c r="A1620" s="21" t="s">
        <v>1915</v>
      </c>
      <c r="B1620" s="21" t="s">
        <v>1894</v>
      </c>
      <c r="C1620" s="21"/>
      <c r="D1620" s="37" t="s">
        <v>84</v>
      </c>
      <c r="E1620" s="37" t="s">
        <v>84</v>
      </c>
      <c r="F1620" s="37" t="s">
        <v>153</v>
      </c>
      <c r="G1620" s="21" t="s">
        <v>1796</v>
      </c>
      <c r="H1620" s="21" t="n">
        <v>0</v>
      </c>
      <c r="I1620" s="21" t="s">
        <v>137</v>
      </c>
    </row>
    <row r="1621" customFormat="false" ht="15" hidden="false" customHeight="false" outlineLevel="0" collapsed="false">
      <c r="A1621" s="21" t="s">
        <v>1916</v>
      </c>
      <c r="B1621" s="21" t="s">
        <v>1894</v>
      </c>
      <c r="C1621" s="21"/>
      <c r="D1621" s="37" t="s">
        <v>84</v>
      </c>
      <c r="E1621" s="37" t="s">
        <v>84</v>
      </c>
      <c r="F1621" s="37" t="s">
        <v>153</v>
      </c>
      <c r="G1621" s="21" t="s">
        <v>1796</v>
      </c>
      <c r="H1621" s="21" t="n">
        <v>0</v>
      </c>
      <c r="I1621" s="21" t="s">
        <v>137</v>
      </c>
    </row>
    <row r="1622" customFormat="false" ht="15" hidden="false" customHeight="false" outlineLevel="0" collapsed="false">
      <c r="A1622" s="21" t="s">
        <v>1917</v>
      </c>
      <c r="B1622" s="21" t="s">
        <v>1894</v>
      </c>
      <c r="C1622" s="21"/>
      <c r="D1622" s="37" t="s">
        <v>84</v>
      </c>
      <c r="E1622" s="37" t="s">
        <v>84</v>
      </c>
      <c r="F1622" s="37" t="s">
        <v>153</v>
      </c>
      <c r="G1622" s="21" t="s">
        <v>1796</v>
      </c>
      <c r="H1622" s="21" t="n">
        <v>0</v>
      </c>
      <c r="I1622" s="21" t="s">
        <v>137</v>
      </c>
    </row>
    <row r="1623" customFormat="false" ht="15" hidden="false" customHeight="false" outlineLevel="0" collapsed="false">
      <c r="A1623" s="21" t="s">
        <v>1918</v>
      </c>
      <c r="B1623" s="21" t="s">
        <v>1894</v>
      </c>
      <c r="C1623" s="21"/>
      <c r="D1623" s="37" t="s">
        <v>84</v>
      </c>
      <c r="E1623" s="37" t="s">
        <v>84</v>
      </c>
      <c r="F1623" s="37" t="s">
        <v>153</v>
      </c>
      <c r="G1623" s="21" t="s">
        <v>1796</v>
      </c>
      <c r="H1623" s="21" t="n">
        <v>0</v>
      </c>
      <c r="I1623" s="21" t="s">
        <v>137</v>
      </c>
    </row>
    <row r="1624" customFormat="false" ht="15" hidden="false" customHeight="false" outlineLevel="0" collapsed="false">
      <c r="A1624" s="21" t="s">
        <v>1919</v>
      </c>
      <c r="B1624" s="21" t="s">
        <v>1894</v>
      </c>
      <c r="C1624" s="21"/>
      <c r="D1624" s="37" t="s">
        <v>84</v>
      </c>
      <c r="E1624" s="37" t="s">
        <v>84</v>
      </c>
      <c r="F1624" s="37" t="s">
        <v>153</v>
      </c>
      <c r="G1624" s="21" t="s">
        <v>1796</v>
      </c>
      <c r="H1624" s="21" t="n">
        <v>0</v>
      </c>
      <c r="I1624" s="21" t="s">
        <v>137</v>
      </c>
    </row>
    <row r="1625" customFormat="false" ht="15" hidden="false" customHeight="false" outlineLevel="0" collapsed="false">
      <c r="A1625" s="21" t="s">
        <v>1920</v>
      </c>
      <c r="B1625" s="21" t="s">
        <v>1894</v>
      </c>
      <c r="C1625" s="21"/>
      <c r="D1625" s="37" t="s">
        <v>84</v>
      </c>
      <c r="E1625" s="37" t="s">
        <v>84</v>
      </c>
      <c r="F1625" s="37" t="s">
        <v>153</v>
      </c>
      <c r="G1625" s="21" t="s">
        <v>1796</v>
      </c>
      <c r="H1625" s="21" t="n">
        <v>0</v>
      </c>
      <c r="I1625" s="21" t="s">
        <v>137</v>
      </c>
    </row>
    <row r="1626" customFormat="false" ht="15" hidden="false" customHeight="false" outlineLevel="0" collapsed="false">
      <c r="A1626" s="21" t="s">
        <v>1921</v>
      </c>
      <c r="B1626" s="21" t="s">
        <v>1894</v>
      </c>
      <c r="C1626" s="21"/>
      <c r="D1626" s="37" t="s">
        <v>84</v>
      </c>
      <c r="E1626" s="37" t="s">
        <v>84</v>
      </c>
      <c r="F1626" s="37" t="s">
        <v>153</v>
      </c>
      <c r="G1626" s="21" t="s">
        <v>1796</v>
      </c>
      <c r="H1626" s="21" t="n">
        <v>0</v>
      </c>
      <c r="I1626" s="21" t="s">
        <v>137</v>
      </c>
    </row>
    <row r="1627" customFormat="false" ht="15" hidden="false" customHeight="false" outlineLevel="0" collapsed="false">
      <c r="A1627" s="21" t="s">
        <v>1922</v>
      </c>
      <c r="B1627" s="21" t="s">
        <v>1894</v>
      </c>
      <c r="C1627" s="21"/>
      <c r="D1627" s="37" t="s">
        <v>84</v>
      </c>
      <c r="E1627" s="37" t="s">
        <v>84</v>
      </c>
      <c r="F1627" s="37" t="s">
        <v>153</v>
      </c>
      <c r="G1627" s="21" t="s">
        <v>1796</v>
      </c>
      <c r="H1627" s="21" t="n">
        <v>0</v>
      </c>
      <c r="I1627" s="21" t="s">
        <v>137</v>
      </c>
    </row>
    <row r="1628" customFormat="false" ht="15" hidden="false" customHeight="false" outlineLevel="0" collapsed="false">
      <c r="A1628" s="21" t="s">
        <v>1923</v>
      </c>
      <c r="B1628" s="21" t="s">
        <v>1894</v>
      </c>
      <c r="C1628" s="21"/>
      <c r="D1628" s="37" t="s">
        <v>84</v>
      </c>
      <c r="E1628" s="37" t="s">
        <v>84</v>
      </c>
      <c r="F1628" s="37" t="s">
        <v>153</v>
      </c>
      <c r="G1628" s="21" t="s">
        <v>1796</v>
      </c>
      <c r="H1628" s="21" t="n">
        <v>0</v>
      </c>
      <c r="I1628" s="21" t="s">
        <v>137</v>
      </c>
    </row>
    <row r="1629" customFormat="false" ht="15" hidden="false" customHeight="false" outlineLevel="0" collapsed="false">
      <c r="A1629" s="21" t="s">
        <v>1924</v>
      </c>
      <c r="B1629" s="21" t="s">
        <v>1894</v>
      </c>
      <c r="C1629" s="21"/>
      <c r="D1629" s="37" t="s">
        <v>84</v>
      </c>
      <c r="E1629" s="37" t="s">
        <v>84</v>
      </c>
      <c r="F1629" s="37" t="s">
        <v>153</v>
      </c>
      <c r="G1629" s="21" t="s">
        <v>1796</v>
      </c>
      <c r="H1629" s="21" t="n">
        <v>0</v>
      </c>
      <c r="I1629" s="21" t="s">
        <v>137</v>
      </c>
    </row>
    <row r="1630" customFormat="false" ht="15" hidden="false" customHeight="false" outlineLevel="0" collapsed="false">
      <c r="A1630" s="21" t="s">
        <v>1925</v>
      </c>
      <c r="B1630" s="21" t="s">
        <v>1894</v>
      </c>
      <c r="C1630" s="21"/>
      <c r="D1630" s="37" t="s">
        <v>84</v>
      </c>
      <c r="E1630" s="37" t="s">
        <v>84</v>
      </c>
      <c r="F1630" s="37" t="s">
        <v>153</v>
      </c>
      <c r="G1630" s="21" t="s">
        <v>1796</v>
      </c>
      <c r="H1630" s="21" t="n">
        <v>0</v>
      </c>
      <c r="I1630" s="21" t="s">
        <v>137</v>
      </c>
    </row>
    <row r="1631" customFormat="false" ht="15" hidden="false" customHeight="false" outlineLevel="0" collapsed="false">
      <c r="A1631" s="21" t="s">
        <v>1926</v>
      </c>
      <c r="B1631" s="21" t="s">
        <v>1894</v>
      </c>
      <c r="C1631" s="21"/>
      <c r="D1631" s="37" t="s">
        <v>84</v>
      </c>
      <c r="E1631" s="37" t="s">
        <v>84</v>
      </c>
      <c r="F1631" s="37" t="s">
        <v>153</v>
      </c>
      <c r="G1631" s="21" t="s">
        <v>1796</v>
      </c>
      <c r="H1631" s="21" t="n">
        <v>0</v>
      </c>
      <c r="I1631" s="21" t="s">
        <v>137</v>
      </c>
    </row>
    <row r="1632" customFormat="false" ht="15" hidden="false" customHeight="false" outlineLevel="0" collapsed="false">
      <c r="A1632" s="21" t="s">
        <v>1927</v>
      </c>
      <c r="B1632" s="21" t="s">
        <v>1894</v>
      </c>
      <c r="C1632" s="21"/>
      <c r="D1632" s="37" t="s">
        <v>84</v>
      </c>
      <c r="E1632" s="37" t="s">
        <v>84</v>
      </c>
      <c r="F1632" s="37" t="s">
        <v>153</v>
      </c>
      <c r="G1632" s="21" t="s">
        <v>1796</v>
      </c>
      <c r="H1632" s="21" t="n">
        <v>0</v>
      </c>
      <c r="I1632" s="21" t="s">
        <v>137</v>
      </c>
    </row>
    <row r="1633" customFormat="false" ht="15" hidden="false" customHeight="false" outlineLevel="0" collapsed="false">
      <c r="A1633" s="21" t="s">
        <v>1928</v>
      </c>
      <c r="B1633" s="21" t="s">
        <v>1894</v>
      </c>
      <c r="C1633" s="21"/>
      <c r="D1633" s="37" t="s">
        <v>84</v>
      </c>
      <c r="E1633" s="37" t="s">
        <v>84</v>
      </c>
      <c r="F1633" s="37" t="s">
        <v>153</v>
      </c>
      <c r="G1633" s="21" t="s">
        <v>1796</v>
      </c>
      <c r="H1633" s="21" t="n">
        <v>0</v>
      </c>
      <c r="I1633" s="21" t="s">
        <v>137</v>
      </c>
    </row>
    <row r="1634" customFormat="false" ht="15" hidden="false" customHeight="false" outlineLevel="0" collapsed="false">
      <c r="A1634" s="21" t="s">
        <v>1929</v>
      </c>
      <c r="B1634" s="21" t="s">
        <v>1894</v>
      </c>
      <c r="C1634" s="21"/>
      <c r="D1634" s="37" t="s">
        <v>84</v>
      </c>
      <c r="E1634" s="37" t="s">
        <v>84</v>
      </c>
      <c r="F1634" s="37" t="s">
        <v>153</v>
      </c>
      <c r="G1634" s="21" t="s">
        <v>1796</v>
      </c>
      <c r="H1634" s="21" t="n">
        <v>0</v>
      </c>
      <c r="I1634" s="21" t="s">
        <v>137</v>
      </c>
    </row>
    <row r="1635" customFormat="false" ht="15" hidden="false" customHeight="false" outlineLevel="0" collapsed="false">
      <c r="A1635" s="21" t="s">
        <v>1930</v>
      </c>
      <c r="B1635" s="21" t="s">
        <v>1894</v>
      </c>
      <c r="C1635" s="21"/>
      <c r="D1635" s="37" t="s">
        <v>84</v>
      </c>
      <c r="E1635" s="37" t="s">
        <v>84</v>
      </c>
      <c r="F1635" s="37" t="s">
        <v>153</v>
      </c>
      <c r="G1635" s="21" t="s">
        <v>1796</v>
      </c>
      <c r="H1635" s="21" t="n">
        <v>0</v>
      </c>
      <c r="I1635" s="21" t="s">
        <v>137</v>
      </c>
    </row>
    <row r="1636" customFormat="false" ht="15" hidden="false" customHeight="false" outlineLevel="0" collapsed="false">
      <c r="A1636" s="21" t="s">
        <v>1931</v>
      </c>
      <c r="B1636" s="21" t="s">
        <v>1894</v>
      </c>
      <c r="C1636" s="21"/>
      <c r="D1636" s="37" t="s">
        <v>84</v>
      </c>
      <c r="E1636" s="37" t="s">
        <v>84</v>
      </c>
      <c r="F1636" s="37" t="s">
        <v>153</v>
      </c>
      <c r="G1636" s="21" t="s">
        <v>1796</v>
      </c>
      <c r="H1636" s="21" t="n">
        <v>0</v>
      </c>
      <c r="I1636" s="21" t="s">
        <v>137</v>
      </c>
    </row>
    <row r="1637" customFormat="false" ht="15" hidden="false" customHeight="false" outlineLevel="0" collapsed="false">
      <c r="A1637" s="21" t="s">
        <v>1932</v>
      </c>
      <c r="B1637" s="21" t="s">
        <v>1894</v>
      </c>
      <c r="C1637" s="21"/>
      <c r="D1637" s="37" t="s">
        <v>84</v>
      </c>
      <c r="E1637" s="37" t="s">
        <v>84</v>
      </c>
      <c r="F1637" s="37" t="s">
        <v>153</v>
      </c>
      <c r="G1637" s="21" t="s">
        <v>1796</v>
      </c>
      <c r="H1637" s="21" t="n">
        <v>0</v>
      </c>
      <c r="I1637" s="21" t="s">
        <v>137</v>
      </c>
    </row>
    <row r="1638" customFormat="false" ht="15" hidden="false" customHeight="false" outlineLevel="0" collapsed="false">
      <c r="A1638" s="21" t="s">
        <v>1933</v>
      </c>
      <c r="B1638" s="21"/>
      <c r="C1638" s="21"/>
      <c r="D1638" s="37" t="s">
        <v>84</v>
      </c>
      <c r="E1638" s="37" t="s">
        <v>84</v>
      </c>
      <c r="F1638" s="37" t="s">
        <v>153</v>
      </c>
      <c r="G1638" s="21" t="s">
        <v>450</v>
      </c>
      <c r="H1638" s="21" t="n">
        <v>0</v>
      </c>
      <c r="I1638" s="21" t="s">
        <v>137</v>
      </c>
    </row>
    <row r="1639" customFormat="false" ht="15" hidden="false" customHeight="false" outlineLevel="0" collapsed="false">
      <c r="A1639" s="21" t="s">
        <v>1934</v>
      </c>
      <c r="B1639" s="21"/>
      <c r="C1639" s="21"/>
      <c r="D1639" s="37" t="s">
        <v>84</v>
      </c>
      <c r="E1639" s="37" t="s">
        <v>84</v>
      </c>
      <c r="F1639" s="37" t="s">
        <v>153</v>
      </c>
      <c r="G1639" s="21" t="s">
        <v>450</v>
      </c>
      <c r="H1639" s="21" t="n">
        <v>0</v>
      </c>
      <c r="I1639" s="21" t="s">
        <v>137</v>
      </c>
    </row>
    <row r="1640" customFormat="false" ht="15" hidden="false" customHeight="false" outlineLevel="0" collapsed="false">
      <c r="A1640" s="21" t="s">
        <v>1935</v>
      </c>
      <c r="B1640" s="21"/>
      <c r="C1640" s="21"/>
      <c r="D1640" s="37" t="s">
        <v>84</v>
      </c>
      <c r="E1640" s="37" t="s">
        <v>84</v>
      </c>
      <c r="F1640" s="37" t="s">
        <v>153</v>
      </c>
      <c r="G1640" s="21" t="s">
        <v>445</v>
      </c>
      <c r="H1640" s="21" t="n">
        <v>0</v>
      </c>
      <c r="I1640" s="21" t="s">
        <v>137</v>
      </c>
    </row>
    <row r="1641" customFormat="false" ht="15" hidden="false" customHeight="false" outlineLevel="0" collapsed="false">
      <c r="A1641" s="21" t="s">
        <v>1936</v>
      </c>
      <c r="B1641" s="21" t="s">
        <v>1937</v>
      </c>
      <c r="C1641" s="21"/>
      <c r="D1641" s="37" t="s">
        <v>148</v>
      </c>
      <c r="E1641" s="37" t="s">
        <v>27</v>
      </c>
      <c r="F1641" s="37" t="s">
        <v>153</v>
      </c>
      <c r="G1641" s="21" t="s">
        <v>456</v>
      </c>
      <c r="H1641" s="21" t="n">
        <v>0</v>
      </c>
      <c r="I1641" s="21" t="s">
        <v>137</v>
      </c>
    </row>
    <row r="1642" customFormat="false" ht="15" hidden="false" customHeight="false" outlineLevel="0" collapsed="false">
      <c r="A1642" s="21" t="s">
        <v>1938</v>
      </c>
      <c r="B1642" s="21" t="s">
        <v>1939</v>
      </c>
      <c r="C1642" s="21"/>
      <c r="D1642" s="37" t="s">
        <v>148</v>
      </c>
      <c r="E1642" s="37" t="s">
        <v>27</v>
      </c>
      <c r="F1642" s="37" t="s">
        <v>153</v>
      </c>
      <c r="G1642" s="21" t="s">
        <v>456</v>
      </c>
      <c r="H1642" s="21" t="n">
        <v>0</v>
      </c>
      <c r="I1642" s="21" t="s">
        <v>137</v>
      </c>
    </row>
    <row r="1643" customFormat="false" ht="15" hidden="false" customHeight="false" outlineLevel="0" collapsed="false">
      <c r="A1643" s="21" t="s">
        <v>1940</v>
      </c>
      <c r="B1643" s="21"/>
      <c r="C1643" s="21"/>
      <c r="D1643" s="37" t="s">
        <v>84</v>
      </c>
      <c r="E1643" s="37" t="s">
        <v>84</v>
      </c>
      <c r="F1643" s="37" t="s">
        <v>153</v>
      </c>
      <c r="G1643" s="21" t="s">
        <v>445</v>
      </c>
      <c r="H1643" s="21" t="n">
        <v>0</v>
      </c>
      <c r="I1643" s="21" t="s">
        <v>137</v>
      </c>
    </row>
    <row r="1644" customFormat="false" ht="15" hidden="false" customHeight="false" outlineLevel="0" collapsed="false">
      <c r="A1644" s="21" t="s">
        <v>1941</v>
      </c>
      <c r="B1644" s="21"/>
      <c r="C1644" s="21"/>
      <c r="D1644" s="37" t="s">
        <v>84</v>
      </c>
      <c r="E1644" s="37" t="s">
        <v>84</v>
      </c>
      <c r="F1644" s="37" t="s">
        <v>153</v>
      </c>
      <c r="G1644" s="21" t="s">
        <v>450</v>
      </c>
      <c r="H1644" s="21" t="n">
        <v>0</v>
      </c>
      <c r="I1644" s="21" t="s">
        <v>137</v>
      </c>
    </row>
    <row r="1645" customFormat="false" ht="15" hidden="false" customHeight="false" outlineLevel="0" collapsed="false">
      <c r="A1645" s="21" t="s">
        <v>1942</v>
      </c>
      <c r="B1645" s="21"/>
      <c r="C1645" s="21"/>
      <c r="D1645" s="37" t="s">
        <v>84</v>
      </c>
      <c r="E1645" s="37" t="s">
        <v>84</v>
      </c>
      <c r="F1645" s="37" t="s">
        <v>153</v>
      </c>
      <c r="G1645" s="21" t="s">
        <v>450</v>
      </c>
      <c r="H1645" s="21" t="n">
        <v>0</v>
      </c>
      <c r="I1645" s="21" t="s">
        <v>137</v>
      </c>
    </row>
    <row r="1646" customFormat="false" ht="15" hidden="false" customHeight="false" outlineLevel="0" collapsed="false">
      <c r="A1646" s="21" t="s">
        <v>1943</v>
      </c>
      <c r="B1646" s="21"/>
      <c r="C1646" s="21"/>
      <c r="D1646" s="37" t="s">
        <v>84</v>
      </c>
      <c r="E1646" s="37" t="s">
        <v>84</v>
      </c>
      <c r="F1646" s="37" t="s">
        <v>153</v>
      </c>
      <c r="G1646" s="21" t="s">
        <v>450</v>
      </c>
      <c r="H1646" s="21" t="n">
        <v>0</v>
      </c>
      <c r="I1646" s="21" t="s">
        <v>137</v>
      </c>
    </row>
    <row r="1647" customFormat="false" ht="15" hidden="false" customHeight="false" outlineLevel="0" collapsed="false">
      <c r="A1647" s="21" t="s">
        <v>1944</v>
      </c>
      <c r="B1647" s="21"/>
      <c r="C1647" s="21"/>
      <c r="D1647" s="37" t="s">
        <v>84</v>
      </c>
      <c r="E1647" s="37" t="s">
        <v>84</v>
      </c>
      <c r="F1647" s="37" t="s">
        <v>153</v>
      </c>
      <c r="G1647" s="21" t="s">
        <v>450</v>
      </c>
      <c r="H1647" s="21" t="n">
        <v>0</v>
      </c>
      <c r="I1647" s="21" t="s">
        <v>137</v>
      </c>
    </row>
    <row r="1648" customFormat="false" ht="15" hidden="false" customHeight="false" outlineLevel="0" collapsed="false">
      <c r="A1648" s="21" t="s">
        <v>1945</v>
      </c>
      <c r="B1648" s="21"/>
      <c r="C1648" s="21"/>
      <c r="D1648" s="37" t="s">
        <v>84</v>
      </c>
      <c r="E1648" s="37" t="s">
        <v>84</v>
      </c>
      <c r="F1648" s="37" t="s">
        <v>153</v>
      </c>
      <c r="G1648" s="21" t="s">
        <v>450</v>
      </c>
      <c r="H1648" s="21" t="n">
        <v>0</v>
      </c>
      <c r="I1648" s="21" t="s">
        <v>137</v>
      </c>
    </row>
    <row r="1649" customFormat="false" ht="15" hidden="false" customHeight="false" outlineLevel="0" collapsed="false">
      <c r="A1649" s="21" t="s">
        <v>1946</v>
      </c>
      <c r="B1649" s="21" t="s">
        <v>1947</v>
      </c>
      <c r="C1649" s="21"/>
      <c r="D1649" s="37" t="s">
        <v>84</v>
      </c>
      <c r="E1649" s="37" t="s">
        <v>84</v>
      </c>
      <c r="F1649" s="37" t="s">
        <v>153</v>
      </c>
      <c r="G1649" s="21" t="s">
        <v>1548</v>
      </c>
      <c r="H1649" s="21" t="n">
        <v>0</v>
      </c>
      <c r="I1649" s="21" t="s">
        <v>137</v>
      </c>
    </row>
    <row r="1650" customFormat="false" ht="15" hidden="false" customHeight="false" outlineLevel="0" collapsed="false">
      <c r="A1650" s="21" t="s">
        <v>1948</v>
      </c>
      <c r="B1650" s="21" t="s">
        <v>1949</v>
      </c>
      <c r="C1650" s="21"/>
      <c r="D1650" s="37" t="s">
        <v>148</v>
      </c>
      <c r="E1650" s="37" t="s">
        <v>27</v>
      </c>
      <c r="F1650" s="37" t="s">
        <v>153</v>
      </c>
      <c r="G1650" s="21" t="s">
        <v>445</v>
      </c>
      <c r="H1650" s="21" t="n">
        <v>0</v>
      </c>
      <c r="I1650" s="21" t="s">
        <v>137</v>
      </c>
    </row>
    <row r="1651" customFormat="false" ht="15" hidden="false" customHeight="false" outlineLevel="0" collapsed="false">
      <c r="A1651" s="21" t="s">
        <v>1950</v>
      </c>
      <c r="B1651" s="21" t="s">
        <v>1951</v>
      </c>
      <c r="C1651" s="21"/>
      <c r="D1651" s="37" t="s">
        <v>148</v>
      </c>
      <c r="E1651" s="37" t="s">
        <v>27</v>
      </c>
      <c r="F1651" s="37" t="s">
        <v>153</v>
      </c>
      <c r="G1651" s="21" t="s">
        <v>505</v>
      </c>
      <c r="H1651" s="21" t="n">
        <v>0</v>
      </c>
      <c r="I1651" s="21" t="s">
        <v>137</v>
      </c>
    </row>
    <row r="1652" customFormat="false" ht="15" hidden="false" customHeight="false" outlineLevel="0" collapsed="false">
      <c r="A1652" s="21" t="s">
        <v>1952</v>
      </c>
      <c r="B1652" s="21" t="s">
        <v>1953</v>
      </c>
      <c r="C1652" s="21"/>
      <c r="D1652" s="37" t="s">
        <v>148</v>
      </c>
      <c r="E1652" s="37" t="s">
        <v>27</v>
      </c>
      <c r="F1652" s="37" t="s">
        <v>153</v>
      </c>
      <c r="G1652" s="21" t="s">
        <v>1548</v>
      </c>
      <c r="H1652" s="21" t="n">
        <v>0</v>
      </c>
      <c r="I1652" s="21" t="s">
        <v>137</v>
      </c>
    </row>
    <row r="1653" customFormat="false" ht="15" hidden="false" customHeight="false" outlineLevel="0" collapsed="false">
      <c r="A1653" s="21" t="s">
        <v>1954</v>
      </c>
      <c r="B1653" s="21" t="s">
        <v>1955</v>
      </c>
      <c r="C1653" s="21"/>
      <c r="D1653" s="37" t="s">
        <v>84</v>
      </c>
      <c r="E1653" s="37" t="s">
        <v>84</v>
      </c>
      <c r="F1653" s="37" t="s">
        <v>153</v>
      </c>
      <c r="G1653" s="21" t="s">
        <v>456</v>
      </c>
      <c r="H1653" s="21" t="n">
        <v>0</v>
      </c>
      <c r="I1653" s="21" t="s">
        <v>137</v>
      </c>
    </row>
    <row r="1654" customFormat="false" ht="15" hidden="false" customHeight="false" outlineLevel="0" collapsed="false">
      <c r="A1654" s="21" t="s">
        <v>1956</v>
      </c>
      <c r="B1654" s="21" t="s">
        <v>1957</v>
      </c>
      <c r="C1654" s="21"/>
      <c r="D1654" s="37" t="s">
        <v>84</v>
      </c>
      <c r="E1654" s="37" t="s">
        <v>84</v>
      </c>
      <c r="F1654" s="37" t="s">
        <v>153</v>
      </c>
      <c r="G1654" s="21" t="s">
        <v>1796</v>
      </c>
      <c r="H1654" s="21" t="n">
        <v>0</v>
      </c>
      <c r="I1654" s="21" t="s">
        <v>137</v>
      </c>
    </row>
    <row r="1655" customFormat="false" ht="15" hidden="false" customHeight="false" outlineLevel="0" collapsed="false">
      <c r="A1655" s="21" t="s">
        <v>1958</v>
      </c>
      <c r="B1655" s="21"/>
      <c r="C1655" s="21"/>
      <c r="D1655" s="37" t="s">
        <v>84</v>
      </c>
      <c r="E1655" s="37" t="s">
        <v>84</v>
      </c>
      <c r="F1655" s="37" t="s">
        <v>153</v>
      </c>
      <c r="G1655" s="21" t="s">
        <v>445</v>
      </c>
      <c r="H1655" s="21" t="n">
        <v>0</v>
      </c>
      <c r="I1655" s="21" t="s">
        <v>137</v>
      </c>
    </row>
    <row r="1656" customFormat="false" ht="15" hidden="false" customHeight="false" outlineLevel="0" collapsed="false">
      <c r="A1656" s="21" t="s">
        <v>1959</v>
      </c>
      <c r="B1656" s="21" t="s">
        <v>1960</v>
      </c>
      <c r="C1656" s="21"/>
      <c r="D1656" s="37" t="s">
        <v>84</v>
      </c>
      <c r="E1656" s="37" t="s">
        <v>84</v>
      </c>
      <c r="F1656" s="37" t="s">
        <v>153</v>
      </c>
      <c r="G1656" s="21" t="s">
        <v>1961</v>
      </c>
      <c r="H1656" s="21" t="n">
        <v>0</v>
      </c>
      <c r="I1656" s="21" t="s">
        <v>137</v>
      </c>
    </row>
    <row r="1657" customFormat="false" ht="15" hidden="false" customHeight="false" outlineLevel="0" collapsed="false">
      <c r="A1657" s="21" t="s">
        <v>1962</v>
      </c>
      <c r="B1657" s="21"/>
      <c r="C1657" s="21"/>
      <c r="D1657" s="37" t="s">
        <v>84</v>
      </c>
      <c r="E1657" s="37" t="s">
        <v>84</v>
      </c>
      <c r="F1657" s="37" t="s">
        <v>153</v>
      </c>
      <c r="G1657" s="21" t="s">
        <v>450</v>
      </c>
      <c r="H1657" s="21" t="n">
        <v>0</v>
      </c>
      <c r="I1657" s="21" t="s">
        <v>137</v>
      </c>
    </row>
    <row r="1658" customFormat="false" ht="15" hidden="false" customHeight="false" outlineLevel="0" collapsed="false">
      <c r="A1658" s="21" t="s">
        <v>1963</v>
      </c>
      <c r="B1658" s="21"/>
      <c r="C1658" s="21"/>
      <c r="D1658" s="37" t="s">
        <v>84</v>
      </c>
      <c r="E1658" s="37" t="s">
        <v>84</v>
      </c>
      <c r="F1658" s="37" t="s">
        <v>153</v>
      </c>
      <c r="G1658" s="21" t="s">
        <v>450</v>
      </c>
      <c r="H1658" s="21" t="n">
        <v>0</v>
      </c>
      <c r="I1658" s="21" t="s">
        <v>137</v>
      </c>
    </row>
    <row r="1659" customFormat="false" ht="15" hidden="false" customHeight="false" outlineLevel="0" collapsed="false">
      <c r="A1659" s="21" t="s">
        <v>1964</v>
      </c>
      <c r="B1659" s="21" t="s">
        <v>1965</v>
      </c>
      <c r="C1659" s="21"/>
      <c r="D1659" s="37" t="s">
        <v>152</v>
      </c>
      <c r="E1659" s="37" t="s">
        <v>26</v>
      </c>
      <c r="F1659" s="37" t="s">
        <v>153</v>
      </c>
      <c r="G1659" s="21" t="s">
        <v>456</v>
      </c>
      <c r="H1659" s="21" t="n">
        <v>0</v>
      </c>
      <c r="I1659" s="21" t="s">
        <v>137</v>
      </c>
    </row>
    <row r="1660" customFormat="false" ht="15" hidden="false" customHeight="false" outlineLevel="0" collapsed="false">
      <c r="A1660" s="21" t="s">
        <v>1966</v>
      </c>
      <c r="B1660" s="21" t="s">
        <v>1967</v>
      </c>
      <c r="C1660" s="21"/>
      <c r="D1660" s="37" t="s">
        <v>152</v>
      </c>
      <c r="E1660" s="37" t="s">
        <v>26</v>
      </c>
      <c r="F1660" s="37" t="s">
        <v>153</v>
      </c>
      <c r="G1660" s="21" t="s">
        <v>456</v>
      </c>
      <c r="H1660" s="21" t="n">
        <v>0</v>
      </c>
      <c r="I1660" s="21" t="s">
        <v>137</v>
      </c>
    </row>
    <row r="1661" customFormat="false" ht="15" hidden="false" customHeight="false" outlineLevel="0" collapsed="false">
      <c r="A1661" s="21" t="s">
        <v>1968</v>
      </c>
      <c r="B1661" s="21" t="s">
        <v>1969</v>
      </c>
      <c r="C1661" s="21"/>
      <c r="D1661" s="37" t="s">
        <v>152</v>
      </c>
      <c r="E1661" s="37" t="s">
        <v>26</v>
      </c>
      <c r="F1661" s="37" t="s">
        <v>153</v>
      </c>
      <c r="G1661" s="21" t="s">
        <v>456</v>
      </c>
      <c r="H1661" s="21" t="n">
        <v>0</v>
      </c>
      <c r="I1661" s="21" t="s">
        <v>137</v>
      </c>
    </row>
    <row r="1662" customFormat="false" ht="15" hidden="false" customHeight="false" outlineLevel="0" collapsed="false">
      <c r="A1662" s="21" t="s">
        <v>1970</v>
      </c>
      <c r="B1662" s="21"/>
      <c r="C1662" s="21"/>
      <c r="D1662" s="37" t="s">
        <v>152</v>
      </c>
      <c r="E1662" s="37" t="s">
        <v>26</v>
      </c>
      <c r="F1662" s="37" t="s">
        <v>153</v>
      </c>
      <c r="G1662" s="21" t="s">
        <v>445</v>
      </c>
      <c r="H1662" s="21" t="n">
        <v>0</v>
      </c>
      <c r="I1662" s="21" t="s">
        <v>137</v>
      </c>
    </row>
    <row r="1663" customFormat="false" ht="15" hidden="false" customHeight="false" outlineLevel="0" collapsed="false">
      <c r="A1663" s="21" t="s">
        <v>1971</v>
      </c>
      <c r="B1663" s="21" t="s">
        <v>1784</v>
      </c>
      <c r="C1663" s="21"/>
      <c r="D1663" s="37" t="s">
        <v>152</v>
      </c>
      <c r="E1663" s="37" t="s">
        <v>26</v>
      </c>
      <c r="F1663" s="37" t="s">
        <v>153</v>
      </c>
      <c r="G1663" s="21" t="s">
        <v>441</v>
      </c>
      <c r="H1663" s="21" t="n">
        <v>0</v>
      </c>
      <c r="I1663" s="21" t="s">
        <v>137</v>
      </c>
    </row>
    <row r="1664" customFormat="false" ht="15" hidden="false" customHeight="false" outlineLevel="0" collapsed="false">
      <c r="A1664" s="21" t="s">
        <v>1972</v>
      </c>
      <c r="B1664" s="21" t="s">
        <v>1973</v>
      </c>
      <c r="C1664" s="21"/>
      <c r="D1664" s="37" t="s">
        <v>84</v>
      </c>
      <c r="E1664" s="37" t="s">
        <v>84</v>
      </c>
      <c r="F1664" s="37" t="s">
        <v>153</v>
      </c>
      <c r="G1664" s="21" t="s">
        <v>445</v>
      </c>
      <c r="H1664" s="21" t="n">
        <v>0</v>
      </c>
      <c r="I1664" s="21" t="s">
        <v>137</v>
      </c>
    </row>
    <row r="1665" customFormat="false" ht="15" hidden="false" customHeight="false" outlineLevel="0" collapsed="false">
      <c r="A1665" s="21" t="s">
        <v>1974</v>
      </c>
      <c r="B1665" s="21"/>
      <c r="C1665" s="21"/>
      <c r="D1665" s="37" t="s">
        <v>84</v>
      </c>
      <c r="E1665" s="37" t="s">
        <v>84</v>
      </c>
      <c r="F1665" s="37" t="s">
        <v>153</v>
      </c>
      <c r="G1665" s="21" t="s">
        <v>445</v>
      </c>
      <c r="H1665" s="21" t="n">
        <v>0</v>
      </c>
      <c r="I1665" s="21" t="s">
        <v>137</v>
      </c>
    </row>
    <row r="1666" customFormat="false" ht="15" hidden="false" customHeight="false" outlineLevel="0" collapsed="false">
      <c r="A1666" s="21" t="s">
        <v>1975</v>
      </c>
      <c r="B1666" s="21" t="s">
        <v>1976</v>
      </c>
      <c r="C1666" s="21"/>
      <c r="D1666" s="37" t="s">
        <v>156</v>
      </c>
      <c r="E1666" s="37" t="s">
        <v>26</v>
      </c>
      <c r="F1666" s="37" t="s">
        <v>153</v>
      </c>
      <c r="G1666" s="21" t="s">
        <v>1796</v>
      </c>
      <c r="H1666" s="21" t="n">
        <v>0</v>
      </c>
      <c r="I1666" s="21" t="s">
        <v>137</v>
      </c>
    </row>
    <row r="1667" customFormat="false" ht="15" hidden="false" customHeight="false" outlineLevel="0" collapsed="false">
      <c r="A1667" s="21" t="s">
        <v>1977</v>
      </c>
      <c r="B1667" s="21"/>
      <c r="C1667" s="21"/>
      <c r="D1667" s="37" t="s">
        <v>84</v>
      </c>
      <c r="E1667" s="37" t="s">
        <v>84</v>
      </c>
      <c r="F1667" s="37" t="s">
        <v>153</v>
      </c>
      <c r="G1667" s="21" t="s">
        <v>450</v>
      </c>
      <c r="H1667" s="21" t="n">
        <v>0</v>
      </c>
      <c r="I1667" s="21" t="s">
        <v>137</v>
      </c>
    </row>
    <row r="1668" customFormat="false" ht="15" hidden="false" customHeight="false" outlineLevel="0" collapsed="false">
      <c r="A1668" s="21" t="s">
        <v>1978</v>
      </c>
      <c r="B1668" s="21"/>
      <c r="C1668" s="21"/>
      <c r="D1668" s="37" t="s">
        <v>84</v>
      </c>
      <c r="E1668" s="37" t="s">
        <v>84</v>
      </c>
      <c r="F1668" s="37" t="s">
        <v>153</v>
      </c>
      <c r="G1668" s="21" t="s">
        <v>450</v>
      </c>
      <c r="H1668" s="21" t="n">
        <v>0</v>
      </c>
      <c r="I1668" s="21" t="s">
        <v>137</v>
      </c>
    </row>
    <row r="1669" customFormat="false" ht="15" hidden="false" customHeight="false" outlineLevel="0" collapsed="false">
      <c r="A1669" s="21" t="s">
        <v>1979</v>
      </c>
      <c r="B1669" s="21"/>
      <c r="C1669" s="21"/>
      <c r="D1669" s="37" t="s">
        <v>84</v>
      </c>
      <c r="E1669" s="37" t="s">
        <v>84</v>
      </c>
      <c r="F1669" s="37" t="s">
        <v>153</v>
      </c>
      <c r="G1669" s="21" t="s">
        <v>450</v>
      </c>
      <c r="H1669" s="21" t="n">
        <v>0</v>
      </c>
      <c r="I1669" s="21" t="s">
        <v>137</v>
      </c>
    </row>
    <row r="1670" customFormat="false" ht="15" hidden="false" customHeight="false" outlineLevel="0" collapsed="false">
      <c r="A1670" s="21" t="s">
        <v>1980</v>
      </c>
      <c r="B1670" s="21"/>
      <c r="C1670" s="21"/>
      <c r="D1670" s="37" t="s">
        <v>84</v>
      </c>
      <c r="E1670" s="37" t="s">
        <v>84</v>
      </c>
      <c r="F1670" s="37" t="s">
        <v>153</v>
      </c>
      <c r="G1670" s="21" t="s">
        <v>450</v>
      </c>
      <c r="H1670" s="21" t="n">
        <v>0</v>
      </c>
      <c r="I1670" s="21" t="s">
        <v>137</v>
      </c>
    </row>
    <row r="1671" customFormat="false" ht="15" hidden="false" customHeight="false" outlineLevel="0" collapsed="false">
      <c r="A1671" s="21" t="s">
        <v>1981</v>
      </c>
      <c r="B1671" s="21"/>
      <c r="C1671" s="21"/>
      <c r="D1671" s="37" t="s">
        <v>84</v>
      </c>
      <c r="E1671" s="37" t="s">
        <v>84</v>
      </c>
      <c r="F1671" s="37" t="s">
        <v>153</v>
      </c>
      <c r="G1671" s="21" t="s">
        <v>450</v>
      </c>
      <c r="H1671" s="21" t="n">
        <v>0</v>
      </c>
      <c r="I1671" s="21" t="s">
        <v>137</v>
      </c>
    </row>
    <row r="1672" customFormat="false" ht="15" hidden="false" customHeight="false" outlineLevel="0" collapsed="false">
      <c r="A1672" s="21" t="s">
        <v>1982</v>
      </c>
      <c r="B1672" s="21"/>
      <c r="C1672" s="21"/>
      <c r="D1672" s="37" t="s">
        <v>84</v>
      </c>
      <c r="E1672" s="37" t="s">
        <v>84</v>
      </c>
      <c r="F1672" s="37" t="s">
        <v>153</v>
      </c>
      <c r="G1672" s="21" t="s">
        <v>450</v>
      </c>
      <c r="H1672" s="21" t="n">
        <v>0</v>
      </c>
      <c r="I1672" s="21" t="s">
        <v>137</v>
      </c>
    </row>
    <row r="1673" customFormat="false" ht="15" hidden="false" customHeight="false" outlineLevel="0" collapsed="false">
      <c r="A1673" s="21" t="s">
        <v>1983</v>
      </c>
      <c r="B1673" s="21"/>
      <c r="C1673" s="21"/>
      <c r="D1673" s="37" t="s">
        <v>221</v>
      </c>
      <c r="E1673" s="37" t="s">
        <v>26</v>
      </c>
      <c r="F1673" s="37" t="s">
        <v>153</v>
      </c>
      <c r="G1673" s="21" t="s">
        <v>445</v>
      </c>
      <c r="H1673" s="21" t="n">
        <v>0</v>
      </c>
      <c r="I1673" s="21" t="s">
        <v>137</v>
      </c>
    </row>
    <row r="1674" customFormat="false" ht="15" hidden="false" customHeight="false" outlineLevel="0" collapsed="false">
      <c r="A1674" s="21" t="s">
        <v>1984</v>
      </c>
      <c r="B1674" s="21" t="s">
        <v>1985</v>
      </c>
      <c r="C1674" s="21"/>
      <c r="D1674" s="37" t="s">
        <v>135</v>
      </c>
      <c r="E1674" s="37" t="s">
        <v>135</v>
      </c>
      <c r="F1674" s="37" t="s">
        <v>153</v>
      </c>
      <c r="G1674" s="21" t="s">
        <v>441</v>
      </c>
      <c r="H1674" s="21" t="n">
        <v>0</v>
      </c>
      <c r="I1674" s="21" t="s">
        <v>137</v>
      </c>
    </row>
    <row r="1675" customFormat="false" ht="15" hidden="false" customHeight="false" outlineLevel="0" collapsed="false">
      <c r="A1675" s="21" t="s">
        <v>1986</v>
      </c>
      <c r="B1675" s="21"/>
      <c r="C1675" s="21"/>
      <c r="D1675" s="37" t="s">
        <v>84</v>
      </c>
      <c r="E1675" s="37" t="s">
        <v>84</v>
      </c>
      <c r="F1675" s="37" t="s">
        <v>153</v>
      </c>
      <c r="G1675" s="21" t="s">
        <v>445</v>
      </c>
      <c r="H1675" s="21" t="n">
        <v>0</v>
      </c>
      <c r="I1675" s="21" t="s">
        <v>137</v>
      </c>
    </row>
    <row r="1676" customFormat="false" ht="15" hidden="false" customHeight="false" outlineLevel="0" collapsed="false">
      <c r="A1676" s="21" t="s">
        <v>1987</v>
      </c>
      <c r="B1676" s="21"/>
      <c r="C1676" s="21"/>
      <c r="D1676" s="37" t="s">
        <v>84</v>
      </c>
      <c r="E1676" s="37" t="s">
        <v>84</v>
      </c>
      <c r="F1676" s="37" t="s">
        <v>153</v>
      </c>
      <c r="G1676" s="21" t="s">
        <v>450</v>
      </c>
      <c r="H1676" s="21" t="n">
        <v>0</v>
      </c>
      <c r="I1676" s="21" t="s">
        <v>137</v>
      </c>
    </row>
    <row r="1677" customFormat="false" ht="15" hidden="false" customHeight="false" outlineLevel="0" collapsed="false">
      <c r="A1677" s="21" t="s">
        <v>1988</v>
      </c>
      <c r="B1677" s="21"/>
      <c r="C1677" s="21"/>
      <c r="D1677" s="37" t="s">
        <v>84</v>
      </c>
      <c r="E1677" s="37" t="s">
        <v>84</v>
      </c>
      <c r="F1677" s="37" t="s">
        <v>153</v>
      </c>
      <c r="G1677" s="21" t="s">
        <v>445</v>
      </c>
      <c r="H1677" s="21" t="n">
        <v>0</v>
      </c>
      <c r="I1677" s="21" t="s">
        <v>137</v>
      </c>
    </row>
    <row r="1678" customFormat="false" ht="15" hidden="false" customHeight="false" outlineLevel="0" collapsed="false">
      <c r="A1678" s="21" t="s">
        <v>1989</v>
      </c>
      <c r="B1678" s="21"/>
      <c r="C1678" s="21"/>
      <c r="D1678" s="37" t="s">
        <v>84</v>
      </c>
      <c r="E1678" s="37" t="s">
        <v>84</v>
      </c>
      <c r="F1678" s="37" t="s">
        <v>153</v>
      </c>
      <c r="G1678" s="21" t="s">
        <v>450</v>
      </c>
      <c r="H1678" s="21" t="n">
        <v>0</v>
      </c>
      <c r="I1678" s="21" t="s">
        <v>137</v>
      </c>
    </row>
    <row r="1679" customFormat="false" ht="15" hidden="false" customHeight="false" outlineLevel="0" collapsed="false">
      <c r="A1679" s="21" t="s">
        <v>1990</v>
      </c>
      <c r="B1679" s="21" t="s">
        <v>1991</v>
      </c>
      <c r="C1679" s="21"/>
      <c r="D1679" s="37" t="s">
        <v>84</v>
      </c>
      <c r="E1679" s="37" t="s">
        <v>84</v>
      </c>
      <c r="F1679" s="37" t="s">
        <v>153</v>
      </c>
      <c r="G1679" s="21" t="s">
        <v>441</v>
      </c>
      <c r="H1679" s="21" t="n">
        <v>0</v>
      </c>
      <c r="I1679" s="21" t="s">
        <v>137</v>
      </c>
    </row>
    <row r="1680" customFormat="false" ht="15" hidden="false" customHeight="false" outlineLevel="0" collapsed="false">
      <c r="A1680" s="21" t="s">
        <v>1992</v>
      </c>
      <c r="B1680" s="21"/>
      <c r="C1680" s="21"/>
      <c r="D1680" s="37" t="s">
        <v>84</v>
      </c>
      <c r="E1680" s="37" t="s">
        <v>84</v>
      </c>
      <c r="F1680" s="37" t="s">
        <v>153</v>
      </c>
      <c r="G1680" s="21" t="s">
        <v>450</v>
      </c>
      <c r="H1680" s="21" t="n">
        <v>0</v>
      </c>
      <c r="I1680" s="21" t="s">
        <v>137</v>
      </c>
    </row>
    <row r="1681" customFormat="false" ht="15" hidden="false" customHeight="false" outlineLevel="0" collapsed="false">
      <c r="A1681" s="21" t="s">
        <v>1993</v>
      </c>
      <c r="B1681" s="21" t="s">
        <v>1994</v>
      </c>
      <c r="C1681" s="21"/>
      <c r="D1681" s="37" t="s">
        <v>84</v>
      </c>
      <c r="E1681" s="37" t="s">
        <v>84</v>
      </c>
      <c r="F1681" s="37" t="s">
        <v>153</v>
      </c>
      <c r="G1681" s="21" t="s">
        <v>1995</v>
      </c>
      <c r="H1681" s="21" t="n">
        <v>0</v>
      </c>
      <c r="I1681" s="21" t="s">
        <v>137</v>
      </c>
    </row>
    <row r="1682" customFormat="false" ht="15" hidden="false" customHeight="false" outlineLevel="0" collapsed="false">
      <c r="A1682" s="21" t="s">
        <v>1996</v>
      </c>
      <c r="B1682" s="21"/>
      <c r="C1682" s="21"/>
      <c r="D1682" s="37" t="s">
        <v>84</v>
      </c>
      <c r="E1682" s="37" t="s">
        <v>84</v>
      </c>
      <c r="F1682" s="37" t="s">
        <v>153</v>
      </c>
      <c r="G1682" s="21" t="s">
        <v>445</v>
      </c>
      <c r="H1682" s="21" t="n">
        <v>0</v>
      </c>
      <c r="I1682" s="21" t="s">
        <v>137</v>
      </c>
    </row>
    <row r="1683" customFormat="false" ht="15" hidden="false" customHeight="false" outlineLevel="0" collapsed="false">
      <c r="A1683" s="21" t="s">
        <v>1997</v>
      </c>
      <c r="B1683" s="21"/>
      <c r="C1683" s="21"/>
      <c r="D1683" s="37" t="s">
        <v>84</v>
      </c>
      <c r="E1683" s="37" t="s">
        <v>84</v>
      </c>
      <c r="F1683" s="37" t="s">
        <v>153</v>
      </c>
      <c r="G1683" s="21" t="s">
        <v>450</v>
      </c>
      <c r="H1683" s="21" t="n">
        <v>0</v>
      </c>
      <c r="I1683" s="21" t="s">
        <v>137</v>
      </c>
    </row>
    <row r="1684" customFormat="false" ht="15" hidden="false" customHeight="false" outlineLevel="0" collapsed="false">
      <c r="A1684" s="21" t="s">
        <v>1998</v>
      </c>
      <c r="B1684" s="21"/>
      <c r="C1684" s="21"/>
      <c r="D1684" s="37" t="s">
        <v>84</v>
      </c>
      <c r="E1684" s="37" t="s">
        <v>84</v>
      </c>
      <c r="F1684" s="37" t="s">
        <v>153</v>
      </c>
      <c r="G1684" s="21" t="s">
        <v>450</v>
      </c>
      <c r="H1684" s="21" t="n">
        <v>0</v>
      </c>
      <c r="I1684" s="21" t="s">
        <v>137</v>
      </c>
    </row>
    <row r="1685" customFormat="false" ht="15" hidden="false" customHeight="false" outlineLevel="0" collapsed="false">
      <c r="A1685" s="21" t="s">
        <v>1999</v>
      </c>
      <c r="B1685" s="21" t="s">
        <v>2000</v>
      </c>
      <c r="C1685" s="21"/>
      <c r="D1685" s="37" t="s">
        <v>228</v>
      </c>
      <c r="E1685" s="37" t="s">
        <v>26</v>
      </c>
      <c r="F1685" s="37" t="s">
        <v>36</v>
      </c>
      <c r="G1685" s="21" t="s">
        <v>461</v>
      </c>
      <c r="H1685" s="21" t="n">
        <v>0</v>
      </c>
      <c r="I1685" s="21" t="s">
        <v>137</v>
      </c>
    </row>
    <row r="1686" customFormat="false" ht="15" hidden="false" customHeight="false" outlineLevel="0" collapsed="false">
      <c r="A1686" s="21" t="s">
        <v>2001</v>
      </c>
      <c r="B1686" s="21" t="s">
        <v>2002</v>
      </c>
      <c r="C1686" s="21"/>
      <c r="D1686" s="37" t="s">
        <v>254</v>
      </c>
      <c r="E1686" s="37" t="s">
        <v>27</v>
      </c>
      <c r="F1686" s="37" t="s">
        <v>153</v>
      </c>
      <c r="G1686" s="21" t="s">
        <v>445</v>
      </c>
      <c r="H1686" s="21" t="n">
        <v>0</v>
      </c>
      <c r="I1686" s="21" t="s">
        <v>137</v>
      </c>
    </row>
    <row r="1687" customFormat="false" ht="15" hidden="false" customHeight="false" outlineLevel="0" collapsed="false">
      <c r="A1687" s="21" t="s">
        <v>2003</v>
      </c>
      <c r="B1687" s="21"/>
      <c r="C1687" s="21"/>
      <c r="D1687" s="37" t="s">
        <v>84</v>
      </c>
      <c r="E1687" s="37" t="s">
        <v>84</v>
      </c>
      <c r="F1687" s="37" t="s">
        <v>153</v>
      </c>
      <c r="G1687" s="21" t="s">
        <v>450</v>
      </c>
      <c r="H1687" s="21" t="n">
        <v>0</v>
      </c>
      <c r="I1687" s="21" t="s">
        <v>137</v>
      </c>
    </row>
    <row r="1688" customFormat="false" ht="15" hidden="false" customHeight="false" outlineLevel="0" collapsed="false">
      <c r="A1688" s="21" t="s">
        <v>2004</v>
      </c>
      <c r="B1688" s="21"/>
      <c r="C1688" s="21"/>
      <c r="D1688" s="37" t="s">
        <v>84</v>
      </c>
      <c r="E1688" s="37" t="s">
        <v>84</v>
      </c>
      <c r="F1688" s="37" t="s">
        <v>153</v>
      </c>
      <c r="G1688" s="21" t="s">
        <v>450</v>
      </c>
      <c r="H1688" s="21" t="n">
        <v>0</v>
      </c>
      <c r="I1688" s="21" t="s">
        <v>137</v>
      </c>
    </row>
    <row r="1689" customFormat="false" ht="15" hidden="false" customHeight="false" outlineLevel="0" collapsed="false">
      <c r="A1689" s="21" t="s">
        <v>2005</v>
      </c>
      <c r="B1689" s="21"/>
      <c r="C1689" s="21"/>
      <c r="D1689" s="37" t="s">
        <v>84</v>
      </c>
      <c r="E1689" s="37" t="s">
        <v>84</v>
      </c>
      <c r="F1689" s="37" t="s">
        <v>153</v>
      </c>
      <c r="G1689" s="21" t="s">
        <v>450</v>
      </c>
      <c r="H1689" s="21" t="n">
        <v>0</v>
      </c>
      <c r="I1689" s="21" t="s">
        <v>137</v>
      </c>
    </row>
    <row r="1690" customFormat="false" ht="15" hidden="false" customHeight="false" outlineLevel="0" collapsed="false">
      <c r="A1690" s="21" t="s">
        <v>2006</v>
      </c>
      <c r="B1690" s="21" t="s">
        <v>2007</v>
      </c>
      <c r="C1690" s="21"/>
      <c r="D1690" s="37" t="s">
        <v>84</v>
      </c>
      <c r="E1690" s="37" t="s">
        <v>84</v>
      </c>
      <c r="F1690" s="37" t="s">
        <v>153</v>
      </c>
      <c r="G1690" s="21" t="s">
        <v>461</v>
      </c>
      <c r="H1690" s="21" t="n">
        <v>0</v>
      </c>
      <c r="I1690" s="21" t="s">
        <v>137</v>
      </c>
    </row>
    <row r="1691" customFormat="false" ht="15" hidden="false" customHeight="false" outlineLevel="0" collapsed="false">
      <c r="A1691" s="21" t="s">
        <v>2008</v>
      </c>
      <c r="B1691" s="21"/>
      <c r="C1691" s="21"/>
      <c r="D1691" s="37" t="s">
        <v>84</v>
      </c>
      <c r="E1691" s="37" t="s">
        <v>84</v>
      </c>
      <c r="F1691" s="37" t="s">
        <v>153</v>
      </c>
      <c r="G1691" s="21" t="s">
        <v>450</v>
      </c>
      <c r="H1691" s="21" t="n">
        <v>0</v>
      </c>
      <c r="I1691" s="21" t="s">
        <v>137</v>
      </c>
    </row>
    <row r="1692" customFormat="false" ht="15" hidden="false" customHeight="false" outlineLevel="0" collapsed="false">
      <c r="A1692" s="21" t="s">
        <v>2009</v>
      </c>
      <c r="B1692" s="21"/>
      <c r="C1692" s="21"/>
      <c r="D1692" s="37" t="s">
        <v>84</v>
      </c>
      <c r="E1692" s="37" t="s">
        <v>84</v>
      </c>
      <c r="F1692" s="37" t="s">
        <v>153</v>
      </c>
      <c r="G1692" s="21" t="s">
        <v>450</v>
      </c>
      <c r="H1692" s="21" t="n">
        <v>0</v>
      </c>
      <c r="I1692" s="21" t="s">
        <v>137</v>
      </c>
    </row>
    <row r="1693" customFormat="false" ht="15" hidden="false" customHeight="false" outlineLevel="0" collapsed="false">
      <c r="A1693" s="21" t="s">
        <v>2010</v>
      </c>
      <c r="B1693" s="21" t="s">
        <v>2011</v>
      </c>
      <c r="C1693" s="21"/>
      <c r="D1693" s="37" t="s">
        <v>84</v>
      </c>
      <c r="E1693" s="37" t="s">
        <v>84</v>
      </c>
      <c r="F1693" s="37" t="s">
        <v>153</v>
      </c>
      <c r="G1693" s="21" t="s">
        <v>1548</v>
      </c>
      <c r="H1693" s="21" t="n">
        <v>0</v>
      </c>
      <c r="I1693" s="21" t="s">
        <v>137</v>
      </c>
    </row>
    <row r="1694" customFormat="false" ht="15" hidden="false" customHeight="false" outlineLevel="0" collapsed="false">
      <c r="A1694" s="21" t="s">
        <v>2012</v>
      </c>
      <c r="B1694" s="21" t="s">
        <v>2013</v>
      </c>
      <c r="C1694" s="21"/>
      <c r="D1694" s="37" t="s">
        <v>84</v>
      </c>
      <c r="E1694" s="37" t="s">
        <v>84</v>
      </c>
      <c r="F1694" s="37" t="s">
        <v>36</v>
      </c>
      <c r="G1694" s="21" t="s">
        <v>456</v>
      </c>
      <c r="H1694" s="21" t="n">
        <v>0</v>
      </c>
      <c r="I1694" s="21" t="s">
        <v>137</v>
      </c>
    </row>
    <row r="1695" customFormat="false" ht="15" hidden="false" customHeight="false" outlineLevel="0" collapsed="false">
      <c r="A1695" s="21" t="s">
        <v>2014</v>
      </c>
      <c r="B1695" s="21" t="s">
        <v>2015</v>
      </c>
      <c r="C1695" s="21"/>
      <c r="D1695" s="37" t="s">
        <v>84</v>
      </c>
      <c r="E1695" s="37" t="s">
        <v>84</v>
      </c>
      <c r="F1695" s="37" t="s">
        <v>153</v>
      </c>
      <c r="G1695" s="21" t="s">
        <v>2016</v>
      </c>
      <c r="H1695" s="21" t="n">
        <v>0</v>
      </c>
      <c r="I1695" s="21" t="s">
        <v>137</v>
      </c>
    </row>
    <row r="1696" customFormat="false" ht="15" hidden="false" customHeight="false" outlineLevel="0" collapsed="false">
      <c r="A1696" s="21" t="s">
        <v>2017</v>
      </c>
      <c r="B1696" s="21" t="s">
        <v>2018</v>
      </c>
      <c r="C1696" s="21"/>
      <c r="D1696" s="37" t="s">
        <v>84</v>
      </c>
      <c r="E1696" s="37" t="s">
        <v>84</v>
      </c>
      <c r="F1696" s="37" t="s">
        <v>153</v>
      </c>
      <c r="G1696" s="21" t="s">
        <v>1796</v>
      </c>
      <c r="H1696" s="21" t="n">
        <v>0</v>
      </c>
      <c r="I1696" s="21" t="s">
        <v>137</v>
      </c>
    </row>
    <row r="1697" customFormat="false" ht="15" hidden="false" customHeight="false" outlineLevel="0" collapsed="false">
      <c r="A1697" s="21" t="s">
        <v>2019</v>
      </c>
      <c r="B1697" s="21"/>
      <c r="C1697" s="21"/>
      <c r="D1697" s="37" t="s">
        <v>84</v>
      </c>
      <c r="E1697" s="37" t="s">
        <v>84</v>
      </c>
      <c r="F1697" s="37" t="s">
        <v>153</v>
      </c>
      <c r="G1697" s="21" t="s">
        <v>450</v>
      </c>
      <c r="H1697" s="21" t="n">
        <v>0</v>
      </c>
      <c r="I1697" s="21" t="s">
        <v>137</v>
      </c>
    </row>
    <row r="1698" customFormat="false" ht="15" hidden="false" customHeight="false" outlineLevel="0" collapsed="false">
      <c r="A1698" s="21" t="s">
        <v>2020</v>
      </c>
      <c r="B1698" s="21"/>
      <c r="C1698" s="21"/>
      <c r="D1698" s="37" t="s">
        <v>84</v>
      </c>
      <c r="E1698" s="37" t="s">
        <v>84</v>
      </c>
      <c r="F1698" s="37" t="s">
        <v>153</v>
      </c>
      <c r="G1698" s="21" t="s">
        <v>450</v>
      </c>
      <c r="H1698" s="21" t="n">
        <v>0</v>
      </c>
      <c r="I1698" s="21" t="s">
        <v>137</v>
      </c>
    </row>
    <row r="1699" customFormat="false" ht="15" hidden="false" customHeight="false" outlineLevel="0" collapsed="false">
      <c r="A1699" s="21" t="s">
        <v>2021</v>
      </c>
      <c r="B1699" s="21"/>
      <c r="C1699" s="21"/>
      <c r="D1699" s="37" t="s">
        <v>84</v>
      </c>
      <c r="E1699" s="37" t="s">
        <v>84</v>
      </c>
      <c r="F1699" s="37" t="s">
        <v>153</v>
      </c>
      <c r="G1699" s="21" t="s">
        <v>450</v>
      </c>
      <c r="H1699" s="21" t="n">
        <v>0</v>
      </c>
      <c r="I1699" s="21" t="s">
        <v>137</v>
      </c>
    </row>
    <row r="1700" customFormat="false" ht="15" hidden="false" customHeight="false" outlineLevel="0" collapsed="false">
      <c r="A1700" s="21" t="s">
        <v>2022</v>
      </c>
      <c r="B1700" s="21"/>
      <c r="C1700" s="21"/>
      <c r="D1700" s="37" t="s">
        <v>84</v>
      </c>
      <c r="E1700" s="37" t="s">
        <v>84</v>
      </c>
      <c r="F1700" s="37" t="s">
        <v>153</v>
      </c>
      <c r="G1700" s="21" t="s">
        <v>450</v>
      </c>
      <c r="H1700" s="21" t="n">
        <v>0</v>
      </c>
      <c r="I1700" s="21" t="s">
        <v>137</v>
      </c>
    </row>
    <row r="1701" customFormat="false" ht="15" hidden="false" customHeight="false" outlineLevel="0" collapsed="false">
      <c r="A1701" s="21" t="s">
        <v>2023</v>
      </c>
      <c r="B1701" s="21"/>
      <c r="C1701" s="21"/>
      <c r="D1701" s="37" t="s">
        <v>84</v>
      </c>
      <c r="E1701" s="37" t="s">
        <v>84</v>
      </c>
      <c r="F1701" s="37" t="s">
        <v>153</v>
      </c>
      <c r="G1701" s="21" t="s">
        <v>450</v>
      </c>
      <c r="H1701" s="21" t="n">
        <v>0</v>
      </c>
      <c r="I1701" s="21" t="s">
        <v>137</v>
      </c>
    </row>
    <row r="1702" customFormat="false" ht="15" hidden="false" customHeight="false" outlineLevel="0" collapsed="false">
      <c r="A1702" s="21" t="s">
        <v>2024</v>
      </c>
      <c r="B1702" s="21"/>
      <c r="C1702" s="21"/>
      <c r="D1702" s="37" t="s">
        <v>84</v>
      </c>
      <c r="E1702" s="37" t="s">
        <v>84</v>
      </c>
      <c r="F1702" s="37" t="s">
        <v>153</v>
      </c>
      <c r="G1702" s="21" t="s">
        <v>450</v>
      </c>
      <c r="H1702" s="21" t="n">
        <v>0</v>
      </c>
      <c r="I1702" s="21" t="s">
        <v>137</v>
      </c>
    </row>
    <row r="1703" customFormat="false" ht="15" hidden="false" customHeight="false" outlineLevel="0" collapsed="false">
      <c r="A1703" s="21" t="s">
        <v>2025</v>
      </c>
      <c r="B1703" s="21"/>
      <c r="C1703" s="21"/>
      <c r="D1703" s="37" t="s">
        <v>84</v>
      </c>
      <c r="E1703" s="37" t="s">
        <v>84</v>
      </c>
      <c r="F1703" s="37" t="s">
        <v>153</v>
      </c>
      <c r="G1703" s="21" t="s">
        <v>450</v>
      </c>
      <c r="H1703" s="21" t="n">
        <v>0</v>
      </c>
      <c r="I1703" s="21" t="s">
        <v>137</v>
      </c>
    </row>
    <row r="1704" customFormat="false" ht="15" hidden="false" customHeight="false" outlineLevel="0" collapsed="false">
      <c r="A1704" s="21" t="s">
        <v>2026</v>
      </c>
      <c r="B1704" s="21"/>
      <c r="C1704" s="21"/>
      <c r="D1704" s="37" t="s">
        <v>84</v>
      </c>
      <c r="E1704" s="37" t="s">
        <v>84</v>
      </c>
      <c r="F1704" s="37" t="s">
        <v>153</v>
      </c>
      <c r="G1704" s="21" t="s">
        <v>450</v>
      </c>
      <c r="H1704" s="21" t="n">
        <v>0</v>
      </c>
      <c r="I1704" s="21" t="s">
        <v>137</v>
      </c>
    </row>
    <row r="1705" customFormat="false" ht="15" hidden="false" customHeight="false" outlineLevel="0" collapsed="false">
      <c r="A1705" s="21" t="s">
        <v>2027</v>
      </c>
      <c r="B1705" s="21"/>
      <c r="C1705" s="21"/>
      <c r="D1705" s="37" t="s">
        <v>84</v>
      </c>
      <c r="E1705" s="37" t="s">
        <v>84</v>
      </c>
      <c r="F1705" s="37" t="s">
        <v>153</v>
      </c>
      <c r="G1705" s="21" t="s">
        <v>450</v>
      </c>
      <c r="H1705" s="21" t="n">
        <v>0</v>
      </c>
      <c r="I1705" s="21" t="s">
        <v>137</v>
      </c>
    </row>
    <row r="1706" customFormat="false" ht="15" hidden="false" customHeight="false" outlineLevel="0" collapsed="false">
      <c r="A1706" s="21" t="s">
        <v>2028</v>
      </c>
      <c r="B1706" s="21"/>
      <c r="C1706" s="21"/>
      <c r="D1706" s="37" t="s">
        <v>84</v>
      </c>
      <c r="E1706" s="37" t="s">
        <v>84</v>
      </c>
      <c r="F1706" s="37" t="s">
        <v>153</v>
      </c>
      <c r="G1706" s="21" t="s">
        <v>450</v>
      </c>
      <c r="H1706" s="21" t="n">
        <v>0</v>
      </c>
      <c r="I1706" s="21" t="s">
        <v>137</v>
      </c>
    </row>
    <row r="1707" customFormat="false" ht="15" hidden="false" customHeight="false" outlineLevel="0" collapsed="false">
      <c r="A1707" s="21" t="s">
        <v>2029</v>
      </c>
      <c r="B1707" s="21"/>
      <c r="C1707" s="21"/>
      <c r="D1707" s="37" t="s">
        <v>84</v>
      </c>
      <c r="E1707" s="37" t="s">
        <v>84</v>
      </c>
      <c r="F1707" s="37" t="s">
        <v>153</v>
      </c>
      <c r="G1707" s="21" t="s">
        <v>1961</v>
      </c>
      <c r="H1707" s="21" t="n">
        <v>0</v>
      </c>
      <c r="I1707" s="21" t="s">
        <v>137</v>
      </c>
    </row>
    <row r="1708" customFormat="false" ht="15" hidden="false" customHeight="false" outlineLevel="0" collapsed="false">
      <c r="A1708" s="21" t="s">
        <v>2030</v>
      </c>
      <c r="B1708" s="21"/>
      <c r="C1708" s="21"/>
      <c r="D1708" s="37" t="s">
        <v>84</v>
      </c>
      <c r="E1708" s="37" t="s">
        <v>84</v>
      </c>
      <c r="F1708" s="37" t="s">
        <v>153</v>
      </c>
      <c r="G1708" s="21" t="s">
        <v>1961</v>
      </c>
      <c r="H1708" s="21" t="n">
        <v>0</v>
      </c>
      <c r="I1708" s="21" t="s">
        <v>137</v>
      </c>
    </row>
    <row r="1709" customFormat="false" ht="15" hidden="false" customHeight="false" outlineLevel="0" collapsed="false">
      <c r="A1709" s="21" t="s">
        <v>2031</v>
      </c>
      <c r="B1709" s="21" t="s">
        <v>2032</v>
      </c>
      <c r="C1709" s="21"/>
      <c r="D1709" s="37" t="s">
        <v>145</v>
      </c>
      <c r="E1709" s="37" t="s">
        <v>27</v>
      </c>
      <c r="F1709" s="37" t="s">
        <v>153</v>
      </c>
      <c r="G1709" s="21" t="s">
        <v>105</v>
      </c>
      <c r="H1709" s="21" t="n">
        <v>0</v>
      </c>
      <c r="I1709" s="21" t="s">
        <v>137</v>
      </c>
    </row>
    <row r="1710" customFormat="false" ht="15" hidden="false" customHeight="false" outlineLevel="0" collapsed="false">
      <c r="A1710" s="21" t="s">
        <v>2033</v>
      </c>
      <c r="B1710" s="21"/>
      <c r="C1710" s="21"/>
      <c r="D1710" s="37" t="s">
        <v>84</v>
      </c>
      <c r="E1710" s="37" t="s">
        <v>84</v>
      </c>
      <c r="F1710" s="37" t="s">
        <v>153</v>
      </c>
      <c r="G1710" s="21" t="s">
        <v>450</v>
      </c>
      <c r="H1710" s="21" t="n">
        <v>0</v>
      </c>
      <c r="I1710" s="21" t="s">
        <v>137</v>
      </c>
    </row>
    <row r="1711" customFormat="false" ht="15" hidden="false" customHeight="false" outlineLevel="0" collapsed="false">
      <c r="A1711" s="21" t="s">
        <v>2034</v>
      </c>
      <c r="B1711" s="21"/>
      <c r="C1711" s="21"/>
      <c r="D1711" s="37" t="s">
        <v>84</v>
      </c>
      <c r="E1711" s="37" t="s">
        <v>84</v>
      </c>
      <c r="F1711" s="37" t="s">
        <v>153</v>
      </c>
      <c r="G1711" s="21" t="s">
        <v>456</v>
      </c>
      <c r="H1711" s="21" t="n">
        <v>0</v>
      </c>
      <c r="I1711" s="21" t="s">
        <v>137</v>
      </c>
    </row>
    <row r="1712" customFormat="false" ht="15" hidden="false" customHeight="false" outlineLevel="0" collapsed="false">
      <c r="A1712" s="21" t="s">
        <v>2035</v>
      </c>
      <c r="B1712" s="21" t="s">
        <v>2036</v>
      </c>
      <c r="C1712" s="21"/>
      <c r="D1712" s="37" t="s">
        <v>84</v>
      </c>
      <c r="E1712" s="37" t="s">
        <v>84</v>
      </c>
      <c r="F1712" s="37" t="s">
        <v>153</v>
      </c>
      <c r="G1712" s="21" t="s">
        <v>456</v>
      </c>
      <c r="H1712" s="21" t="n">
        <v>0</v>
      </c>
      <c r="I1712" s="21" t="s">
        <v>137</v>
      </c>
    </row>
    <row r="1713" customFormat="false" ht="15" hidden="false" customHeight="false" outlineLevel="0" collapsed="false">
      <c r="A1713" s="21" t="s">
        <v>2037</v>
      </c>
      <c r="B1713" s="21"/>
      <c r="C1713" s="21"/>
      <c r="D1713" s="37" t="s">
        <v>84</v>
      </c>
      <c r="E1713" s="37" t="s">
        <v>84</v>
      </c>
      <c r="F1713" s="37" t="s">
        <v>153</v>
      </c>
      <c r="G1713" s="21" t="s">
        <v>445</v>
      </c>
      <c r="H1713" s="21" t="n">
        <v>0</v>
      </c>
      <c r="I1713" s="21" t="s">
        <v>137</v>
      </c>
    </row>
    <row r="1714" customFormat="false" ht="15" hidden="false" customHeight="false" outlineLevel="0" collapsed="false">
      <c r="A1714" s="21" t="s">
        <v>2038</v>
      </c>
      <c r="B1714" s="21" t="s">
        <v>2039</v>
      </c>
      <c r="C1714" s="21"/>
      <c r="D1714" s="37" t="s">
        <v>84</v>
      </c>
      <c r="E1714" s="37" t="s">
        <v>84</v>
      </c>
      <c r="F1714" s="37" t="s">
        <v>153</v>
      </c>
      <c r="G1714" s="21" t="s">
        <v>445</v>
      </c>
      <c r="H1714" s="21" t="n">
        <v>0</v>
      </c>
      <c r="I1714" s="21" t="s">
        <v>137</v>
      </c>
    </row>
    <row r="1715" customFormat="false" ht="15" hidden="false" customHeight="false" outlineLevel="0" collapsed="false">
      <c r="A1715" s="21" t="s">
        <v>2040</v>
      </c>
      <c r="B1715" s="21" t="s">
        <v>2041</v>
      </c>
      <c r="C1715" s="21"/>
      <c r="D1715" s="37" t="s">
        <v>84</v>
      </c>
      <c r="E1715" s="37" t="s">
        <v>84</v>
      </c>
      <c r="F1715" s="37" t="s">
        <v>153</v>
      </c>
      <c r="G1715" s="21" t="s">
        <v>441</v>
      </c>
      <c r="H1715" s="21" t="n">
        <v>0</v>
      </c>
      <c r="I1715" s="21" t="s">
        <v>137</v>
      </c>
    </row>
    <row r="1716" customFormat="false" ht="15" hidden="false" customHeight="false" outlineLevel="0" collapsed="false">
      <c r="A1716" s="21" t="s">
        <v>2042</v>
      </c>
      <c r="B1716" s="21"/>
      <c r="C1716" s="21"/>
      <c r="D1716" s="37" t="s">
        <v>84</v>
      </c>
      <c r="E1716" s="37" t="s">
        <v>84</v>
      </c>
      <c r="F1716" s="37" t="s">
        <v>153</v>
      </c>
      <c r="G1716" s="21" t="s">
        <v>450</v>
      </c>
      <c r="H1716" s="21" t="n">
        <v>0</v>
      </c>
      <c r="I1716" s="21" t="s">
        <v>137</v>
      </c>
    </row>
    <row r="1717" customFormat="false" ht="15" hidden="false" customHeight="false" outlineLevel="0" collapsed="false">
      <c r="A1717" s="21" t="s">
        <v>2043</v>
      </c>
      <c r="B1717" s="21"/>
      <c r="C1717" s="21"/>
      <c r="D1717" s="37" t="s">
        <v>84</v>
      </c>
      <c r="E1717" s="37" t="s">
        <v>84</v>
      </c>
      <c r="F1717" s="37" t="s">
        <v>153</v>
      </c>
      <c r="G1717" s="21" t="s">
        <v>450</v>
      </c>
      <c r="H1717" s="21" t="n">
        <v>0</v>
      </c>
      <c r="I1717" s="21" t="s">
        <v>137</v>
      </c>
    </row>
    <row r="1718" customFormat="false" ht="15" hidden="false" customHeight="false" outlineLevel="0" collapsed="false">
      <c r="A1718" s="21" t="s">
        <v>2044</v>
      </c>
      <c r="B1718" s="21"/>
      <c r="C1718" s="21"/>
      <c r="D1718" s="37" t="s">
        <v>84</v>
      </c>
      <c r="E1718" s="37" t="s">
        <v>84</v>
      </c>
      <c r="F1718" s="37" t="s">
        <v>153</v>
      </c>
      <c r="G1718" s="21" t="s">
        <v>450</v>
      </c>
      <c r="H1718" s="21" t="n">
        <v>0</v>
      </c>
      <c r="I1718" s="21" t="s">
        <v>137</v>
      </c>
    </row>
    <row r="1719" customFormat="false" ht="15" hidden="false" customHeight="false" outlineLevel="0" collapsed="false">
      <c r="A1719" s="21" t="s">
        <v>2045</v>
      </c>
      <c r="B1719" s="21"/>
      <c r="C1719" s="21"/>
      <c r="D1719" s="37" t="s">
        <v>84</v>
      </c>
      <c r="E1719" s="37" t="s">
        <v>84</v>
      </c>
      <c r="F1719" s="37" t="s">
        <v>153</v>
      </c>
      <c r="G1719" s="21" t="s">
        <v>450</v>
      </c>
      <c r="H1719" s="21" t="n">
        <v>0</v>
      </c>
      <c r="I1719" s="21" t="s">
        <v>137</v>
      </c>
    </row>
    <row r="1720" customFormat="false" ht="15" hidden="false" customHeight="false" outlineLevel="0" collapsed="false">
      <c r="A1720" s="21" t="s">
        <v>2046</v>
      </c>
      <c r="B1720" s="21" t="s">
        <v>2047</v>
      </c>
      <c r="C1720" s="21"/>
      <c r="D1720" s="37" t="s">
        <v>84</v>
      </c>
      <c r="E1720" s="37" t="s">
        <v>84</v>
      </c>
      <c r="F1720" s="37" t="s">
        <v>36</v>
      </c>
      <c r="G1720" s="21" t="s">
        <v>456</v>
      </c>
      <c r="H1720" s="21" t="n">
        <v>0</v>
      </c>
      <c r="I1720" s="21" t="s">
        <v>137</v>
      </c>
    </row>
    <row r="1721" customFormat="false" ht="15" hidden="false" customHeight="false" outlineLevel="0" collapsed="false">
      <c r="A1721" s="21" t="s">
        <v>2048</v>
      </c>
      <c r="B1721" s="21" t="s">
        <v>2049</v>
      </c>
      <c r="C1721" s="21"/>
      <c r="D1721" s="37" t="s">
        <v>84</v>
      </c>
      <c r="E1721" s="37" t="s">
        <v>84</v>
      </c>
      <c r="F1721" s="37" t="s">
        <v>36</v>
      </c>
      <c r="G1721" s="21" t="s">
        <v>456</v>
      </c>
      <c r="H1721" s="21" t="n">
        <v>0</v>
      </c>
      <c r="I1721" s="21" t="s">
        <v>137</v>
      </c>
    </row>
    <row r="1722" customFormat="false" ht="15" hidden="false" customHeight="false" outlineLevel="0" collapsed="false">
      <c r="A1722" s="21" t="s">
        <v>2050</v>
      </c>
      <c r="B1722" s="21" t="s">
        <v>2051</v>
      </c>
      <c r="C1722" s="21"/>
      <c r="D1722" s="37" t="s">
        <v>84</v>
      </c>
      <c r="E1722" s="37" t="s">
        <v>84</v>
      </c>
      <c r="F1722" s="37" t="s">
        <v>36</v>
      </c>
      <c r="G1722" s="21" t="s">
        <v>456</v>
      </c>
      <c r="H1722" s="21" t="n">
        <v>0</v>
      </c>
      <c r="I1722" s="21" t="s">
        <v>137</v>
      </c>
    </row>
    <row r="1723" customFormat="false" ht="15" hidden="false" customHeight="false" outlineLevel="0" collapsed="false">
      <c r="A1723" s="21" t="s">
        <v>2052</v>
      </c>
      <c r="B1723" s="21" t="s">
        <v>2053</v>
      </c>
      <c r="C1723" s="21"/>
      <c r="D1723" s="37" t="s">
        <v>84</v>
      </c>
      <c r="E1723" s="37" t="s">
        <v>84</v>
      </c>
      <c r="F1723" s="37" t="s">
        <v>36</v>
      </c>
      <c r="G1723" s="21" t="s">
        <v>441</v>
      </c>
      <c r="H1723" s="21" t="n">
        <v>0</v>
      </c>
      <c r="I1723" s="21" t="s">
        <v>137</v>
      </c>
    </row>
    <row r="1724" customFormat="false" ht="15" hidden="false" customHeight="false" outlineLevel="0" collapsed="false">
      <c r="A1724" s="21" t="s">
        <v>2054</v>
      </c>
      <c r="B1724" s="21" t="s">
        <v>2055</v>
      </c>
      <c r="C1724" s="21"/>
      <c r="D1724" s="37" t="s">
        <v>84</v>
      </c>
      <c r="E1724" s="37" t="s">
        <v>84</v>
      </c>
      <c r="F1724" s="37" t="s">
        <v>36</v>
      </c>
      <c r="G1724" s="21" t="s">
        <v>441</v>
      </c>
      <c r="H1724" s="21" t="n">
        <v>0</v>
      </c>
      <c r="I1724" s="21" t="s">
        <v>137</v>
      </c>
    </row>
    <row r="1725" customFormat="false" ht="15" hidden="false" customHeight="false" outlineLevel="0" collapsed="false">
      <c r="A1725" s="21" t="s">
        <v>2056</v>
      </c>
      <c r="B1725" s="21" t="s">
        <v>2057</v>
      </c>
      <c r="C1725" s="21"/>
      <c r="D1725" s="37" t="s">
        <v>84</v>
      </c>
      <c r="E1725" s="37" t="s">
        <v>84</v>
      </c>
      <c r="F1725" s="37" t="s">
        <v>36</v>
      </c>
      <c r="G1725" s="21" t="s">
        <v>441</v>
      </c>
      <c r="H1725" s="21" t="n">
        <v>0</v>
      </c>
      <c r="I1725" s="21" t="s">
        <v>137</v>
      </c>
    </row>
    <row r="1726" customFormat="false" ht="15" hidden="false" customHeight="false" outlineLevel="0" collapsed="false">
      <c r="A1726" s="21" t="s">
        <v>2058</v>
      </c>
      <c r="B1726" s="21" t="s">
        <v>2059</v>
      </c>
      <c r="C1726" s="21"/>
      <c r="D1726" s="37" t="s">
        <v>84</v>
      </c>
      <c r="E1726" s="37" t="s">
        <v>84</v>
      </c>
      <c r="F1726" s="37" t="s">
        <v>36</v>
      </c>
      <c r="G1726" s="21" t="s">
        <v>441</v>
      </c>
      <c r="H1726" s="21" t="n">
        <v>0</v>
      </c>
      <c r="I1726" s="21" t="s">
        <v>137</v>
      </c>
    </row>
    <row r="1727" customFormat="false" ht="15" hidden="false" customHeight="false" outlineLevel="0" collapsed="false">
      <c r="A1727" s="21" t="s">
        <v>2060</v>
      </c>
      <c r="B1727" s="21" t="s">
        <v>2061</v>
      </c>
      <c r="C1727" s="21"/>
      <c r="D1727" s="37" t="s">
        <v>84</v>
      </c>
      <c r="E1727" s="37" t="s">
        <v>84</v>
      </c>
      <c r="F1727" s="37" t="s">
        <v>36</v>
      </c>
      <c r="G1727" s="21" t="s">
        <v>441</v>
      </c>
      <c r="H1727" s="21" t="n">
        <v>0</v>
      </c>
      <c r="I1727" s="21" t="s">
        <v>137</v>
      </c>
    </row>
    <row r="1728" customFormat="false" ht="15" hidden="false" customHeight="false" outlineLevel="0" collapsed="false">
      <c r="A1728" s="21" t="s">
        <v>2062</v>
      </c>
      <c r="B1728" s="21" t="s">
        <v>2063</v>
      </c>
      <c r="C1728" s="21"/>
      <c r="D1728" s="37" t="s">
        <v>84</v>
      </c>
      <c r="E1728" s="37" t="s">
        <v>84</v>
      </c>
      <c r="F1728" s="37" t="s">
        <v>36</v>
      </c>
      <c r="G1728" s="21" t="s">
        <v>441</v>
      </c>
      <c r="H1728" s="21" t="n">
        <v>0</v>
      </c>
      <c r="I1728" s="21" t="s">
        <v>137</v>
      </c>
    </row>
    <row r="1729" customFormat="false" ht="15" hidden="false" customHeight="false" outlineLevel="0" collapsed="false">
      <c r="A1729" s="21" t="s">
        <v>2064</v>
      </c>
      <c r="B1729" s="21" t="s">
        <v>2065</v>
      </c>
      <c r="C1729" s="21"/>
      <c r="D1729" s="37" t="s">
        <v>84</v>
      </c>
      <c r="E1729" s="37" t="s">
        <v>84</v>
      </c>
      <c r="F1729" s="37" t="s">
        <v>36</v>
      </c>
      <c r="G1729" s="21" t="s">
        <v>456</v>
      </c>
      <c r="H1729" s="21" t="n">
        <v>0</v>
      </c>
      <c r="I1729" s="21" t="s">
        <v>137</v>
      </c>
    </row>
    <row r="1730" customFormat="false" ht="15" hidden="false" customHeight="false" outlineLevel="0" collapsed="false">
      <c r="A1730" s="21" t="s">
        <v>2066</v>
      </c>
      <c r="B1730" s="21" t="s">
        <v>2067</v>
      </c>
      <c r="C1730" s="21"/>
      <c r="D1730" s="37" t="s">
        <v>84</v>
      </c>
      <c r="E1730" s="37" t="s">
        <v>84</v>
      </c>
      <c r="F1730" s="37" t="s">
        <v>36</v>
      </c>
      <c r="G1730" s="21" t="s">
        <v>441</v>
      </c>
      <c r="H1730" s="21" t="n">
        <v>0</v>
      </c>
      <c r="I1730" s="21" t="s">
        <v>137</v>
      </c>
    </row>
    <row r="1731" customFormat="false" ht="15" hidden="false" customHeight="false" outlineLevel="0" collapsed="false">
      <c r="A1731" s="21" t="s">
        <v>2068</v>
      </c>
      <c r="B1731" s="21" t="s">
        <v>2069</v>
      </c>
      <c r="C1731" s="21"/>
      <c r="D1731" s="37" t="s">
        <v>84</v>
      </c>
      <c r="E1731" s="37" t="s">
        <v>84</v>
      </c>
      <c r="F1731" s="37" t="s">
        <v>36</v>
      </c>
      <c r="G1731" s="21" t="s">
        <v>441</v>
      </c>
      <c r="H1731" s="21" t="n">
        <v>0</v>
      </c>
      <c r="I1731" s="21" t="s">
        <v>137</v>
      </c>
    </row>
    <row r="1732" customFormat="false" ht="15" hidden="false" customHeight="false" outlineLevel="0" collapsed="false">
      <c r="A1732" s="21" t="s">
        <v>2070</v>
      </c>
      <c r="B1732" s="21" t="s">
        <v>2071</v>
      </c>
      <c r="C1732" s="21"/>
      <c r="D1732" s="37" t="s">
        <v>84</v>
      </c>
      <c r="E1732" s="37" t="s">
        <v>84</v>
      </c>
      <c r="F1732" s="37" t="s">
        <v>36</v>
      </c>
      <c r="G1732" s="21" t="s">
        <v>105</v>
      </c>
      <c r="H1732" s="21" t="n">
        <v>0</v>
      </c>
      <c r="I1732" s="21" t="s">
        <v>137</v>
      </c>
    </row>
    <row r="1733" customFormat="false" ht="15" hidden="false" customHeight="false" outlineLevel="0" collapsed="false">
      <c r="A1733" s="21" t="s">
        <v>2072</v>
      </c>
      <c r="B1733" s="21" t="s">
        <v>2073</v>
      </c>
      <c r="C1733" s="21"/>
      <c r="D1733" s="37" t="s">
        <v>84</v>
      </c>
      <c r="E1733" s="37" t="s">
        <v>84</v>
      </c>
      <c r="F1733" s="37" t="s">
        <v>36</v>
      </c>
      <c r="G1733" s="21" t="s">
        <v>105</v>
      </c>
      <c r="H1733" s="21" t="n">
        <v>0</v>
      </c>
      <c r="I1733" s="21" t="s">
        <v>137</v>
      </c>
    </row>
    <row r="1734" customFormat="false" ht="15" hidden="false" customHeight="false" outlineLevel="0" collapsed="false">
      <c r="A1734" s="21" t="s">
        <v>2074</v>
      </c>
      <c r="B1734" s="21" t="s">
        <v>2075</v>
      </c>
      <c r="C1734" s="21"/>
      <c r="D1734" s="37" t="s">
        <v>84</v>
      </c>
      <c r="E1734" s="37" t="s">
        <v>84</v>
      </c>
      <c r="F1734" s="37" t="s">
        <v>36</v>
      </c>
      <c r="G1734" s="21" t="s">
        <v>105</v>
      </c>
      <c r="H1734" s="21" t="n">
        <v>0</v>
      </c>
      <c r="I1734" s="21" t="s">
        <v>137</v>
      </c>
    </row>
    <row r="1735" customFormat="false" ht="15" hidden="false" customHeight="false" outlineLevel="0" collapsed="false">
      <c r="A1735" s="21" t="s">
        <v>2076</v>
      </c>
      <c r="B1735" s="21" t="s">
        <v>2077</v>
      </c>
      <c r="C1735" s="21"/>
      <c r="D1735" s="37" t="s">
        <v>84</v>
      </c>
      <c r="E1735" s="37" t="s">
        <v>84</v>
      </c>
      <c r="F1735" s="37" t="s">
        <v>36</v>
      </c>
      <c r="G1735" s="21" t="s">
        <v>105</v>
      </c>
      <c r="H1735" s="21" t="n">
        <v>0</v>
      </c>
      <c r="I1735" s="21" t="s">
        <v>137</v>
      </c>
    </row>
    <row r="1736" customFormat="false" ht="15" hidden="false" customHeight="false" outlineLevel="0" collapsed="false">
      <c r="A1736" s="21" t="s">
        <v>2078</v>
      </c>
      <c r="B1736" s="21" t="s">
        <v>2079</v>
      </c>
      <c r="C1736" s="21"/>
      <c r="D1736" s="37" t="s">
        <v>84</v>
      </c>
      <c r="E1736" s="37" t="s">
        <v>84</v>
      </c>
      <c r="F1736" s="37" t="s">
        <v>36</v>
      </c>
      <c r="G1736" s="21" t="s">
        <v>456</v>
      </c>
      <c r="H1736" s="21" t="n">
        <v>0</v>
      </c>
      <c r="I1736" s="21" t="s">
        <v>137</v>
      </c>
    </row>
    <row r="1737" customFormat="false" ht="15" hidden="false" customHeight="false" outlineLevel="0" collapsed="false">
      <c r="A1737" s="21" t="s">
        <v>2080</v>
      </c>
      <c r="B1737" s="21" t="s">
        <v>2081</v>
      </c>
      <c r="C1737" s="21"/>
      <c r="D1737" s="37" t="s">
        <v>84</v>
      </c>
      <c r="E1737" s="37" t="s">
        <v>84</v>
      </c>
      <c r="F1737" s="37" t="s">
        <v>36</v>
      </c>
      <c r="G1737" s="21" t="s">
        <v>456</v>
      </c>
      <c r="H1737" s="21" t="n">
        <v>0</v>
      </c>
      <c r="I1737" s="21" t="s">
        <v>137</v>
      </c>
    </row>
    <row r="1738" customFormat="false" ht="15" hidden="false" customHeight="false" outlineLevel="0" collapsed="false">
      <c r="A1738" s="21" t="s">
        <v>2082</v>
      </c>
      <c r="B1738" s="21" t="s">
        <v>2083</v>
      </c>
      <c r="C1738" s="21"/>
      <c r="D1738" s="37" t="s">
        <v>84</v>
      </c>
      <c r="E1738" s="37" t="s">
        <v>84</v>
      </c>
      <c r="F1738" s="37" t="s">
        <v>36</v>
      </c>
      <c r="G1738" s="21" t="s">
        <v>456</v>
      </c>
      <c r="H1738" s="21" t="n">
        <v>0</v>
      </c>
      <c r="I1738" s="21" t="s">
        <v>137</v>
      </c>
    </row>
    <row r="1739" customFormat="false" ht="15" hidden="false" customHeight="false" outlineLevel="0" collapsed="false">
      <c r="A1739" s="21" t="s">
        <v>2084</v>
      </c>
      <c r="B1739" s="21" t="s">
        <v>2085</v>
      </c>
      <c r="C1739" s="21"/>
      <c r="D1739" s="37" t="s">
        <v>84</v>
      </c>
      <c r="E1739" s="37" t="s">
        <v>84</v>
      </c>
      <c r="F1739" s="37" t="s">
        <v>36</v>
      </c>
      <c r="G1739" s="21" t="s">
        <v>456</v>
      </c>
      <c r="H1739" s="21" t="n">
        <v>0</v>
      </c>
      <c r="I1739" s="21" t="s">
        <v>137</v>
      </c>
    </row>
    <row r="1740" customFormat="false" ht="15" hidden="false" customHeight="false" outlineLevel="0" collapsed="false">
      <c r="A1740" s="21" t="s">
        <v>2086</v>
      </c>
      <c r="B1740" s="21" t="s">
        <v>2087</v>
      </c>
      <c r="C1740" s="21"/>
      <c r="D1740" s="37" t="s">
        <v>84</v>
      </c>
      <c r="E1740" s="37" t="s">
        <v>84</v>
      </c>
      <c r="F1740" s="37" t="s">
        <v>36</v>
      </c>
      <c r="G1740" s="21" t="s">
        <v>456</v>
      </c>
      <c r="H1740" s="21" t="n">
        <v>0</v>
      </c>
      <c r="I1740" s="21" t="s">
        <v>137</v>
      </c>
    </row>
    <row r="1741" customFormat="false" ht="15" hidden="false" customHeight="false" outlineLevel="0" collapsed="false">
      <c r="A1741" s="21" t="s">
        <v>2088</v>
      </c>
      <c r="B1741" s="21" t="s">
        <v>2089</v>
      </c>
      <c r="C1741" s="21"/>
      <c r="D1741" s="37" t="s">
        <v>84</v>
      </c>
      <c r="E1741" s="37" t="s">
        <v>84</v>
      </c>
      <c r="F1741" s="37" t="s">
        <v>36</v>
      </c>
      <c r="G1741" s="21" t="s">
        <v>456</v>
      </c>
      <c r="H1741" s="21" t="n">
        <v>0</v>
      </c>
      <c r="I1741" s="21" t="s">
        <v>137</v>
      </c>
    </row>
    <row r="1742" customFormat="false" ht="15" hidden="false" customHeight="false" outlineLevel="0" collapsed="false">
      <c r="A1742" s="21" t="s">
        <v>2090</v>
      </c>
      <c r="B1742" s="21" t="s">
        <v>2091</v>
      </c>
      <c r="C1742" s="21"/>
      <c r="D1742" s="37" t="s">
        <v>84</v>
      </c>
      <c r="E1742" s="37" t="s">
        <v>84</v>
      </c>
      <c r="F1742" s="37" t="s">
        <v>36</v>
      </c>
      <c r="G1742" s="21" t="s">
        <v>456</v>
      </c>
      <c r="H1742" s="21" t="n">
        <v>0</v>
      </c>
      <c r="I1742" s="21" t="s">
        <v>137</v>
      </c>
    </row>
    <row r="1743" customFormat="false" ht="15" hidden="false" customHeight="false" outlineLevel="0" collapsed="false">
      <c r="A1743" s="21" t="s">
        <v>2092</v>
      </c>
      <c r="B1743" s="21"/>
      <c r="C1743" s="21"/>
      <c r="D1743" s="37" t="s">
        <v>84</v>
      </c>
      <c r="E1743" s="37" t="s">
        <v>84</v>
      </c>
      <c r="F1743" s="37" t="s">
        <v>153</v>
      </c>
      <c r="G1743" s="21" t="s">
        <v>456</v>
      </c>
      <c r="H1743" s="21" t="n">
        <v>0</v>
      </c>
      <c r="I1743" s="21" t="s">
        <v>137</v>
      </c>
    </row>
    <row r="1744" customFormat="false" ht="15" hidden="false" customHeight="false" outlineLevel="0" collapsed="false">
      <c r="A1744" s="21" t="s">
        <v>2093</v>
      </c>
      <c r="B1744" s="21" t="s">
        <v>2094</v>
      </c>
      <c r="C1744" s="21"/>
      <c r="D1744" s="37" t="s">
        <v>84</v>
      </c>
      <c r="E1744" s="37" t="s">
        <v>84</v>
      </c>
      <c r="F1744" s="37" t="s">
        <v>153</v>
      </c>
      <c r="G1744" s="21" t="s">
        <v>456</v>
      </c>
      <c r="H1744" s="21" t="n">
        <v>0</v>
      </c>
      <c r="I1744" s="21" t="s">
        <v>137</v>
      </c>
    </row>
    <row r="1745" customFormat="false" ht="15" hidden="false" customHeight="false" outlineLevel="0" collapsed="false">
      <c r="A1745" s="21" t="s">
        <v>2095</v>
      </c>
      <c r="B1745" s="21" t="s">
        <v>2096</v>
      </c>
      <c r="C1745" s="21"/>
      <c r="D1745" s="37" t="s">
        <v>84</v>
      </c>
      <c r="E1745" s="37" t="s">
        <v>84</v>
      </c>
      <c r="F1745" s="37" t="s">
        <v>153</v>
      </c>
      <c r="G1745" s="21" t="s">
        <v>445</v>
      </c>
      <c r="H1745" s="21" t="n">
        <v>0</v>
      </c>
      <c r="I1745" s="21" t="s">
        <v>137</v>
      </c>
    </row>
    <row r="1746" customFormat="false" ht="15" hidden="false" customHeight="false" outlineLevel="0" collapsed="false">
      <c r="A1746" s="21" t="s">
        <v>2097</v>
      </c>
      <c r="B1746" s="21" t="s">
        <v>2098</v>
      </c>
      <c r="C1746" s="21"/>
      <c r="D1746" s="37" t="s">
        <v>84</v>
      </c>
      <c r="E1746" s="37" t="s">
        <v>84</v>
      </c>
      <c r="F1746" s="37" t="s">
        <v>153</v>
      </c>
      <c r="G1746" s="21" t="s">
        <v>456</v>
      </c>
      <c r="H1746" s="21" t="n">
        <v>0</v>
      </c>
      <c r="I1746" s="21" t="s">
        <v>137</v>
      </c>
    </row>
    <row r="1747" customFormat="false" ht="15" hidden="false" customHeight="false" outlineLevel="0" collapsed="false">
      <c r="A1747" s="21" t="s">
        <v>2099</v>
      </c>
      <c r="B1747" s="21" t="s">
        <v>2100</v>
      </c>
      <c r="C1747" s="21"/>
      <c r="D1747" s="37" t="s">
        <v>211</v>
      </c>
      <c r="E1747" s="37" t="s">
        <v>26</v>
      </c>
      <c r="F1747" s="37" t="s">
        <v>153</v>
      </c>
      <c r="G1747" s="21" t="s">
        <v>2101</v>
      </c>
      <c r="H1747" s="21" t="n">
        <v>0</v>
      </c>
      <c r="I1747" s="21" t="s">
        <v>137</v>
      </c>
    </row>
    <row r="1748" customFormat="false" ht="15" hidden="false" customHeight="false" outlineLevel="0" collapsed="false">
      <c r="A1748" s="21" t="s">
        <v>2102</v>
      </c>
      <c r="B1748" s="21" t="s">
        <v>2103</v>
      </c>
      <c r="C1748" s="21"/>
      <c r="D1748" s="37" t="s">
        <v>211</v>
      </c>
      <c r="E1748" s="37" t="s">
        <v>26</v>
      </c>
      <c r="F1748" s="37" t="s">
        <v>153</v>
      </c>
      <c r="G1748" s="21" t="s">
        <v>2101</v>
      </c>
      <c r="H1748" s="21" t="n">
        <v>0</v>
      </c>
      <c r="I1748" s="21" t="s">
        <v>137</v>
      </c>
    </row>
    <row r="1749" customFormat="false" ht="15" hidden="false" customHeight="false" outlineLevel="0" collapsed="false">
      <c r="A1749" s="21" t="s">
        <v>2104</v>
      </c>
      <c r="B1749" s="21" t="s">
        <v>2105</v>
      </c>
      <c r="C1749" s="21"/>
      <c r="D1749" s="37" t="s">
        <v>211</v>
      </c>
      <c r="E1749" s="37" t="s">
        <v>26</v>
      </c>
      <c r="F1749" s="37" t="s">
        <v>153</v>
      </c>
      <c r="G1749" s="21" t="s">
        <v>2101</v>
      </c>
      <c r="H1749" s="21" t="n">
        <v>0</v>
      </c>
      <c r="I1749" s="21" t="s">
        <v>137</v>
      </c>
    </row>
    <row r="1750" customFormat="false" ht="15" hidden="false" customHeight="false" outlineLevel="0" collapsed="false">
      <c r="A1750" s="21" t="s">
        <v>2106</v>
      </c>
      <c r="B1750" s="21" t="s">
        <v>2107</v>
      </c>
      <c r="C1750" s="21"/>
      <c r="D1750" s="37" t="s">
        <v>211</v>
      </c>
      <c r="E1750" s="37" t="s">
        <v>26</v>
      </c>
      <c r="F1750" s="37" t="s">
        <v>153</v>
      </c>
      <c r="G1750" s="21" t="s">
        <v>2101</v>
      </c>
      <c r="H1750" s="21" t="n">
        <v>0</v>
      </c>
      <c r="I1750" s="21" t="s">
        <v>137</v>
      </c>
    </row>
    <row r="1751" customFormat="false" ht="15" hidden="false" customHeight="false" outlineLevel="0" collapsed="false">
      <c r="A1751" s="21" t="s">
        <v>2108</v>
      </c>
      <c r="B1751" s="21" t="s">
        <v>2109</v>
      </c>
      <c r="C1751" s="21"/>
      <c r="D1751" s="37" t="s">
        <v>211</v>
      </c>
      <c r="E1751" s="37" t="s">
        <v>26</v>
      </c>
      <c r="F1751" s="37" t="s">
        <v>153</v>
      </c>
      <c r="G1751" s="21" t="s">
        <v>514</v>
      </c>
      <c r="H1751" s="21" t="n">
        <v>0</v>
      </c>
      <c r="I1751" s="21" t="s">
        <v>137</v>
      </c>
    </row>
    <row r="1752" customFormat="false" ht="15" hidden="false" customHeight="false" outlineLevel="0" collapsed="false">
      <c r="A1752" s="21" t="s">
        <v>2110</v>
      </c>
      <c r="B1752" s="21" t="s">
        <v>2111</v>
      </c>
      <c r="C1752" s="21"/>
      <c r="D1752" s="37" t="s">
        <v>228</v>
      </c>
      <c r="E1752" s="37" t="s">
        <v>26</v>
      </c>
      <c r="F1752" s="37" t="s">
        <v>153</v>
      </c>
      <c r="G1752" s="21" t="s">
        <v>105</v>
      </c>
      <c r="H1752" s="21" t="n">
        <v>0</v>
      </c>
      <c r="I1752" s="21" t="s">
        <v>137</v>
      </c>
    </row>
    <row r="1753" customFormat="false" ht="15" hidden="false" customHeight="false" outlineLevel="0" collapsed="false">
      <c r="A1753" s="21" t="s">
        <v>2112</v>
      </c>
      <c r="B1753" s="21" t="s">
        <v>2113</v>
      </c>
      <c r="C1753" s="21"/>
      <c r="D1753" s="37" t="s">
        <v>84</v>
      </c>
      <c r="E1753" s="37" t="s">
        <v>84</v>
      </c>
      <c r="F1753" s="37" t="s">
        <v>153</v>
      </c>
      <c r="G1753" s="21" t="s">
        <v>1961</v>
      </c>
      <c r="H1753" s="21" t="n">
        <v>0</v>
      </c>
      <c r="I1753" s="21" t="s">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40"/>
  </cols>
  <sheetData>
    <row r="1" customFormat="false" ht="19.7" hidden="false" customHeight="false" outlineLevel="0" collapsed="false">
      <c r="A1" s="26" t="s">
        <v>2114</v>
      </c>
    </row>
    <row r="2" customFormat="false" ht="15" hidden="false" customHeight="false" outlineLevel="0" collapsed="false">
      <c r="A2" s="8" t="s">
        <v>2115</v>
      </c>
    </row>
    <row r="4" customFormat="false" ht="15" hidden="false" customHeight="false" outlineLevel="0" collapsed="false">
      <c r="A4" s="30" t="s">
        <v>16</v>
      </c>
      <c r="B4" s="30" t="s">
        <v>21</v>
      </c>
      <c r="C4" s="30" t="s">
        <v>2116</v>
      </c>
    </row>
    <row r="5" customFormat="false" ht="15" hidden="false" customHeight="false" outlineLevel="0" collapsed="false">
      <c r="A5" s="21" t="s">
        <v>211</v>
      </c>
      <c r="B5" s="37" t="s">
        <v>26</v>
      </c>
      <c r="C5" s="38" t="s">
        <v>2117</v>
      </c>
    </row>
    <row r="6" customFormat="false" ht="15" hidden="false" customHeight="false" outlineLevel="0" collapsed="false">
      <c r="A6" s="21" t="s">
        <v>148</v>
      </c>
      <c r="B6" s="37" t="s">
        <v>27</v>
      </c>
      <c r="C6" s="38" t="s">
        <v>2118</v>
      </c>
    </row>
    <row r="7" customFormat="false" ht="15" hidden="false" customHeight="false" outlineLevel="0" collapsed="false">
      <c r="A7" s="21" t="s">
        <v>221</v>
      </c>
      <c r="B7" s="37" t="s">
        <v>26</v>
      </c>
      <c r="C7" s="38" t="s">
        <v>2119</v>
      </c>
    </row>
    <row r="8" customFormat="false" ht="15" hidden="false" customHeight="false" outlineLevel="0" collapsed="false">
      <c r="A8" s="21" t="s">
        <v>305</v>
      </c>
      <c r="B8" s="37" t="s">
        <v>26</v>
      </c>
      <c r="C8" s="38" t="s">
        <v>2120</v>
      </c>
    </row>
    <row r="9" customFormat="false" ht="15" hidden="false" customHeight="false" outlineLevel="0" collapsed="false">
      <c r="A9" s="21" t="s">
        <v>152</v>
      </c>
      <c r="B9" s="37" t="s">
        <v>26</v>
      </c>
      <c r="C9" s="38" t="s">
        <v>2117</v>
      </c>
    </row>
    <row r="10" customFormat="false" ht="15" hidden="false" customHeight="false" outlineLevel="0" collapsed="false">
      <c r="A10" s="21" t="s">
        <v>164</v>
      </c>
      <c r="B10" s="37" t="s">
        <v>27</v>
      </c>
      <c r="C10" s="38" t="s">
        <v>2121</v>
      </c>
    </row>
    <row r="11" customFormat="false" ht="15" hidden="false" customHeight="false" outlineLevel="0" collapsed="false">
      <c r="A11" s="21" t="s">
        <v>159</v>
      </c>
      <c r="B11" s="37" t="s">
        <v>26</v>
      </c>
      <c r="C11" s="38" t="s">
        <v>2122</v>
      </c>
    </row>
    <row r="12" customFormat="false" ht="15" hidden="false" customHeight="false" outlineLevel="0" collapsed="false">
      <c r="A12" s="21" t="s">
        <v>145</v>
      </c>
      <c r="B12" s="37" t="s">
        <v>27</v>
      </c>
      <c r="C12" s="38" t="s">
        <v>2123</v>
      </c>
    </row>
    <row r="13" customFormat="false" ht="15" hidden="false" customHeight="false" outlineLevel="0" collapsed="false">
      <c r="A13" s="21" t="s">
        <v>282</v>
      </c>
      <c r="B13" s="37" t="s">
        <v>27</v>
      </c>
      <c r="C13" s="38" t="s">
        <v>2124</v>
      </c>
    </row>
    <row r="14" customFormat="false" ht="15" hidden="false" customHeight="false" outlineLevel="0" collapsed="false">
      <c r="A14" s="21" t="s">
        <v>141</v>
      </c>
      <c r="B14" s="37" t="s">
        <v>26</v>
      </c>
      <c r="C14" s="38" t="s">
        <v>2125</v>
      </c>
    </row>
    <row r="15" customFormat="false" ht="15" hidden="false" customHeight="false" outlineLevel="0" collapsed="false">
      <c r="A15" s="21" t="s">
        <v>254</v>
      </c>
      <c r="B15" s="37" t="s">
        <v>27</v>
      </c>
      <c r="C15" s="38" t="s">
        <v>2126</v>
      </c>
    </row>
    <row r="16" customFormat="false" ht="15" hidden="false" customHeight="false" outlineLevel="0" collapsed="false">
      <c r="A16" s="21" t="s">
        <v>2127</v>
      </c>
      <c r="B16" s="37" t="s">
        <v>26</v>
      </c>
      <c r="C16" s="38" t="s">
        <v>2128</v>
      </c>
    </row>
    <row r="17" customFormat="false" ht="15" hidden="false" customHeight="false" outlineLevel="0" collapsed="false">
      <c r="A17" s="21" t="s">
        <v>2129</v>
      </c>
      <c r="B17" s="37" t="s">
        <v>26</v>
      </c>
      <c r="C17" s="38" t="s">
        <v>2117</v>
      </c>
    </row>
    <row r="18" customFormat="false" ht="15" hidden="false" customHeight="false" outlineLevel="0" collapsed="false">
      <c r="A18" s="21" t="s">
        <v>156</v>
      </c>
      <c r="B18" s="37" t="s">
        <v>26</v>
      </c>
      <c r="C18" s="38" t="s">
        <v>2117</v>
      </c>
    </row>
    <row r="19" customFormat="false" ht="15" hidden="false" customHeight="false" outlineLevel="0" collapsed="false">
      <c r="A19" s="21" t="s">
        <v>246</v>
      </c>
      <c r="B19" s="37" t="s">
        <v>26</v>
      </c>
      <c r="C19" s="38" t="s">
        <v>2117</v>
      </c>
    </row>
    <row r="20" customFormat="false" ht="15" hidden="false" customHeight="false" outlineLevel="0" collapsed="false">
      <c r="A20" s="21" t="s">
        <v>236</v>
      </c>
      <c r="B20" s="37" t="s">
        <v>26</v>
      </c>
      <c r="C20" s="38" t="s">
        <v>2117</v>
      </c>
    </row>
    <row r="21" customFormat="false" ht="15" hidden="false" customHeight="false" outlineLevel="0" collapsed="false">
      <c r="A21" s="21" t="s">
        <v>2130</v>
      </c>
      <c r="B21" s="37" t="s">
        <v>26</v>
      </c>
      <c r="C21" s="38" t="s">
        <v>2117</v>
      </c>
    </row>
    <row r="22" customFormat="false" ht="15" hidden="false" customHeight="false" outlineLevel="0" collapsed="false">
      <c r="A22" s="21" t="s">
        <v>201</v>
      </c>
      <c r="B22" s="37" t="s">
        <v>26</v>
      </c>
      <c r="C22" s="38" t="s">
        <v>2117</v>
      </c>
    </row>
    <row r="23" customFormat="false" ht="15" hidden="false" customHeight="false" outlineLevel="0" collapsed="false">
      <c r="A23" s="21" t="s">
        <v>225</v>
      </c>
      <c r="B23" s="37" t="s">
        <v>26</v>
      </c>
      <c r="C23" s="38" t="s">
        <v>2117</v>
      </c>
    </row>
    <row r="24" customFormat="false" ht="15" hidden="false" customHeight="false" outlineLevel="0" collapsed="false">
      <c r="A24" s="21" t="s">
        <v>195</v>
      </c>
      <c r="B24" s="37" t="s">
        <v>26</v>
      </c>
      <c r="C24" s="38" t="s">
        <v>2117</v>
      </c>
    </row>
    <row r="25" customFormat="false" ht="15" hidden="false" customHeight="false" outlineLevel="0" collapsed="false">
      <c r="A25" s="21" t="s">
        <v>228</v>
      </c>
      <c r="B25" s="37" t="s">
        <v>26</v>
      </c>
      <c r="C25" s="38" t="s">
        <v>2131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36"/>
    <col collapsed="false" customWidth="true" hidden="false" outlineLevel="0" max="4" min="4" style="0" width="12"/>
    <col collapsed="false" customWidth="true" hidden="false" outlineLevel="0" max="5" min="5" style="0" width="9"/>
    <col collapsed="false" customWidth="true" hidden="false" outlineLevel="0" max="6" min="6" style="0" width="26"/>
    <col collapsed="false" customWidth="true" hidden="false" outlineLevel="0" max="7" min="7" style="0" width="12"/>
    <col collapsed="false" customWidth="true" hidden="false" outlineLevel="0" max="8" min="8" style="0" width="11"/>
    <col collapsed="false" customWidth="true" hidden="false" outlineLevel="0" max="9" min="9" style="0" width="12"/>
    <col collapsed="false" customWidth="true" hidden="false" outlineLevel="0" max="10" min="10" style="0" width="10"/>
    <col collapsed="false" customWidth="true" hidden="false" outlineLevel="0" max="11" min="11" style="0" width="14"/>
    <col collapsed="false" customWidth="true" hidden="false" outlineLevel="0" max="12" min="12" style="0" width="26"/>
    <col collapsed="false" customWidth="true" hidden="false" outlineLevel="0" max="13" min="13" style="0" width="20"/>
    <col collapsed="false" customWidth="true" hidden="false" outlineLevel="0" max="14" min="14" style="0" width="26"/>
  </cols>
  <sheetData>
    <row r="1" customFormat="false" ht="19.7" hidden="false" customHeight="false" outlineLevel="0" collapsed="false">
      <c r="A1" s="26" t="s">
        <v>2132</v>
      </c>
    </row>
    <row r="2" customFormat="false" ht="15" hidden="false" customHeight="false" outlineLevel="0" collapsed="false">
      <c r="A2" s="8" t="s">
        <v>2133</v>
      </c>
    </row>
    <row r="4" customFormat="false" ht="23.85" hidden="false" customHeight="false" outlineLevel="0" collapsed="false">
      <c r="A4" s="30" t="s">
        <v>2134</v>
      </c>
      <c r="B4" s="30" t="s">
        <v>2135</v>
      </c>
      <c r="C4" s="30" t="s">
        <v>2136</v>
      </c>
      <c r="D4" s="30" t="s">
        <v>2137</v>
      </c>
      <c r="E4" s="30" t="s">
        <v>2138</v>
      </c>
      <c r="F4" s="30" t="s">
        <v>2139</v>
      </c>
      <c r="G4" s="30" t="s">
        <v>2140</v>
      </c>
      <c r="H4" s="30" t="s">
        <v>2141</v>
      </c>
      <c r="I4" s="30" t="s">
        <v>2142</v>
      </c>
      <c r="J4" s="30" t="s">
        <v>2143</v>
      </c>
      <c r="K4" s="30" t="s">
        <v>2144</v>
      </c>
      <c r="L4" s="30" t="s">
        <v>16</v>
      </c>
      <c r="M4" s="30" t="s">
        <v>21</v>
      </c>
      <c r="N4" s="30" t="s">
        <v>33</v>
      </c>
    </row>
    <row r="5" customFormat="false" ht="15" hidden="false" customHeight="false" outlineLevel="0" collapsed="false">
      <c r="A5" s="33" t="n">
        <v>8070</v>
      </c>
      <c r="B5" s="33" t="s">
        <v>199</v>
      </c>
      <c r="C5" s="33" t="s">
        <v>200</v>
      </c>
      <c r="D5" s="33"/>
      <c r="E5" s="33" t="n">
        <v>133</v>
      </c>
      <c r="F5" s="33" t="s">
        <v>35</v>
      </c>
      <c r="G5" s="33" t="s">
        <v>3</v>
      </c>
      <c r="H5" s="33" t="n">
        <v>3</v>
      </c>
      <c r="I5" s="33" t="n">
        <v>17</v>
      </c>
      <c r="J5" s="33" t="n">
        <v>17</v>
      </c>
      <c r="K5" s="32" t="n">
        <v>126.75</v>
      </c>
      <c r="L5" s="33" t="str">
        <f aca="false">IF($B5="","",IFERROR(INDEX('Code Mapping'!$D$5:$D$1753,MATCH($B5,'Code Mapping'!$A$5:$A$1753,0)),"Unmapped"))</f>
        <v>Aspire</v>
      </c>
      <c r="M5" s="33" t="str">
        <f aca="false">IF($B5="","",IFERROR(INDEX('Code Mapping'!$E$5:$E$1753,MATCH($B5,'Code Mapping'!$A$5:$A$1753,0)),"Unmapped"))</f>
        <v>Corporate discount</v>
      </c>
      <c r="N5" s="33" t="str">
        <f aca="false">IF($F5="","",$F5)</f>
        <v>Urban Arena</v>
      </c>
    </row>
    <row r="6" customFormat="false" ht="15" hidden="false" customHeight="false" outlineLevel="0" collapsed="false">
      <c r="A6" s="33" t="n">
        <v>8079</v>
      </c>
      <c r="B6" s="33" t="s">
        <v>154</v>
      </c>
      <c r="C6" s="33" t="s">
        <v>155</v>
      </c>
      <c r="D6" s="33" t="s">
        <v>140</v>
      </c>
      <c r="E6" s="33" t="n">
        <v>133</v>
      </c>
      <c r="F6" s="33" t="s">
        <v>35</v>
      </c>
      <c r="G6" s="33" t="s">
        <v>3</v>
      </c>
      <c r="H6" s="33" t="n">
        <v>10</v>
      </c>
      <c r="I6" s="33" t="n">
        <v>54</v>
      </c>
      <c r="J6" s="33" t="n">
        <v>54</v>
      </c>
      <c r="K6" s="32" t="n">
        <v>464.25</v>
      </c>
      <c r="L6" s="33" t="str">
        <f aca="false">IF($B6="","",IFERROR(INDEX('Code Mapping'!$D$5:$D$1753,MATCH($B6,'Code Mapping'!$A$5:$A$1753,0)),"Unmapped"))</f>
        <v>Qatar Foundation</v>
      </c>
      <c r="M6" s="33" t="str">
        <f aca="false">IF($B6="","",IFERROR(INDEX('Code Mapping'!$E$5:$E$1753,MATCH($B6,'Code Mapping'!$A$5:$A$1753,0)),"Unmapped"))</f>
        <v>Corporate discount</v>
      </c>
      <c r="N6" s="33" t="str">
        <f aca="false">IF($F6="","",$F6)</f>
        <v>Urban Arena</v>
      </c>
    </row>
    <row r="7" customFormat="false" ht="15" hidden="false" customHeight="false" outlineLevel="0" collapsed="false">
      <c r="A7" s="33" t="n">
        <v>8077</v>
      </c>
      <c r="B7" s="33" t="s">
        <v>219</v>
      </c>
      <c r="C7" s="33" t="s">
        <v>220</v>
      </c>
      <c r="D7" s="33"/>
      <c r="E7" s="33" t="n">
        <v>133</v>
      </c>
      <c r="F7" s="33" t="s">
        <v>35</v>
      </c>
      <c r="G7" s="33" t="s">
        <v>3</v>
      </c>
      <c r="H7" s="33" t="n">
        <v>2</v>
      </c>
      <c r="I7" s="33" t="n">
        <v>11</v>
      </c>
      <c r="J7" s="33" t="n">
        <v>11</v>
      </c>
      <c r="K7" s="32" t="n">
        <v>106.5</v>
      </c>
      <c r="L7" s="33" t="str">
        <f aca="false">IF($B7="","",IFERROR(INDEX('Code Mapping'!$D$5:$D$1753,MATCH($B7,'Code Mapping'!$A$5:$A$1753,0)),"Unmapped"))</f>
        <v>QIB</v>
      </c>
      <c r="M7" s="33" t="str">
        <f aca="false">IF($B7="","",IFERROR(INDEX('Code Mapping'!$E$5:$E$1753,MATCH($B7,'Code Mapping'!$A$5:$A$1753,0)),"Unmapped"))</f>
        <v>Corporate discount</v>
      </c>
      <c r="N7" s="33" t="str">
        <f aca="false">IF($F7="","",$F7)</f>
        <v>Urban Arena</v>
      </c>
    </row>
    <row r="8" customFormat="false" ht="15" hidden="false" customHeight="false" outlineLevel="0" collapsed="false">
      <c r="A8" s="33" t="n">
        <v>8038</v>
      </c>
      <c r="B8" s="33" t="s">
        <v>123</v>
      </c>
      <c r="C8" s="33" t="s">
        <v>124</v>
      </c>
      <c r="D8" s="33"/>
      <c r="E8" s="33" t="n">
        <v>133</v>
      </c>
      <c r="F8" s="33" t="s">
        <v>35</v>
      </c>
      <c r="G8" s="33" t="s">
        <v>3</v>
      </c>
      <c r="H8" s="33" t="n">
        <v>31</v>
      </c>
      <c r="I8" s="33" t="n">
        <v>36</v>
      </c>
      <c r="J8" s="33" t="n">
        <v>36</v>
      </c>
      <c r="K8" s="32" t="n">
        <v>247.5</v>
      </c>
      <c r="L8" s="33" t="str">
        <f aca="false">IF($B8="","",IFERROR(INDEX('Code Mapping'!$D$5:$D$1753,MATCH($B8,'Code Mapping'!$A$5:$A$1753,0)),"Unmapped"))</f>
        <v>Internal / promotion</v>
      </c>
      <c r="M8" s="33" t="str">
        <f aca="false">IF($B8="","",IFERROR(INDEX('Code Mapping'!$E$5:$E$1753,MATCH($B8,'Code Mapping'!$A$5:$A$1753,0)),"Unmapped"))</f>
        <v>Internal / promotion</v>
      </c>
      <c r="N8" s="33" t="str">
        <f aca="false">IF($F8="","",$F8)</f>
        <v>Urban Arena</v>
      </c>
    </row>
    <row r="9" customFormat="false" ht="15" hidden="false" customHeight="false" outlineLevel="0" collapsed="false">
      <c r="A9" s="33" t="n">
        <v>8095</v>
      </c>
      <c r="B9" s="33" t="s">
        <v>178</v>
      </c>
      <c r="C9" s="33" t="s">
        <v>179</v>
      </c>
      <c r="D9" s="33"/>
      <c r="E9" s="33" t="n">
        <v>61</v>
      </c>
      <c r="F9" s="33" t="s">
        <v>38</v>
      </c>
      <c r="G9" s="33" t="s">
        <v>3</v>
      </c>
      <c r="H9" s="33" t="n">
        <v>9</v>
      </c>
      <c r="I9" s="33" t="n">
        <v>9</v>
      </c>
      <c r="J9" s="33" t="n">
        <v>9</v>
      </c>
      <c r="K9" s="32" t="n">
        <v>900</v>
      </c>
      <c r="L9" s="33" t="str">
        <f aca="false">IF($B9="","",IFERROR(INDEX('Code Mapping'!$D$5:$D$1753,MATCH($B9,'Code Mapping'!$A$5:$A$1753,0)),"Unmapped"))</f>
        <v>Entertainer</v>
      </c>
      <c r="M9" s="33" t="str">
        <f aca="false">IF($B9="","",IFERROR(INDEX('Code Mapping'!$E$5:$E$1753,MATCH($B9,'Code Mapping'!$A$5:$A$1753,0)),"Unmapped"))</f>
        <v>Aggregator BOGO</v>
      </c>
      <c r="N9" s="33" t="str">
        <f aca="false">IF($F9="","",$F9)</f>
        <v>Crayons &amp; Bricks Vendome</v>
      </c>
    </row>
    <row r="10" customFormat="false" ht="15" hidden="false" customHeight="false" outlineLevel="0" collapsed="false">
      <c r="A10" s="33" t="n">
        <v>8097</v>
      </c>
      <c r="B10" s="33" t="s">
        <v>171</v>
      </c>
      <c r="C10" s="33" t="s">
        <v>170</v>
      </c>
      <c r="D10" s="33"/>
      <c r="E10" s="33" t="n">
        <v>61</v>
      </c>
      <c r="F10" s="33" t="s">
        <v>38</v>
      </c>
      <c r="G10" s="33" t="s">
        <v>3</v>
      </c>
      <c r="H10" s="33" t="n">
        <v>12</v>
      </c>
      <c r="I10" s="33" t="n">
        <v>12</v>
      </c>
      <c r="J10" s="33" t="n">
        <v>12</v>
      </c>
      <c r="K10" s="32" t="n">
        <v>1200</v>
      </c>
      <c r="L10" s="33" t="str">
        <f aca="false">IF($B10="","",IFERROR(INDEX('Code Mapping'!$D$5:$D$1753,MATCH($B10,'Code Mapping'!$A$5:$A$1753,0)),"Unmapped"))</f>
        <v>Urban Point</v>
      </c>
      <c r="M10" s="33" t="str">
        <f aca="false">IF($B10="","",IFERROR(INDEX('Code Mapping'!$E$5:$E$1753,MATCH($B10,'Code Mapping'!$A$5:$A$1753,0)),"Unmapped"))</f>
        <v>Aggregator BOGO</v>
      </c>
      <c r="N10" s="33" t="str">
        <f aca="false">IF($F10="","",$F10)</f>
        <v>Crayons &amp; Bricks Vendome</v>
      </c>
    </row>
    <row r="11" customFormat="false" ht="15" hidden="false" customHeight="false" outlineLevel="0" collapsed="false">
      <c r="A11" s="33" t="n">
        <v>8318</v>
      </c>
      <c r="B11" s="33" t="s">
        <v>193</v>
      </c>
      <c r="C11" s="33"/>
      <c r="D11" s="33" t="s">
        <v>194</v>
      </c>
      <c r="E11" s="33" t="n">
        <v>133</v>
      </c>
      <c r="F11" s="33" t="s">
        <v>35</v>
      </c>
      <c r="G11" s="33" t="s">
        <v>3</v>
      </c>
      <c r="H11" s="33" t="n">
        <v>3</v>
      </c>
      <c r="I11" s="33" t="n">
        <v>10</v>
      </c>
      <c r="J11" s="33" t="n">
        <v>10</v>
      </c>
      <c r="K11" s="32" t="n">
        <v>93</v>
      </c>
      <c r="L11" s="33" t="str">
        <f aca="false">IF($B11="","",IFERROR(INDEX('Code Mapping'!$D$5:$D$1753,MATCH($B11,'Code Mapping'!$A$5:$A$1753,0)),"Unmapped"))</f>
        <v>QNB Rewards</v>
      </c>
      <c r="M11" s="33" t="str">
        <f aca="false">IF($B11="","",IFERROR(INDEX('Code Mapping'!$E$5:$E$1753,MATCH($B11,'Code Mapping'!$A$5:$A$1753,0)),"Unmapped"))</f>
        <v>Corporate discount</v>
      </c>
      <c r="N11" s="33" t="str">
        <f aca="false">IF($F11="","",$F11)</f>
        <v>Urban Arena</v>
      </c>
    </row>
    <row r="12" customFormat="false" ht="15" hidden="false" customHeight="false" outlineLevel="0" collapsed="false">
      <c r="A12" s="33" t="n">
        <v>8047</v>
      </c>
      <c r="B12" s="33" t="s">
        <v>268</v>
      </c>
      <c r="C12" s="33" t="s">
        <v>200</v>
      </c>
      <c r="D12" s="33"/>
      <c r="E12" s="33" t="n">
        <v>91</v>
      </c>
      <c r="F12" s="33" t="s">
        <v>36</v>
      </c>
      <c r="G12" s="33" t="s">
        <v>3</v>
      </c>
      <c r="H12" s="33" t="n">
        <v>1</v>
      </c>
      <c r="I12" s="33" t="n">
        <v>2</v>
      </c>
      <c r="J12" s="33" t="n">
        <v>2</v>
      </c>
      <c r="K12" s="32" t="n">
        <v>15</v>
      </c>
      <c r="L12" s="33" t="str">
        <f aca="false">IF($B12="","",IFERROR(INDEX('Code Mapping'!$D$5:$D$1753,MATCH($B12,'Code Mapping'!$A$5:$A$1753,0)),"Unmapped"))</f>
        <v>Aspire</v>
      </c>
      <c r="M12" s="33" t="str">
        <f aca="false">IF($B12="","",IFERROR(INDEX('Code Mapping'!$E$5:$E$1753,MATCH($B12,'Code Mapping'!$A$5:$A$1753,0)),"Unmapped"))</f>
        <v>Corporate discount</v>
      </c>
      <c r="N12" s="33" t="str">
        <f aca="false">IF($F12="","",$F12)</f>
        <v>InflataPark</v>
      </c>
    </row>
    <row r="13" customFormat="false" ht="15" hidden="false" customHeight="false" outlineLevel="0" collapsed="false">
      <c r="A13" s="33" t="n">
        <v>8324</v>
      </c>
      <c r="B13" s="33" t="s">
        <v>232</v>
      </c>
      <c r="C13" s="33"/>
      <c r="D13" s="33" t="s">
        <v>140</v>
      </c>
      <c r="E13" s="33" t="n">
        <v>91</v>
      </c>
      <c r="F13" s="33" t="s">
        <v>36</v>
      </c>
      <c r="G13" s="33" t="s">
        <v>3</v>
      </c>
      <c r="H13" s="33" t="n">
        <v>4</v>
      </c>
      <c r="I13" s="33" t="n">
        <v>4</v>
      </c>
      <c r="J13" s="33" t="n">
        <v>4</v>
      </c>
      <c r="K13" s="32" t="n">
        <v>796</v>
      </c>
      <c r="L13" s="33" t="str">
        <f aca="false">IF($B13="","",IFERROR(INDEX('Code Mapping'!$D$5:$D$1753,MATCH($B13,'Code Mapping'!$A$5:$A$1753,0)),"Unmapped"))</f>
        <v>Entertainer</v>
      </c>
      <c r="M13" s="33" t="str">
        <f aca="false">IF($B13="","",IFERROR(INDEX('Code Mapping'!$E$5:$E$1753,MATCH($B13,'Code Mapping'!$A$5:$A$1753,0)),"Unmapped"))</f>
        <v>Aggregator BOGO</v>
      </c>
      <c r="N13" s="33" t="str">
        <f aca="false">IF($F13="","",$F13)</f>
        <v>InflataPark</v>
      </c>
    </row>
    <row r="14" customFormat="false" ht="15" hidden="false" customHeight="false" outlineLevel="0" collapsed="false">
      <c r="A14" s="33" t="n">
        <v>8052</v>
      </c>
      <c r="B14" s="33" t="s">
        <v>149</v>
      </c>
      <c r="C14" s="33" t="s">
        <v>139</v>
      </c>
      <c r="D14" s="33" t="s">
        <v>140</v>
      </c>
      <c r="E14" s="33" t="n">
        <v>91</v>
      </c>
      <c r="F14" s="33" t="s">
        <v>36</v>
      </c>
      <c r="G14" s="33" t="s">
        <v>3</v>
      </c>
      <c r="H14" s="33" t="n">
        <v>13</v>
      </c>
      <c r="I14" s="33" t="n">
        <v>55</v>
      </c>
      <c r="J14" s="33" t="n">
        <v>55</v>
      </c>
      <c r="K14" s="32" t="n">
        <v>465.75</v>
      </c>
      <c r="L14" s="33" t="str">
        <f aca="false">IF($B14="","",IFERROR(INDEX('Code Mapping'!$D$5:$D$1753,MATCH($B14,'Code Mapping'!$A$5:$A$1753,0)),"Unmapped"))</f>
        <v>Imtyazat</v>
      </c>
      <c r="M14" s="33" t="str">
        <f aca="false">IF($B14="","",IFERROR(INDEX('Code Mapping'!$E$5:$E$1753,MATCH($B14,'Code Mapping'!$A$5:$A$1753,0)),"Unmapped"))</f>
        <v>Corporate discount</v>
      </c>
      <c r="N14" s="33" t="str">
        <f aca="false">IF($F14="","",$F14)</f>
        <v>InflataPark</v>
      </c>
    </row>
    <row r="15" customFormat="false" ht="15" hidden="false" customHeight="false" outlineLevel="0" collapsed="false">
      <c r="A15" s="33" t="n">
        <v>8053</v>
      </c>
      <c r="B15" s="33" t="s">
        <v>160</v>
      </c>
      <c r="C15" s="33" t="s">
        <v>158</v>
      </c>
      <c r="D15" s="33"/>
      <c r="E15" s="33" t="n">
        <v>91</v>
      </c>
      <c r="F15" s="33" t="s">
        <v>36</v>
      </c>
      <c r="G15" s="33" t="s">
        <v>3</v>
      </c>
      <c r="H15" s="33" t="n">
        <v>13</v>
      </c>
      <c r="I15" s="33" t="n">
        <v>33</v>
      </c>
      <c r="J15" s="33" t="n">
        <v>33</v>
      </c>
      <c r="K15" s="32" t="n">
        <v>315</v>
      </c>
      <c r="L15" s="33" t="str">
        <f aca="false">IF($B15="","",IFERROR(INDEX('Code Mapping'!$D$5:$D$1753,MATCH($B15,'Code Mapping'!$A$5:$A$1753,0)),"Unmapped"))</f>
        <v>Public Health Sector (Sogha)</v>
      </c>
      <c r="M15" s="33" t="str">
        <f aca="false">IF($B15="","",IFERROR(INDEX('Code Mapping'!$E$5:$E$1753,MATCH($B15,'Code Mapping'!$A$5:$A$1753,0)),"Unmapped"))</f>
        <v>Corporate discount</v>
      </c>
      <c r="N15" s="33" t="str">
        <f aca="false">IF($F15="","",$F15)</f>
        <v>InflataPark</v>
      </c>
    </row>
    <row r="16" customFormat="false" ht="15" hidden="false" customHeight="false" outlineLevel="0" collapsed="false">
      <c r="A16" s="33" t="n">
        <v>8055</v>
      </c>
      <c r="B16" s="33" t="s">
        <v>161</v>
      </c>
      <c r="C16" s="33" t="s">
        <v>151</v>
      </c>
      <c r="D16" s="33"/>
      <c r="E16" s="33" t="n">
        <v>91</v>
      </c>
      <c r="F16" s="33" t="s">
        <v>36</v>
      </c>
      <c r="G16" s="33" t="s">
        <v>3</v>
      </c>
      <c r="H16" s="33" t="n">
        <v>16</v>
      </c>
      <c r="I16" s="33" t="n">
        <v>35</v>
      </c>
      <c r="J16" s="33" t="n">
        <v>35</v>
      </c>
      <c r="K16" s="32" t="n">
        <v>204.75</v>
      </c>
      <c r="L16" s="33" t="str">
        <f aca="false">IF($B16="","",IFERROR(INDEX('Code Mapping'!$D$5:$D$1753,MATCH($B16,'Code Mapping'!$A$5:$A$1753,0)),"Unmapped"))</f>
        <v>Qatar Airways</v>
      </c>
      <c r="M16" s="33" t="str">
        <f aca="false">IF($B16="","",IFERROR(INDEX('Code Mapping'!$E$5:$E$1753,MATCH($B16,'Code Mapping'!$A$5:$A$1753,0)),"Unmapped"))</f>
        <v>Corporate discount</v>
      </c>
      <c r="N16" s="33" t="str">
        <f aca="false">IF($F16="","",$F16)</f>
        <v>InflataPark</v>
      </c>
    </row>
    <row r="17" customFormat="false" ht="15" hidden="false" customHeight="false" outlineLevel="0" collapsed="false">
      <c r="A17" s="33" t="n">
        <v>8056</v>
      </c>
      <c r="B17" s="33" t="s">
        <v>189</v>
      </c>
      <c r="C17" s="33" t="s">
        <v>155</v>
      </c>
      <c r="D17" s="33"/>
      <c r="E17" s="33" t="n">
        <v>91</v>
      </c>
      <c r="F17" s="33" t="s">
        <v>36</v>
      </c>
      <c r="G17" s="33" t="s">
        <v>3</v>
      </c>
      <c r="H17" s="33" t="n">
        <v>2</v>
      </c>
      <c r="I17" s="33" t="n">
        <v>5</v>
      </c>
      <c r="J17" s="33" t="n">
        <v>5</v>
      </c>
      <c r="K17" s="32" t="n">
        <v>36.75</v>
      </c>
      <c r="L17" s="33" t="str">
        <f aca="false">IF($B17="","",IFERROR(INDEX('Code Mapping'!$D$5:$D$1753,MATCH($B17,'Code Mapping'!$A$5:$A$1753,0)),"Unmapped"))</f>
        <v>Qatar Foundation</v>
      </c>
      <c r="M17" s="33" t="str">
        <f aca="false">IF($B17="","",IFERROR(INDEX('Code Mapping'!$E$5:$E$1753,MATCH($B17,'Code Mapping'!$A$5:$A$1753,0)),"Unmapped"))</f>
        <v>Corporate discount</v>
      </c>
      <c r="N17" s="33" t="str">
        <f aca="false">IF($F17="","",$F17)</f>
        <v>InflataPark</v>
      </c>
    </row>
    <row r="18" customFormat="false" ht="15" hidden="false" customHeight="false" outlineLevel="0" collapsed="false">
      <c r="A18" s="33" t="n">
        <v>8057</v>
      </c>
      <c r="B18" s="33" t="s">
        <v>273</v>
      </c>
      <c r="C18" s="33" t="s">
        <v>245</v>
      </c>
      <c r="D18" s="33"/>
      <c r="E18" s="33" t="n">
        <v>91</v>
      </c>
      <c r="F18" s="33" t="s">
        <v>36</v>
      </c>
      <c r="G18" s="33" t="s">
        <v>3</v>
      </c>
      <c r="H18" s="33" t="n">
        <v>2</v>
      </c>
      <c r="I18" s="33" t="n">
        <v>7</v>
      </c>
      <c r="J18" s="33" t="n">
        <v>7</v>
      </c>
      <c r="K18" s="32" t="n">
        <v>47.25</v>
      </c>
      <c r="L18" s="33" t="str">
        <f aca="false">IF($B18="","",IFERROR(INDEX('Code Mapping'!$D$5:$D$1753,MATCH($B18,'Code Mapping'!$A$5:$A$1753,0)),"Unmapped"))</f>
        <v>Qatar Investment Authority</v>
      </c>
      <c r="M18" s="33" t="str">
        <f aca="false">IF($B18="","",IFERROR(INDEX('Code Mapping'!$E$5:$E$1753,MATCH($B18,'Code Mapping'!$A$5:$A$1753,0)),"Unmapped"))</f>
        <v>Corporate discount</v>
      </c>
      <c r="N18" s="33" t="str">
        <f aca="false">IF($F18="","",$F18)</f>
        <v>InflataPark</v>
      </c>
    </row>
    <row r="19" customFormat="false" ht="15" hidden="false" customHeight="false" outlineLevel="0" collapsed="false">
      <c r="A19" s="33" t="n">
        <v>8326</v>
      </c>
      <c r="B19" s="33" t="s">
        <v>207</v>
      </c>
      <c r="C19" s="33"/>
      <c r="D19" s="33" t="s">
        <v>140</v>
      </c>
      <c r="E19" s="33" t="n">
        <v>91</v>
      </c>
      <c r="F19" s="33" t="s">
        <v>36</v>
      </c>
      <c r="G19" s="33" t="s">
        <v>3</v>
      </c>
      <c r="H19" s="33" t="n">
        <v>7</v>
      </c>
      <c r="I19" s="33" t="n">
        <v>7</v>
      </c>
      <c r="J19" s="33" t="n">
        <v>7</v>
      </c>
      <c r="K19" s="32" t="n">
        <v>1393</v>
      </c>
      <c r="L19" s="33" t="str">
        <f aca="false">IF($B19="","",IFERROR(INDEX('Code Mapping'!$D$5:$D$1753,MATCH($B19,'Code Mapping'!$A$5:$A$1753,0)),"Unmapped"))</f>
        <v>Urban Point</v>
      </c>
      <c r="M19" s="33" t="str">
        <f aca="false">IF($B19="","",IFERROR(INDEX('Code Mapping'!$E$5:$E$1753,MATCH($B19,'Code Mapping'!$A$5:$A$1753,0)),"Unmapped"))</f>
        <v>Aggregator BOGO</v>
      </c>
      <c r="N19" s="33" t="str">
        <f aca="false">IF($F19="","",$F19)</f>
        <v>InflataPark</v>
      </c>
    </row>
    <row r="20" customFormat="false" ht="15" hidden="false" customHeight="false" outlineLevel="0" collapsed="false">
      <c r="A20" s="33" t="n">
        <v>8255</v>
      </c>
      <c r="B20" s="33" t="s">
        <v>125</v>
      </c>
      <c r="C20" s="33"/>
      <c r="D20" s="33" t="s">
        <v>140</v>
      </c>
      <c r="E20" s="33" t="n">
        <v>133</v>
      </c>
      <c r="F20" s="33" t="s">
        <v>35</v>
      </c>
      <c r="G20" s="33" t="s">
        <v>3</v>
      </c>
      <c r="H20" s="33" t="n">
        <v>1</v>
      </c>
      <c r="I20" s="33" t="n">
        <v>3</v>
      </c>
      <c r="J20" s="33" t="n">
        <v>3</v>
      </c>
      <c r="K20" s="32" t="n">
        <v>15</v>
      </c>
      <c r="L20" s="33" t="str">
        <f aca="false">IF($B20="","",IFERROR(INDEX('Code Mapping'!$D$5:$D$1753,MATCH($B20,'Code Mapping'!$A$5:$A$1753,0)),"Unmapped"))</f>
        <v>Internal / promotion</v>
      </c>
      <c r="M20" s="33" t="str">
        <f aca="false">IF($B20="","",IFERROR(INDEX('Code Mapping'!$E$5:$E$1753,MATCH($B20,'Code Mapping'!$A$5:$A$1753,0)),"Unmapped"))</f>
        <v>Internal / promotion</v>
      </c>
      <c r="N20" s="33" t="str">
        <f aca="false">IF($F20="","",$F20)</f>
        <v>Urban Arena</v>
      </c>
    </row>
    <row r="21" customFormat="false" ht="15" hidden="false" customHeight="false" outlineLevel="0" collapsed="false">
      <c r="A21" s="33" t="n">
        <v>8335</v>
      </c>
      <c r="B21" s="33" t="s">
        <v>165</v>
      </c>
      <c r="C21" s="33" t="s">
        <v>166</v>
      </c>
      <c r="D21" s="33" t="s">
        <v>140</v>
      </c>
      <c r="E21" s="33" t="n">
        <v>94</v>
      </c>
      <c r="F21" s="33" t="s">
        <v>37</v>
      </c>
      <c r="G21" s="33" t="s">
        <v>3</v>
      </c>
      <c r="H21" s="33" t="n">
        <v>22</v>
      </c>
      <c r="I21" s="33" t="n">
        <v>96</v>
      </c>
      <c r="J21" s="33" t="n">
        <v>96</v>
      </c>
      <c r="K21" s="32" t="n">
        <v>660.75</v>
      </c>
      <c r="L21" s="33" t="str">
        <f aca="false">IF($B21="","",IFERROR(INDEX('Code Mapping'!$D$5:$D$1753,MATCH($B21,'Code Mapping'!$A$5:$A$1753,0)),"Unmapped"))</f>
        <v>Imtyazat</v>
      </c>
      <c r="M21" s="33" t="str">
        <f aca="false">IF($B21="","",IFERROR(INDEX('Code Mapping'!$E$5:$E$1753,MATCH($B21,'Code Mapping'!$A$5:$A$1753,0)),"Unmapped"))</f>
        <v>Corporate discount</v>
      </c>
      <c r="N21" s="33" t="str">
        <f aca="false">IF($F21="","",$F21)</f>
        <v>Kids City Driving School</v>
      </c>
    </row>
    <row r="22" customFormat="false" ht="15" hidden="false" customHeight="false" outlineLevel="0" collapsed="false">
      <c r="A22" s="33" t="n">
        <v>8338</v>
      </c>
      <c r="B22" s="33" t="s">
        <v>265</v>
      </c>
      <c r="C22" s="33" t="s">
        <v>151</v>
      </c>
      <c r="D22" s="33" t="s">
        <v>140</v>
      </c>
      <c r="E22" s="33" t="n">
        <v>94</v>
      </c>
      <c r="F22" s="33" t="s">
        <v>37</v>
      </c>
      <c r="G22" s="33" t="s">
        <v>3</v>
      </c>
      <c r="H22" s="33" t="n">
        <v>2</v>
      </c>
      <c r="I22" s="33" t="n">
        <v>9</v>
      </c>
      <c r="J22" s="33" t="n">
        <v>9</v>
      </c>
      <c r="K22" s="32" t="n">
        <v>69.75</v>
      </c>
      <c r="L22" s="33" t="str">
        <f aca="false">IF($B22="","",IFERROR(INDEX('Code Mapping'!$D$5:$D$1753,MATCH($B22,'Code Mapping'!$A$5:$A$1753,0)),"Unmapped"))</f>
        <v>Qatar Airways</v>
      </c>
      <c r="M22" s="33" t="str">
        <f aca="false">IF($B22="","",IFERROR(INDEX('Code Mapping'!$E$5:$E$1753,MATCH($B22,'Code Mapping'!$A$5:$A$1753,0)),"Unmapped"))</f>
        <v>Corporate discount</v>
      </c>
      <c r="N22" s="33" t="str">
        <f aca="false">IF($F22="","",$F22)</f>
        <v>Kids City Driving School</v>
      </c>
    </row>
    <row r="23" customFormat="false" ht="15" hidden="false" customHeight="false" outlineLevel="0" collapsed="false">
      <c r="A23" s="33" t="n">
        <v>8340</v>
      </c>
      <c r="B23" s="33" t="s">
        <v>244</v>
      </c>
      <c r="C23" s="33" t="s">
        <v>245</v>
      </c>
      <c r="D23" s="33" t="s">
        <v>140</v>
      </c>
      <c r="E23" s="33" t="n">
        <v>94</v>
      </c>
      <c r="F23" s="33" t="s">
        <v>37</v>
      </c>
      <c r="G23" s="33" t="s">
        <v>3</v>
      </c>
      <c r="H23" s="33" t="n">
        <v>10</v>
      </c>
      <c r="I23" s="33" t="n">
        <v>42</v>
      </c>
      <c r="J23" s="33" t="n">
        <v>42</v>
      </c>
      <c r="K23" s="32" t="n">
        <v>311.25</v>
      </c>
      <c r="L23" s="33" t="str">
        <f aca="false">IF($B23="","",IFERROR(INDEX('Code Mapping'!$D$5:$D$1753,MATCH($B23,'Code Mapping'!$A$5:$A$1753,0)),"Unmapped"))</f>
        <v>Qatar Investment Authority</v>
      </c>
      <c r="M23" s="33" t="str">
        <f aca="false">IF($B23="","",IFERROR(INDEX('Code Mapping'!$E$5:$E$1753,MATCH($B23,'Code Mapping'!$A$5:$A$1753,0)),"Unmapped"))</f>
        <v>Corporate discount</v>
      </c>
      <c r="N23" s="33" t="str">
        <f aca="false">IF($F23="","",$F23)</f>
        <v>Kids City Driving School</v>
      </c>
    </row>
    <row r="24" customFormat="false" ht="15" hidden="false" customHeight="false" outlineLevel="0" collapsed="false">
      <c r="A24" s="33" t="n">
        <v>8345</v>
      </c>
      <c r="B24" s="33" t="s">
        <v>415</v>
      </c>
      <c r="C24" s="33"/>
      <c r="D24" s="33" t="s">
        <v>140</v>
      </c>
      <c r="E24" s="33" t="n">
        <v>94</v>
      </c>
      <c r="F24" s="33" t="s">
        <v>37</v>
      </c>
      <c r="G24" s="33" t="s">
        <v>3</v>
      </c>
      <c r="H24" s="33" t="n">
        <v>1</v>
      </c>
      <c r="I24" s="33" t="n">
        <v>1</v>
      </c>
      <c r="J24" s="33" t="n">
        <v>1</v>
      </c>
      <c r="K24" s="32" t="n">
        <v>199</v>
      </c>
      <c r="L24" s="33" t="str">
        <f aca="false">IF($B24="","",IFERROR(INDEX('Code Mapping'!$D$5:$D$1753,MATCH($B24,'Code Mapping'!$A$5:$A$1753,0)),"Unmapped"))</f>
        <v>Entertainer</v>
      </c>
      <c r="M24" s="33" t="str">
        <f aca="false">IF($B24="","",IFERROR(INDEX('Code Mapping'!$E$5:$E$1753,MATCH($B24,'Code Mapping'!$A$5:$A$1753,0)),"Unmapped"))</f>
        <v>Aggregator BOGO</v>
      </c>
      <c r="N24" s="33" t="str">
        <f aca="false">IF($F24="","",$F24)</f>
        <v>Kids City Driving School</v>
      </c>
    </row>
    <row r="25" customFormat="false" ht="15" hidden="false" customHeight="false" outlineLevel="0" collapsed="false">
      <c r="A25" s="33" t="n">
        <v>8347</v>
      </c>
      <c r="B25" s="33" t="s">
        <v>188</v>
      </c>
      <c r="C25" s="33"/>
      <c r="D25" s="33" t="s">
        <v>140</v>
      </c>
      <c r="E25" s="33" t="n">
        <v>94</v>
      </c>
      <c r="F25" s="33" t="s">
        <v>37</v>
      </c>
      <c r="G25" s="33" t="s">
        <v>3</v>
      </c>
      <c r="H25" s="33" t="n">
        <v>9</v>
      </c>
      <c r="I25" s="33" t="n">
        <v>9</v>
      </c>
      <c r="J25" s="33" t="n">
        <v>9</v>
      </c>
      <c r="K25" s="32" t="n">
        <v>1791</v>
      </c>
      <c r="L25" s="33" t="str">
        <f aca="false">IF($B25="","",IFERROR(INDEX('Code Mapping'!$D$5:$D$1753,MATCH($B25,'Code Mapping'!$A$5:$A$1753,0)),"Unmapped"))</f>
        <v>My Book</v>
      </c>
      <c r="M25" s="33" t="str">
        <f aca="false">IF($B25="","",IFERROR(INDEX('Code Mapping'!$E$5:$E$1753,MATCH($B25,'Code Mapping'!$A$5:$A$1753,0)),"Unmapped"))</f>
        <v>Aggregator BOGO</v>
      </c>
      <c r="N25" s="33" t="str">
        <f aca="false">IF($F25="","",$F25)</f>
        <v>Kids City Driving School</v>
      </c>
    </row>
    <row r="26" customFormat="false" ht="15" hidden="false" customHeight="false" outlineLevel="0" collapsed="false">
      <c r="A26" s="33" t="n">
        <v>8346</v>
      </c>
      <c r="B26" s="33" t="s">
        <v>416</v>
      </c>
      <c r="C26" s="33"/>
      <c r="D26" s="33" t="s">
        <v>140</v>
      </c>
      <c r="E26" s="33" t="n">
        <v>94</v>
      </c>
      <c r="F26" s="33" t="s">
        <v>37</v>
      </c>
      <c r="G26" s="33" t="s">
        <v>3</v>
      </c>
      <c r="H26" s="33" t="n">
        <v>1</v>
      </c>
      <c r="I26" s="33" t="n">
        <v>1</v>
      </c>
      <c r="J26" s="33" t="n">
        <v>1</v>
      </c>
      <c r="K26" s="32" t="n">
        <v>199</v>
      </c>
      <c r="L26" s="33" t="str">
        <f aca="false">IF($B26="","",IFERROR(INDEX('Code Mapping'!$D$5:$D$1753,MATCH($B26,'Code Mapping'!$A$5:$A$1753,0)),"Unmapped"))</f>
        <v>Urban Point</v>
      </c>
      <c r="M26" s="33" t="str">
        <f aca="false">IF($B26="","",IFERROR(INDEX('Code Mapping'!$E$5:$E$1753,MATCH($B26,'Code Mapping'!$A$5:$A$1753,0)),"Unmapped"))</f>
        <v>Aggregator BOGO</v>
      </c>
      <c r="N26" s="33" t="str">
        <f aca="false">IF($F26="","",$F26)</f>
        <v>Kids City Driving School</v>
      </c>
    </row>
    <row r="27" customFormat="false" ht="15" hidden="false" customHeight="false" outlineLevel="0" collapsed="false">
      <c r="A27" s="33" t="n">
        <v>8314</v>
      </c>
      <c r="B27" s="33" t="s">
        <v>119</v>
      </c>
      <c r="C27" s="33"/>
      <c r="D27" s="33" t="s">
        <v>140</v>
      </c>
      <c r="E27" s="33" t="n">
        <v>91</v>
      </c>
      <c r="F27" s="33" t="s">
        <v>36</v>
      </c>
      <c r="G27" s="33" t="s">
        <v>3</v>
      </c>
      <c r="H27" s="33" t="n">
        <v>1</v>
      </c>
      <c r="I27" s="33" t="n">
        <v>1</v>
      </c>
      <c r="J27" s="33" t="n">
        <v>1</v>
      </c>
      <c r="K27" s="32" t="n">
        <v>45</v>
      </c>
      <c r="L27" s="33" t="str">
        <f aca="false">IF($B27="","",IFERROR(INDEX('Code Mapping'!$D$5:$D$1753,MATCH($B27,'Code Mapping'!$A$5:$A$1753,0)),"Unmapped"))</f>
        <v>Internal / promotion</v>
      </c>
      <c r="M27" s="33" t="str">
        <f aca="false">IF($B27="","",IFERROR(INDEX('Code Mapping'!$E$5:$E$1753,MATCH($B27,'Code Mapping'!$A$5:$A$1753,0)),"Unmapped"))</f>
        <v>Internal / promotion</v>
      </c>
      <c r="N27" s="33" t="str">
        <f aca="false">IF($F27="","",$F27)</f>
        <v>InflataPark</v>
      </c>
    </row>
    <row r="28" customFormat="false" ht="15" hidden="false" customHeight="false" outlineLevel="0" collapsed="false">
      <c r="A28" s="33" t="n">
        <v>8322</v>
      </c>
      <c r="B28" s="33" t="s">
        <v>121</v>
      </c>
      <c r="C28" s="33" t="s">
        <v>122</v>
      </c>
      <c r="D28" s="33" t="s">
        <v>140</v>
      </c>
      <c r="E28" s="33" t="n">
        <v>94</v>
      </c>
      <c r="F28" s="33" t="s">
        <v>37</v>
      </c>
      <c r="G28" s="33" t="s">
        <v>3</v>
      </c>
      <c r="H28" s="33" t="n">
        <v>7</v>
      </c>
      <c r="I28" s="33" t="n">
        <v>7</v>
      </c>
      <c r="J28" s="33" t="n">
        <v>7</v>
      </c>
      <c r="K28" s="32" t="n">
        <v>315</v>
      </c>
      <c r="L28" s="33" t="str">
        <f aca="false">IF($B28="","",IFERROR(INDEX('Code Mapping'!$D$5:$D$1753,MATCH($B28,'Code Mapping'!$A$5:$A$1753,0)),"Unmapped"))</f>
        <v>Internal / promotion</v>
      </c>
      <c r="M28" s="33" t="str">
        <f aca="false">IF($B28="","",IFERROR(INDEX('Code Mapping'!$E$5:$E$1753,MATCH($B28,'Code Mapping'!$A$5:$A$1753,0)),"Unmapped"))</f>
        <v>Internal / promotion</v>
      </c>
      <c r="N28" s="33" t="str">
        <f aca="false">IF($F28="","",$F28)</f>
        <v>Kids City Driving School</v>
      </c>
    </row>
    <row r="29" customFormat="false" ht="15" hidden="false" customHeight="false" outlineLevel="0" collapsed="false">
      <c r="A29" s="33" t="n">
        <v>6827</v>
      </c>
      <c r="B29" s="33" t="s">
        <v>182</v>
      </c>
      <c r="C29" s="33"/>
      <c r="D29" s="33"/>
      <c r="E29" s="33" t="n">
        <v>61</v>
      </c>
      <c r="F29" s="33" t="s">
        <v>38</v>
      </c>
      <c r="G29" s="33" t="s">
        <v>3</v>
      </c>
      <c r="H29" s="33" t="n">
        <v>2</v>
      </c>
      <c r="I29" s="33" t="n">
        <v>2</v>
      </c>
      <c r="J29" s="33" t="n">
        <v>2</v>
      </c>
      <c r="K29" s="32" t="n">
        <v>200</v>
      </c>
      <c r="L29" s="33" t="str">
        <f aca="false">IF($B29="","",IFERROR(INDEX('Code Mapping'!$D$5:$D$1753,MATCH($B29,'Code Mapping'!$A$5:$A$1753,0)),"Unmapped"))</f>
        <v>My Book</v>
      </c>
      <c r="M29" s="33" t="str">
        <f aca="false">IF($B29="","",IFERROR(INDEX('Code Mapping'!$E$5:$E$1753,MATCH($B29,'Code Mapping'!$A$5:$A$1753,0)),"Unmapped"))</f>
        <v>Aggregator BOGO</v>
      </c>
      <c r="N29" s="33" t="str">
        <f aca="false">IF($F29="","",$F29)</f>
        <v>Crayons &amp; Bricks Vendome</v>
      </c>
    </row>
    <row r="30" customFormat="false" ht="15" hidden="false" customHeight="false" outlineLevel="0" collapsed="false">
      <c r="A30" s="33" t="n">
        <v>8106</v>
      </c>
      <c r="B30" s="33" t="s">
        <v>279</v>
      </c>
      <c r="C30" s="33" t="s">
        <v>155</v>
      </c>
      <c r="D30" s="33"/>
      <c r="E30" s="33" t="n">
        <v>61</v>
      </c>
      <c r="F30" s="33" t="s">
        <v>38</v>
      </c>
      <c r="G30" s="33" t="s">
        <v>3</v>
      </c>
      <c r="H30" s="33" t="n">
        <v>1</v>
      </c>
      <c r="I30" s="33" t="n">
        <v>6</v>
      </c>
      <c r="J30" s="33" t="n">
        <v>6</v>
      </c>
      <c r="K30" s="32" t="n">
        <v>31.5</v>
      </c>
      <c r="L30" s="33" t="str">
        <f aca="false">IF($B30="","",IFERROR(INDEX('Code Mapping'!$D$5:$D$1753,MATCH($B30,'Code Mapping'!$A$5:$A$1753,0)),"Unmapped"))</f>
        <v>Qatar Foundation</v>
      </c>
      <c r="M30" s="33" t="str">
        <f aca="false">IF($B30="","",IFERROR(INDEX('Code Mapping'!$E$5:$E$1753,MATCH($B30,'Code Mapping'!$A$5:$A$1753,0)),"Unmapped"))</f>
        <v>Corporate discount</v>
      </c>
      <c r="N30" s="33" t="str">
        <f aca="false">IF($F30="","",$F30)</f>
        <v>Crayons &amp; Bricks Vendome</v>
      </c>
    </row>
    <row r="31" customFormat="false" ht="15" hidden="false" customHeight="false" outlineLevel="0" collapsed="false">
      <c r="A31" s="33" t="n">
        <v>8075</v>
      </c>
      <c r="B31" s="33" t="s">
        <v>186</v>
      </c>
      <c r="C31" s="33" t="s">
        <v>139</v>
      </c>
      <c r="D31" s="33"/>
      <c r="E31" s="33" t="n">
        <v>133</v>
      </c>
      <c r="F31" s="33" t="s">
        <v>35</v>
      </c>
      <c r="G31" s="33" t="s">
        <v>3</v>
      </c>
      <c r="H31" s="33" t="n">
        <v>5</v>
      </c>
      <c r="I31" s="33" t="n">
        <v>25</v>
      </c>
      <c r="J31" s="33" t="n">
        <v>25</v>
      </c>
      <c r="K31" s="32" t="n">
        <v>162.75</v>
      </c>
      <c r="L31" s="33" t="str">
        <f aca="false">IF($B31="","",IFERROR(INDEX('Code Mapping'!$D$5:$D$1753,MATCH($B31,'Code Mapping'!$A$5:$A$1753,0)),"Unmapped"))</f>
        <v>Imtyazat</v>
      </c>
      <c r="M31" s="33" t="str">
        <f aca="false">IF($B31="","",IFERROR(INDEX('Code Mapping'!$E$5:$E$1753,MATCH($B31,'Code Mapping'!$A$5:$A$1753,0)),"Unmapped"))</f>
        <v>Corporate discount</v>
      </c>
      <c r="N31" s="33" t="str">
        <f aca="false">IF($F31="","",$F31)</f>
        <v>Urban Arena</v>
      </c>
    </row>
    <row r="32" customFormat="false" ht="15" hidden="false" customHeight="false" outlineLevel="0" collapsed="false">
      <c r="A32" s="33" t="n">
        <v>8093</v>
      </c>
      <c r="B32" s="33" t="s">
        <v>167</v>
      </c>
      <c r="C32" s="33" t="s">
        <v>168</v>
      </c>
      <c r="D32" s="33"/>
      <c r="E32" s="33" t="n">
        <v>133</v>
      </c>
      <c r="F32" s="33" t="s">
        <v>35</v>
      </c>
      <c r="G32" s="33" t="s">
        <v>3</v>
      </c>
      <c r="H32" s="33" t="n">
        <v>3</v>
      </c>
      <c r="I32" s="33" t="n">
        <v>3</v>
      </c>
      <c r="J32" s="33" t="n">
        <v>3</v>
      </c>
      <c r="K32" s="32" t="n">
        <v>597</v>
      </c>
      <c r="L32" s="33" t="str">
        <f aca="false">IF($B32="","",IFERROR(INDEX('Code Mapping'!$D$5:$D$1753,MATCH($B32,'Code Mapping'!$A$5:$A$1753,0)),"Unmapped"))</f>
        <v>My Book</v>
      </c>
      <c r="M32" s="33" t="str">
        <f aca="false">IF($B32="","",IFERROR(INDEX('Code Mapping'!$E$5:$E$1753,MATCH($B32,'Code Mapping'!$A$5:$A$1753,0)),"Unmapped"))</f>
        <v>Aggregator BOGO</v>
      </c>
      <c r="N32" s="33" t="str">
        <f aca="false">IF($F32="","",$F32)</f>
        <v>Urban Arena</v>
      </c>
    </row>
    <row r="33" customFormat="false" ht="15" hidden="false" customHeight="false" outlineLevel="0" collapsed="false">
      <c r="A33" s="33" t="n">
        <v>8078</v>
      </c>
      <c r="B33" s="33" t="s">
        <v>150</v>
      </c>
      <c r="C33" s="33" t="s">
        <v>151</v>
      </c>
      <c r="D33" s="33"/>
      <c r="E33" s="33" t="n">
        <v>133</v>
      </c>
      <c r="F33" s="33" t="s">
        <v>35</v>
      </c>
      <c r="G33" s="33" t="s">
        <v>3</v>
      </c>
      <c r="H33" s="33" t="n">
        <v>19</v>
      </c>
      <c r="I33" s="33" t="n">
        <v>58</v>
      </c>
      <c r="J33" s="33" t="n">
        <v>58</v>
      </c>
      <c r="K33" s="32" t="n">
        <v>397.5</v>
      </c>
      <c r="L33" s="33" t="str">
        <f aca="false">IF($B33="","",IFERROR(INDEX('Code Mapping'!$D$5:$D$1753,MATCH($B33,'Code Mapping'!$A$5:$A$1753,0)),"Unmapped"))</f>
        <v>Qatar Airways</v>
      </c>
      <c r="M33" s="33" t="str">
        <f aca="false">IF($B33="","",IFERROR(INDEX('Code Mapping'!$E$5:$E$1753,MATCH($B33,'Code Mapping'!$A$5:$A$1753,0)),"Unmapped"))</f>
        <v>Corporate discount</v>
      </c>
      <c r="N33" s="33" t="str">
        <f aca="false">IF($F33="","",$F33)</f>
        <v>Urban Arena</v>
      </c>
    </row>
    <row r="34" customFormat="false" ht="15" hidden="false" customHeight="false" outlineLevel="0" collapsed="false">
      <c r="A34" s="33" t="n">
        <v>8094</v>
      </c>
      <c r="B34" s="33" t="s">
        <v>169</v>
      </c>
      <c r="C34" s="33" t="s">
        <v>170</v>
      </c>
      <c r="D34" s="33"/>
      <c r="E34" s="33" t="n">
        <v>133</v>
      </c>
      <c r="F34" s="33" t="s">
        <v>35</v>
      </c>
      <c r="G34" s="33" t="s">
        <v>3</v>
      </c>
      <c r="H34" s="33" t="n">
        <v>7</v>
      </c>
      <c r="I34" s="33" t="n">
        <v>7</v>
      </c>
      <c r="J34" s="33" t="n">
        <v>7</v>
      </c>
      <c r="K34" s="32" t="n">
        <v>1393</v>
      </c>
      <c r="L34" s="33" t="str">
        <f aca="false">IF($B34="","",IFERROR(INDEX('Code Mapping'!$D$5:$D$1753,MATCH($B34,'Code Mapping'!$A$5:$A$1753,0)),"Unmapped"))</f>
        <v>Urban Point</v>
      </c>
      <c r="M34" s="33" t="str">
        <f aca="false">IF($B34="","",IFERROR(INDEX('Code Mapping'!$E$5:$E$1753,MATCH($B34,'Code Mapping'!$A$5:$A$1753,0)),"Unmapped"))</f>
        <v>Aggregator BOGO</v>
      </c>
      <c r="N34" s="33" t="str">
        <f aca="false">IF($F34="","",$F34)</f>
        <v>Urban Arena</v>
      </c>
    </row>
    <row r="35" customFormat="false" ht="15" hidden="false" customHeight="false" outlineLevel="0" collapsed="false">
      <c r="A35" s="33" t="n">
        <v>8076</v>
      </c>
      <c r="B35" s="33" t="s">
        <v>157</v>
      </c>
      <c r="C35" s="33" t="s">
        <v>158</v>
      </c>
      <c r="D35" s="33"/>
      <c r="E35" s="33" t="n">
        <v>133</v>
      </c>
      <c r="F35" s="33" t="s">
        <v>35</v>
      </c>
      <c r="G35" s="33" t="s">
        <v>3</v>
      </c>
      <c r="H35" s="33" t="n">
        <v>12</v>
      </c>
      <c r="I35" s="33" t="n">
        <v>48</v>
      </c>
      <c r="J35" s="33" t="n">
        <v>48</v>
      </c>
      <c r="K35" s="32" t="n">
        <v>478</v>
      </c>
      <c r="L35" s="33" t="str">
        <f aca="false">IF($B35="","",IFERROR(INDEX('Code Mapping'!$D$5:$D$1753,MATCH($B35,'Code Mapping'!$A$5:$A$1753,0)),"Unmapped"))</f>
        <v>Public Health Sector (Sogha)</v>
      </c>
      <c r="M35" s="33" t="str">
        <f aca="false">IF($B35="","",IFERROR(INDEX('Code Mapping'!$E$5:$E$1753,MATCH($B35,'Code Mapping'!$A$5:$A$1753,0)),"Unmapped"))</f>
        <v>Corporate discount</v>
      </c>
      <c r="N35" s="33" t="str">
        <f aca="false">IF($F35="","",$F35)</f>
        <v>Urban Arena</v>
      </c>
    </row>
    <row r="36" customFormat="false" ht="15" hidden="false" customHeight="false" outlineLevel="0" collapsed="false">
      <c r="A36" s="33" t="n">
        <v>8069</v>
      </c>
      <c r="B36" s="33" t="s">
        <v>209</v>
      </c>
      <c r="C36" s="33" t="s">
        <v>210</v>
      </c>
      <c r="D36" s="33"/>
      <c r="E36" s="33" t="n">
        <v>133</v>
      </c>
      <c r="F36" s="33" t="s">
        <v>35</v>
      </c>
      <c r="G36" s="33" t="s">
        <v>3</v>
      </c>
      <c r="H36" s="33" t="n">
        <v>3</v>
      </c>
      <c r="I36" s="33" t="n">
        <v>8</v>
      </c>
      <c r="J36" s="33" t="n">
        <v>8</v>
      </c>
      <c r="K36" s="32" t="n">
        <v>96</v>
      </c>
      <c r="L36" s="33" t="str">
        <f aca="false">IF($B36="","",IFERROR(INDEX('Code Mapping'!$D$5:$D$1753,MATCH($B36,'Code Mapping'!$A$5:$A$1753,0)),"Unmapped"))</f>
        <v>Al Jazeera Imtiyazat</v>
      </c>
      <c r="M36" s="33" t="str">
        <f aca="false">IF($B36="","",IFERROR(INDEX('Code Mapping'!$E$5:$E$1753,MATCH($B36,'Code Mapping'!$A$5:$A$1753,0)),"Unmapped"))</f>
        <v>Corporate discount</v>
      </c>
      <c r="N36" s="33" t="str">
        <f aca="false">IF($F36="","",$F36)</f>
        <v>Urban Arena</v>
      </c>
    </row>
    <row r="37" customFormat="false" ht="15" hidden="false" customHeight="false" outlineLevel="0" collapsed="false">
      <c r="L37" s="33" t="str">
        <f aca="false">IF($B37="","",IFERROR(INDEX('Code Mapping'!$D$5:$D$1753,MATCH($B37,'Code Mapping'!$A$5:$A$1753,0)),"Unmapped"))</f>
        <v/>
      </c>
      <c r="M37" s="33" t="str">
        <f aca="false">IF($B37="","",IFERROR(INDEX('Code Mapping'!$E$5:$E$1753,MATCH($B37,'Code Mapping'!$A$5:$A$1753,0)),"Unmapped"))</f>
        <v/>
      </c>
      <c r="N37" s="33" t="str">
        <f aca="false">IF($F37="","",$F37)</f>
        <v/>
      </c>
    </row>
    <row r="38" customFormat="false" ht="15" hidden="false" customHeight="false" outlineLevel="0" collapsed="false">
      <c r="L38" s="33" t="str">
        <f aca="false">IF($B38="","",IFERROR(INDEX('Code Mapping'!$D$5:$D$1753,MATCH($B38,'Code Mapping'!$A$5:$A$1753,0)),"Unmapped"))</f>
        <v/>
      </c>
      <c r="M38" s="33" t="str">
        <f aca="false">IF($B38="","",IFERROR(INDEX('Code Mapping'!$E$5:$E$1753,MATCH($B38,'Code Mapping'!$A$5:$A$1753,0)),"Unmapped"))</f>
        <v/>
      </c>
      <c r="N38" s="33" t="str">
        <f aca="false">IF($F38="","",$F38)</f>
        <v/>
      </c>
    </row>
    <row r="39" customFormat="false" ht="15" hidden="false" customHeight="false" outlineLevel="0" collapsed="false">
      <c r="L39" s="33" t="str">
        <f aca="false">IF($B39="","",IFERROR(INDEX('Code Mapping'!$D$5:$D$1753,MATCH($B39,'Code Mapping'!$A$5:$A$1753,0)),"Unmapped"))</f>
        <v/>
      </c>
      <c r="M39" s="33" t="str">
        <f aca="false">IF($B39="","",IFERROR(INDEX('Code Mapping'!$E$5:$E$1753,MATCH($B39,'Code Mapping'!$A$5:$A$1753,0)),"Unmapped"))</f>
        <v/>
      </c>
      <c r="N39" s="33" t="str">
        <f aca="false">IF($F39="","",$F39)</f>
        <v/>
      </c>
    </row>
    <row r="40" customFormat="false" ht="15" hidden="false" customHeight="false" outlineLevel="0" collapsed="false">
      <c r="L40" s="33" t="str">
        <f aca="false">IF($B40="","",IFERROR(INDEX('Code Mapping'!$D$5:$D$1753,MATCH($B40,'Code Mapping'!$A$5:$A$1753,0)),"Unmapped"))</f>
        <v/>
      </c>
      <c r="M40" s="33" t="str">
        <f aca="false">IF($B40="","",IFERROR(INDEX('Code Mapping'!$E$5:$E$1753,MATCH($B40,'Code Mapping'!$A$5:$A$1753,0)),"Unmapped"))</f>
        <v/>
      </c>
      <c r="N40" s="33" t="str">
        <f aca="false">IF($F40="","",$F40)</f>
        <v/>
      </c>
    </row>
    <row r="41" customFormat="false" ht="15" hidden="false" customHeight="false" outlineLevel="0" collapsed="false">
      <c r="L41" s="33" t="str">
        <f aca="false">IF($B41="","",IFERROR(INDEX('Code Mapping'!$D$5:$D$1753,MATCH($B41,'Code Mapping'!$A$5:$A$1753,0)),"Unmapped"))</f>
        <v/>
      </c>
      <c r="M41" s="33" t="str">
        <f aca="false">IF($B41="","",IFERROR(INDEX('Code Mapping'!$E$5:$E$1753,MATCH($B41,'Code Mapping'!$A$5:$A$1753,0)),"Unmapped"))</f>
        <v/>
      </c>
      <c r="N41" s="33" t="str">
        <f aca="false">IF($F41="","",$F41)</f>
        <v/>
      </c>
    </row>
    <row r="42" customFormat="false" ht="15" hidden="false" customHeight="false" outlineLevel="0" collapsed="false">
      <c r="L42" s="33" t="str">
        <f aca="false">IF($B42="","",IFERROR(INDEX('Code Mapping'!$D$5:$D$1753,MATCH($B42,'Code Mapping'!$A$5:$A$1753,0)),"Unmapped"))</f>
        <v/>
      </c>
      <c r="M42" s="33" t="str">
        <f aca="false">IF($B42="","",IFERROR(INDEX('Code Mapping'!$E$5:$E$1753,MATCH($B42,'Code Mapping'!$A$5:$A$1753,0)),"Unmapped"))</f>
        <v/>
      </c>
      <c r="N42" s="33" t="str">
        <f aca="false">IF($F42="","",$F42)</f>
        <v/>
      </c>
    </row>
    <row r="43" customFormat="false" ht="15" hidden="false" customHeight="false" outlineLevel="0" collapsed="false">
      <c r="L43" s="33" t="str">
        <f aca="false">IF($B43="","",IFERROR(INDEX('Code Mapping'!$D$5:$D$1753,MATCH($B43,'Code Mapping'!$A$5:$A$1753,0)),"Unmapped"))</f>
        <v/>
      </c>
      <c r="M43" s="33" t="str">
        <f aca="false">IF($B43="","",IFERROR(INDEX('Code Mapping'!$E$5:$E$1753,MATCH($B43,'Code Mapping'!$A$5:$A$1753,0)),"Unmapped"))</f>
        <v/>
      </c>
      <c r="N43" s="33" t="str">
        <f aca="false">IF($F43="","",$F43)</f>
        <v/>
      </c>
    </row>
    <row r="44" customFormat="false" ht="15" hidden="false" customHeight="false" outlineLevel="0" collapsed="false">
      <c r="L44" s="33" t="str">
        <f aca="false">IF($B44="","",IFERROR(INDEX('Code Mapping'!$D$5:$D$1753,MATCH($B44,'Code Mapping'!$A$5:$A$1753,0)),"Unmapped"))</f>
        <v/>
      </c>
      <c r="M44" s="33" t="str">
        <f aca="false">IF($B44="","",IFERROR(INDEX('Code Mapping'!$E$5:$E$1753,MATCH($B44,'Code Mapping'!$A$5:$A$1753,0)),"Unmapped"))</f>
        <v/>
      </c>
      <c r="N44" s="33" t="str">
        <f aca="false">IF($F44="","",$F44)</f>
        <v/>
      </c>
    </row>
    <row r="45" customFormat="false" ht="15" hidden="false" customHeight="false" outlineLevel="0" collapsed="false">
      <c r="L45" s="33" t="str">
        <f aca="false">IF($B45="","",IFERROR(INDEX('Code Mapping'!$D$5:$D$1753,MATCH($B45,'Code Mapping'!$A$5:$A$1753,0)),"Unmapped"))</f>
        <v/>
      </c>
      <c r="M45" s="33" t="str">
        <f aca="false">IF($B45="","",IFERROR(INDEX('Code Mapping'!$E$5:$E$1753,MATCH($B45,'Code Mapping'!$A$5:$A$1753,0)),"Unmapped"))</f>
        <v/>
      </c>
      <c r="N45" s="33" t="str">
        <f aca="false">IF($F45="","",$F45)</f>
        <v/>
      </c>
    </row>
    <row r="46" customFormat="false" ht="15" hidden="false" customHeight="false" outlineLevel="0" collapsed="false">
      <c r="L46" s="33" t="str">
        <f aca="false">IF($B46="","",IFERROR(INDEX('Code Mapping'!$D$5:$D$1753,MATCH($B46,'Code Mapping'!$A$5:$A$1753,0)),"Unmapped"))</f>
        <v/>
      </c>
      <c r="M46" s="33" t="str">
        <f aca="false">IF($B46="","",IFERROR(INDEX('Code Mapping'!$E$5:$E$1753,MATCH($B46,'Code Mapping'!$A$5:$A$1753,0)),"Unmapped"))</f>
        <v/>
      </c>
      <c r="N46" s="33" t="str">
        <f aca="false">IF($F46="","",$F46)</f>
        <v/>
      </c>
    </row>
    <row r="47" customFormat="false" ht="15" hidden="false" customHeight="false" outlineLevel="0" collapsed="false">
      <c r="L47" s="33" t="str">
        <f aca="false">IF($B47="","",IFERROR(INDEX('Code Mapping'!$D$5:$D$1753,MATCH($B47,'Code Mapping'!$A$5:$A$1753,0)),"Unmapped"))</f>
        <v/>
      </c>
      <c r="M47" s="33" t="str">
        <f aca="false">IF($B47="","",IFERROR(INDEX('Code Mapping'!$E$5:$E$1753,MATCH($B47,'Code Mapping'!$A$5:$A$1753,0)),"Unmapped"))</f>
        <v/>
      </c>
      <c r="N47" s="33" t="str">
        <f aca="false">IF($F47="","",$F47)</f>
        <v/>
      </c>
    </row>
    <row r="48" customFormat="false" ht="15" hidden="false" customHeight="false" outlineLevel="0" collapsed="false">
      <c r="L48" s="33" t="str">
        <f aca="false">IF($B48="","",IFERROR(INDEX('Code Mapping'!$D$5:$D$1753,MATCH($B48,'Code Mapping'!$A$5:$A$1753,0)),"Unmapped"))</f>
        <v/>
      </c>
      <c r="M48" s="33" t="str">
        <f aca="false">IF($B48="","",IFERROR(INDEX('Code Mapping'!$E$5:$E$1753,MATCH($B48,'Code Mapping'!$A$5:$A$1753,0)),"Unmapped"))</f>
        <v/>
      </c>
      <c r="N48" s="33" t="str">
        <f aca="false">IF($F48="","",$F48)</f>
        <v/>
      </c>
    </row>
    <row r="49" customFormat="false" ht="15" hidden="false" customHeight="false" outlineLevel="0" collapsed="false">
      <c r="L49" s="33" t="str">
        <f aca="false">IF($B49="","",IFERROR(INDEX('Code Mapping'!$D$5:$D$1753,MATCH($B49,'Code Mapping'!$A$5:$A$1753,0)),"Unmapped"))</f>
        <v/>
      </c>
      <c r="M49" s="33" t="str">
        <f aca="false">IF($B49="","",IFERROR(INDEX('Code Mapping'!$E$5:$E$1753,MATCH($B49,'Code Mapping'!$A$5:$A$1753,0)),"Unmapped"))</f>
        <v/>
      </c>
      <c r="N49" s="33" t="str">
        <f aca="false">IF($F49="","",$F49)</f>
        <v/>
      </c>
    </row>
    <row r="50" customFormat="false" ht="15" hidden="false" customHeight="false" outlineLevel="0" collapsed="false">
      <c r="L50" s="33" t="str">
        <f aca="false">IF($B50="","",IFERROR(INDEX('Code Mapping'!$D$5:$D$1753,MATCH($B50,'Code Mapping'!$A$5:$A$1753,0)),"Unmapped"))</f>
        <v/>
      </c>
      <c r="M50" s="33" t="str">
        <f aca="false">IF($B50="","",IFERROR(INDEX('Code Mapping'!$E$5:$E$1753,MATCH($B50,'Code Mapping'!$A$5:$A$1753,0)),"Unmapped"))</f>
        <v/>
      </c>
      <c r="N50" s="33" t="str">
        <f aca="false">IF($F50="","",$F50)</f>
        <v/>
      </c>
    </row>
    <row r="51" customFormat="false" ht="15" hidden="false" customHeight="false" outlineLevel="0" collapsed="false">
      <c r="L51" s="33" t="str">
        <f aca="false">IF($B51="","",IFERROR(INDEX('Code Mapping'!$D$5:$D$1753,MATCH($B51,'Code Mapping'!$A$5:$A$1753,0)),"Unmapped"))</f>
        <v/>
      </c>
      <c r="M51" s="33" t="str">
        <f aca="false">IF($B51="","",IFERROR(INDEX('Code Mapping'!$E$5:$E$1753,MATCH($B51,'Code Mapping'!$A$5:$A$1753,0)),"Unmapped"))</f>
        <v/>
      </c>
      <c r="N51" s="33" t="str">
        <f aca="false">IF($F51="","",$F51)</f>
        <v/>
      </c>
    </row>
    <row r="52" customFormat="false" ht="15" hidden="false" customHeight="false" outlineLevel="0" collapsed="false">
      <c r="L52" s="33" t="str">
        <f aca="false">IF($B52="","",IFERROR(INDEX('Code Mapping'!$D$5:$D$1753,MATCH($B52,'Code Mapping'!$A$5:$A$1753,0)),"Unmapped"))</f>
        <v/>
      </c>
      <c r="M52" s="33" t="str">
        <f aca="false">IF($B52="","",IFERROR(INDEX('Code Mapping'!$E$5:$E$1753,MATCH($B52,'Code Mapping'!$A$5:$A$1753,0)),"Unmapped"))</f>
        <v/>
      </c>
      <c r="N52" s="33" t="str">
        <f aca="false">IF($F52="","",$F52)</f>
        <v/>
      </c>
    </row>
    <row r="53" customFormat="false" ht="15" hidden="false" customHeight="false" outlineLevel="0" collapsed="false">
      <c r="L53" s="33" t="str">
        <f aca="false">IF($B53="","",IFERROR(INDEX('Code Mapping'!$D$5:$D$1753,MATCH($B53,'Code Mapping'!$A$5:$A$1753,0)),"Unmapped"))</f>
        <v/>
      </c>
      <c r="M53" s="33" t="str">
        <f aca="false">IF($B53="","",IFERROR(INDEX('Code Mapping'!$E$5:$E$1753,MATCH($B53,'Code Mapping'!$A$5:$A$1753,0)),"Unmapped"))</f>
        <v/>
      </c>
      <c r="N53" s="33" t="str">
        <f aca="false">IF($F53="","",$F53)</f>
        <v/>
      </c>
    </row>
    <row r="54" customFormat="false" ht="15" hidden="false" customHeight="false" outlineLevel="0" collapsed="false">
      <c r="L54" s="33" t="str">
        <f aca="false">IF($B54="","",IFERROR(INDEX('Code Mapping'!$D$5:$D$1753,MATCH($B54,'Code Mapping'!$A$5:$A$1753,0)),"Unmapped"))</f>
        <v/>
      </c>
      <c r="M54" s="33" t="str">
        <f aca="false">IF($B54="","",IFERROR(INDEX('Code Mapping'!$E$5:$E$1753,MATCH($B54,'Code Mapping'!$A$5:$A$1753,0)),"Unmapped"))</f>
        <v/>
      </c>
      <c r="N54" s="33" t="str">
        <f aca="false">IF($F54="","",$F54)</f>
        <v/>
      </c>
    </row>
    <row r="55" customFormat="false" ht="15" hidden="false" customHeight="false" outlineLevel="0" collapsed="false">
      <c r="L55" s="33" t="str">
        <f aca="false">IF($B55="","",IFERROR(INDEX('Code Mapping'!$D$5:$D$1753,MATCH($B55,'Code Mapping'!$A$5:$A$1753,0)),"Unmapped"))</f>
        <v/>
      </c>
      <c r="M55" s="33" t="str">
        <f aca="false">IF($B55="","",IFERROR(INDEX('Code Mapping'!$E$5:$E$1753,MATCH($B55,'Code Mapping'!$A$5:$A$1753,0)),"Unmapped"))</f>
        <v/>
      </c>
      <c r="N55" s="33" t="str">
        <f aca="false">IF($F55="","",$F55)</f>
        <v/>
      </c>
    </row>
    <row r="56" customFormat="false" ht="15" hidden="false" customHeight="false" outlineLevel="0" collapsed="false">
      <c r="L56" s="33" t="str">
        <f aca="false">IF($B56="","",IFERROR(INDEX('Code Mapping'!$D$5:$D$1753,MATCH($B56,'Code Mapping'!$A$5:$A$1753,0)),"Unmapped"))</f>
        <v/>
      </c>
      <c r="M56" s="33" t="str">
        <f aca="false">IF($B56="","",IFERROR(INDEX('Code Mapping'!$E$5:$E$1753,MATCH($B56,'Code Mapping'!$A$5:$A$1753,0)),"Unmapped"))</f>
        <v/>
      </c>
      <c r="N56" s="33" t="str">
        <f aca="false">IF($F56="","",$F56)</f>
        <v/>
      </c>
    </row>
    <row r="57" customFormat="false" ht="15" hidden="false" customHeight="false" outlineLevel="0" collapsed="false">
      <c r="L57" s="33" t="str">
        <f aca="false">IF($B57="","",IFERROR(INDEX('Code Mapping'!$D$5:$D$1753,MATCH($B57,'Code Mapping'!$A$5:$A$1753,0)),"Unmapped"))</f>
        <v/>
      </c>
      <c r="M57" s="33" t="str">
        <f aca="false">IF($B57="","",IFERROR(INDEX('Code Mapping'!$E$5:$E$1753,MATCH($B57,'Code Mapping'!$A$5:$A$1753,0)),"Unmapped"))</f>
        <v/>
      </c>
      <c r="N57" s="33" t="str">
        <f aca="false">IF($F57="","",$F57)</f>
        <v/>
      </c>
    </row>
    <row r="58" customFormat="false" ht="15" hidden="false" customHeight="false" outlineLevel="0" collapsed="false">
      <c r="L58" s="33" t="str">
        <f aca="false">IF($B58="","",IFERROR(INDEX('Code Mapping'!$D$5:$D$1753,MATCH($B58,'Code Mapping'!$A$5:$A$1753,0)),"Unmapped"))</f>
        <v/>
      </c>
      <c r="M58" s="33" t="str">
        <f aca="false">IF($B58="","",IFERROR(INDEX('Code Mapping'!$E$5:$E$1753,MATCH($B58,'Code Mapping'!$A$5:$A$1753,0)),"Unmapped"))</f>
        <v/>
      </c>
      <c r="N58" s="33" t="str">
        <f aca="false">IF($F58="","",$F58)</f>
        <v/>
      </c>
    </row>
    <row r="59" customFormat="false" ht="15" hidden="false" customHeight="false" outlineLevel="0" collapsed="false">
      <c r="L59" s="33" t="str">
        <f aca="false">IF($B59="","",IFERROR(INDEX('Code Mapping'!$D$5:$D$1753,MATCH($B59,'Code Mapping'!$A$5:$A$1753,0)),"Unmapped"))</f>
        <v/>
      </c>
      <c r="M59" s="33" t="str">
        <f aca="false">IF($B59="","",IFERROR(INDEX('Code Mapping'!$E$5:$E$1753,MATCH($B59,'Code Mapping'!$A$5:$A$1753,0)),"Unmapped"))</f>
        <v/>
      </c>
      <c r="N59" s="33" t="str">
        <f aca="false">IF($F59="","",$F59)</f>
        <v/>
      </c>
    </row>
    <row r="60" customFormat="false" ht="15" hidden="false" customHeight="false" outlineLevel="0" collapsed="false">
      <c r="L60" s="33" t="str">
        <f aca="false">IF($B60="","",IFERROR(INDEX('Code Mapping'!$D$5:$D$1753,MATCH($B60,'Code Mapping'!$A$5:$A$1753,0)),"Unmapped"))</f>
        <v/>
      </c>
      <c r="M60" s="33" t="str">
        <f aca="false">IF($B60="","",IFERROR(INDEX('Code Mapping'!$E$5:$E$1753,MATCH($B60,'Code Mapping'!$A$5:$A$1753,0)),"Unmapped"))</f>
        <v/>
      </c>
      <c r="N60" s="33" t="str">
        <f aca="false">IF($F60="","",$F60)</f>
        <v/>
      </c>
    </row>
    <row r="61" customFormat="false" ht="15" hidden="false" customHeight="false" outlineLevel="0" collapsed="false">
      <c r="L61" s="33" t="str">
        <f aca="false">IF($B61="","",IFERROR(INDEX('Code Mapping'!$D$5:$D$1753,MATCH($B61,'Code Mapping'!$A$5:$A$1753,0)),"Unmapped"))</f>
        <v/>
      </c>
      <c r="M61" s="33" t="str">
        <f aca="false">IF($B61="","",IFERROR(INDEX('Code Mapping'!$E$5:$E$1753,MATCH($B61,'Code Mapping'!$A$5:$A$1753,0)),"Unmapped"))</f>
        <v/>
      </c>
      <c r="N61" s="33" t="str">
        <f aca="false">IF($F61="","",$F61)</f>
        <v/>
      </c>
    </row>
    <row r="62" customFormat="false" ht="15" hidden="false" customHeight="false" outlineLevel="0" collapsed="false">
      <c r="L62" s="33" t="str">
        <f aca="false">IF($B62="","",IFERROR(INDEX('Code Mapping'!$D$5:$D$1753,MATCH($B62,'Code Mapping'!$A$5:$A$1753,0)),"Unmapped"))</f>
        <v/>
      </c>
      <c r="M62" s="33" t="str">
        <f aca="false">IF($B62="","",IFERROR(INDEX('Code Mapping'!$E$5:$E$1753,MATCH($B62,'Code Mapping'!$A$5:$A$1753,0)),"Unmapped"))</f>
        <v/>
      </c>
      <c r="N62" s="33" t="str">
        <f aca="false">IF($F62="","",$F62)</f>
        <v/>
      </c>
    </row>
    <row r="63" customFormat="false" ht="15" hidden="false" customHeight="false" outlineLevel="0" collapsed="false">
      <c r="L63" s="33" t="str">
        <f aca="false">IF($B63="","",IFERROR(INDEX('Code Mapping'!$D$5:$D$1753,MATCH($B63,'Code Mapping'!$A$5:$A$1753,0)),"Unmapped"))</f>
        <v/>
      </c>
      <c r="M63" s="33" t="str">
        <f aca="false">IF($B63="","",IFERROR(INDEX('Code Mapping'!$E$5:$E$1753,MATCH($B63,'Code Mapping'!$A$5:$A$1753,0)),"Unmapped"))</f>
        <v/>
      </c>
      <c r="N63" s="33" t="str">
        <f aca="false">IF($F63="","",$F63)</f>
        <v/>
      </c>
    </row>
    <row r="64" customFormat="false" ht="15" hidden="false" customHeight="false" outlineLevel="0" collapsed="false">
      <c r="L64" s="33" t="str">
        <f aca="false">IF($B64="","",IFERROR(INDEX('Code Mapping'!$D$5:$D$1753,MATCH($B64,'Code Mapping'!$A$5:$A$1753,0)),"Unmapped"))</f>
        <v/>
      </c>
      <c r="M64" s="33" t="str">
        <f aca="false">IF($B64="","",IFERROR(INDEX('Code Mapping'!$E$5:$E$1753,MATCH($B64,'Code Mapping'!$A$5:$A$1753,0)),"Unmapped"))</f>
        <v/>
      </c>
      <c r="N64" s="33" t="str">
        <f aca="false">IF($F64="","",$F64)</f>
        <v/>
      </c>
    </row>
    <row r="65" customFormat="false" ht="15" hidden="false" customHeight="false" outlineLevel="0" collapsed="false">
      <c r="L65" s="33" t="str">
        <f aca="false">IF($B65="","",IFERROR(INDEX('Code Mapping'!$D$5:$D$1753,MATCH($B65,'Code Mapping'!$A$5:$A$1753,0)),"Unmapped"))</f>
        <v/>
      </c>
      <c r="M65" s="33" t="str">
        <f aca="false">IF($B65="","",IFERROR(INDEX('Code Mapping'!$E$5:$E$1753,MATCH($B65,'Code Mapping'!$A$5:$A$1753,0)),"Unmapped"))</f>
        <v/>
      </c>
      <c r="N65" s="33" t="str">
        <f aca="false">IF($F65="","",$F65)</f>
        <v/>
      </c>
    </row>
    <row r="66" customFormat="false" ht="15" hidden="false" customHeight="false" outlineLevel="0" collapsed="false">
      <c r="L66" s="33" t="str">
        <f aca="false">IF($B66="","",IFERROR(INDEX('Code Mapping'!$D$5:$D$1753,MATCH($B66,'Code Mapping'!$A$5:$A$1753,0)),"Unmapped"))</f>
        <v/>
      </c>
      <c r="M66" s="33" t="str">
        <f aca="false">IF($B66="","",IFERROR(INDEX('Code Mapping'!$E$5:$E$1753,MATCH($B66,'Code Mapping'!$A$5:$A$1753,0)),"Unmapped"))</f>
        <v/>
      </c>
      <c r="N66" s="33" t="str">
        <f aca="false">IF($F66="","",$F66)</f>
        <v/>
      </c>
    </row>
    <row r="67" customFormat="false" ht="15" hidden="false" customHeight="false" outlineLevel="0" collapsed="false">
      <c r="L67" s="33" t="str">
        <f aca="false">IF($B67="","",IFERROR(INDEX('Code Mapping'!$D$5:$D$1753,MATCH($B67,'Code Mapping'!$A$5:$A$1753,0)),"Unmapped"))</f>
        <v/>
      </c>
      <c r="M67" s="33" t="str">
        <f aca="false">IF($B67="","",IFERROR(INDEX('Code Mapping'!$E$5:$E$1753,MATCH($B67,'Code Mapping'!$A$5:$A$1753,0)),"Unmapped"))</f>
        <v/>
      </c>
      <c r="N67" s="33" t="str">
        <f aca="false">IF($F67="","",$F67)</f>
        <v/>
      </c>
    </row>
    <row r="68" customFormat="false" ht="15" hidden="false" customHeight="false" outlineLevel="0" collapsed="false">
      <c r="L68" s="33" t="str">
        <f aca="false">IF($B68="","",IFERROR(INDEX('Code Mapping'!$D$5:$D$1753,MATCH($B68,'Code Mapping'!$A$5:$A$1753,0)),"Unmapped"))</f>
        <v/>
      </c>
      <c r="M68" s="33" t="str">
        <f aca="false">IF($B68="","",IFERROR(INDEX('Code Mapping'!$E$5:$E$1753,MATCH($B68,'Code Mapping'!$A$5:$A$1753,0)),"Unmapped"))</f>
        <v/>
      </c>
      <c r="N68" s="33" t="str">
        <f aca="false">IF($F68="","",$F68)</f>
        <v/>
      </c>
    </row>
    <row r="69" customFormat="false" ht="15" hidden="false" customHeight="false" outlineLevel="0" collapsed="false">
      <c r="L69" s="33" t="str">
        <f aca="false">IF($B69="","",IFERROR(INDEX('Code Mapping'!$D$5:$D$1753,MATCH($B69,'Code Mapping'!$A$5:$A$1753,0)),"Unmapped"))</f>
        <v/>
      </c>
      <c r="M69" s="33" t="str">
        <f aca="false">IF($B69="","",IFERROR(INDEX('Code Mapping'!$E$5:$E$1753,MATCH($B69,'Code Mapping'!$A$5:$A$1753,0)),"Unmapped"))</f>
        <v/>
      </c>
      <c r="N69" s="33" t="str">
        <f aca="false">IF($F69="","",$F69)</f>
        <v/>
      </c>
    </row>
    <row r="70" customFormat="false" ht="15" hidden="false" customHeight="false" outlineLevel="0" collapsed="false">
      <c r="L70" s="33" t="str">
        <f aca="false">IF($B70="","",IFERROR(INDEX('Code Mapping'!$D$5:$D$1753,MATCH($B70,'Code Mapping'!$A$5:$A$1753,0)),"Unmapped"))</f>
        <v/>
      </c>
      <c r="M70" s="33" t="str">
        <f aca="false">IF($B70="","",IFERROR(INDEX('Code Mapping'!$E$5:$E$1753,MATCH($B70,'Code Mapping'!$A$5:$A$1753,0)),"Unmapped"))</f>
        <v/>
      </c>
      <c r="N70" s="33" t="str">
        <f aca="false">IF($F70="","",$F70)</f>
        <v/>
      </c>
    </row>
    <row r="71" customFormat="false" ht="15" hidden="false" customHeight="false" outlineLevel="0" collapsed="false">
      <c r="L71" s="33" t="str">
        <f aca="false">IF($B71="","",IFERROR(INDEX('Code Mapping'!$D$5:$D$1753,MATCH($B71,'Code Mapping'!$A$5:$A$1753,0)),"Unmapped"))</f>
        <v/>
      </c>
      <c r="M71" s="33" t="str">
        <f aca="false">IF($B71="","",IFERROR(INDEX('Code Mapping'!$E$5:$E$1753,MATCH($B71,'Code Mapping'!$A$5:$A$1753,0)),"Unmapped"))</f>
        <v/>
      </c>
      <c r="N71" s="33" t="str">
        <f aca="false">IF($F71="","",$F71)</f>
        <v/>
      </c>
    </row>
    <row r="72" customFormat="false" ht="15" hidden="false" customHeight="false" outlineLevel="0" collapsed="false">
      <c r="L72" s="33" t="str">
        <f aca="false">IF($B72="","",IFERROR(INDEX('Code Mapping'!$D$5:$D$1753,MATCH($B72,'Code Mapping'!$A$5:$A$1753,0)),"Unmapped"))</f>
        <v/>
      </c>
      <c r="M72" s="33" t="str">
        <f aca="false">IF($B72="","",IFERROR(INDEX('Code Mapping'!$E$5:$E$1753,MATCH($B72,'Code Mapping'!$A$5:$A$1753,0)),"Unmapped"))</f>
        <v/>
      </c>
      <c r="N72" s="33" t="str">
        <f aca="false">IF($F72="","",$F72)</f>
        <v/>
      </c>
    </row>
    <row r="73" customFormat="false" ht="15" hidden="false" customHeight="false" outlineLevel="0" collapsed="false">
      <c r="L73" s="33" t="str">
        <f aca="false">IF($B73="","",IFERROR(INDEX('Code Mapping'!$D$5:$D$1753,MATCH($B73,'Code Mapping'!$A$5:$A$1753,0)),"Unmapped"))</f>
        <v/>
      </c>
      <c r="M73" s="33" t="str">
        <f aca="false">IF($B73="","",IFERROR(INDEX('Code Mapping'!$E$5:$E$1753,MATCH($B73,'Code Mapping'!$A$5:$A$1753,0)),"Unmapped"))</f>
        <v/>
      </c>
      <c r="N73" s="33" t="str">
        <f aca="false">IF($F73="","",$F73)</f>
        <v/>
      </c>
    </row>
    <row r="74" customFormat="false" ht="15" hidden="false" customHeight="false" outlineLevel="0" collapsed="false">
      <c r="L74" s="33" t="str">
        <f aca="false">IF($B74="","",IFERROR(INDEX('Code Mapping'!$D$5:$D$1753,MATCH($B74,'Code Mapping'!$A$5:$A$1753,0)),"Unmapped"))</f>
        <v/>
      </c>
      <c r="M74" s="33" t="str">
        <f aca="false">IF($B74="","",IFERROR(INDEX('Code Mapping'!$E$5:$E$1753,MATCH($B74,'Code Mapping'!$A$5:$A$1753,0)),"Unmapped"))</f>
        <v/>
      </c>
      <c r="N74" s="33" t="str">
        <f aca="false">IF($F74="","",$F74)</f>
        <v/>
      </c>
    </row>
    <row r="75" customFormat="false" ht="15" hidden="false" customHeight="false" outlineLevel="0" collapsed="false">
      <c r="L75" s="33" t="str">
        <f aca="false">IF($B75="","",IFERROR(INDEX('Code Mapping'!$D$5:$D$1753,MATCH($B75,'Code Mapping'!$A$5:$A$1753,0)),"Unmapped"))</f>
        <v/>
      </c>
      <c r="M75" s="33" t="str">
        <f aca="false">IF($B75="","",IFERROR(INDEX('Code Mapping'!$E$5:$E$1753,MATCH($B75,'Code Mapping'!$A$5:$A$1753,0)),"Unmapped"))</f>
        <v/>
      </c>
      <c r="N75" s="33" t="str">
        <f aca="false">IF($F75="","",$F75)</f>
        <v/>
      </c>
    </row>
    <row r="76" customFormat="false" ht="15" hidden="false" customHeight="false" outlineLevel="0" collapsed="false">
      <c r="L76" s="33" t="str">
        <f aca="false">IF($B76="","",IFERROR(INDEX('Code Mapping'!$D$5:$D$1753,MATCH($B76,'Code Mapping'!$A$5:$A$1753,0)),"Unmapped"))</f>
        <v/>
      </c>
      <c r="M76" s="33" t="str">
        <f aca="false">IF($B76="","",IFERROR(INDEX('Code Mapping'!$E$5:$E$1753,MATCH($B76,'Code Mapping'!$A$5:$A$1753,0)),"Unmapped"))</f>
        <v/>
      </c>
      <c r="N76" s="33" t="str">
        <f aca="false">IF($F76="","",$F76)</f>
        <v/>
      </c>
    </row>
    <row r="77" customFormat="false" ht="15" hidden="false" customHeight="false" outlineLevel="0" collapsed="false">
      <c r="L77" s="33" t="str">
        <f aca="false">IF($B77="","",IFERROR(INDEX('Code Mapping'!$D$5:$D$1753,MATCH($B77,'Code Mapping'!$A$5:$A$1753,0)),"Unmapped"))</f>
        <v/>
      </c>
      <c r="M77" s="33" t="str">
        <f aca="false">IF($B77="","",IFERROR(INDEX('Code Mapping'!$E$5:$E$1753,MATCH($B77,'Code Mapping'!$A$5:$A$1753,0)),"Unmapped"))</f>
        <v/>
      </c>
      <c r="N77" s="33" t="str">
        <f aca="false">IF($F77="","",$F77)</f>
        <v/>
      </c>
    </row>
    <row r="78" customFormat="false" ht="15" hidden="false" customHeight="false" outlineLevel="0" collapsed="false">
      <c r="L78" s="33" t="str">
        <f aca="false">IF($B78="","",IFERROR(INDEX('Code Mapping'!$D$5:$D$1753,MATCH($B78,'Code Mapping'!$A$5:$A$1753,0)),"Unmapped"))</f>
        <v/>
      </c>
      <c r="M78" s="33" t="str">
        <f aca="false">IF($B78="","",IFERROR(INDEX('Code Mapping'!$E$5:$E$1753,MATCH($B78,'Code Mapping'!$A$5:$A$1753,0)),"Unmapped"))</f>
        <v/>
      </c>
      <c r="N78" s="33" t="str">
        <f aca="false">IF($F78="","",$F78)</f>
        <v/>
      </c>
    </row>
    <row r="79" customFormat="false" ht="15" hidden="false" customHeight="false" outlineLevel="0" collapsed="false">
      <c r="L79" s="33" t="str">
        <f aca="false">IF($B79="","",IFERROR(INDEX('Code Mapping'!$D$5:$D$1753,MATCH($B79,'Code Mapping'!$A$5:$A$1753,0)),"Unmapped"))</f>
        <v/>
      </c>
      <c r="M79" s="33" t="str">
        <f aca="false">IF($B79="","",IFERROR(INDEX('Code Mapping'!$E$5:$E$1753,MATCH($B79,'Code Mapping'!$A$5:$A$1753,0)),"Unmapped"))</f>
        <v/>
      </c>
      <c r="N79" s="33" t="str">
        <f aca="false">IF($F79="","",$F79)</f>
        <v/>
      </c>
    </row>
    <row r="80" customFormat="false" ht="15" hidden="false" customHeight="false" outlineLevel="0" collapsed="false">
      <c r="L80" s="33" t="str">
        <f aca="false">IF($B80="","",IFERROR(INDEX('Code Mapping'!$D$5:$D$1753,MATCH($B80,'Code Mapping'!$A$5:$A$1753,0)),"Unmapped"))</f>
        <v/>
      </c>
      <c r="M80" s="33" t="str">
        <f aca="false">IF($B80="","",IFERROR(INDEX('Code Mapping'!$E$5:$E$1753,MATCH($B80,'Code Mapping'!$A$5:$A$1753,0)),"Unmapped"))</f>
        <v/>
      </c>
      <c r="N80" s="33" t="str">
        <f aca="false">IF($F80="","",$F80)</f>
        <v/>
      </c>
    </row>
    <row r="81" customFormat="false" ht="15" hidden="false" customHeight="false" outlineLevel="0" collapsed="false">
      <c r="L81" s="33" t="str">
        <f aca="false">IF($B81="","",IFERROR(INDEX('Code Mapping'!$D$5:$D$1753,MATCH($B81,'Code Mapping'!$A$5:$A$1753,0)),"Unmapped"))</f>
        <v/>
      </c>
      <c r="M81" s="33" t="str">
        <f aca="false">IF($B81="","",IFERROR(INDEX('Code Mapping'!$E$5:$E$1753,MATCH($B81,'Code Mapping'!$A$5:$A$1753,0)),"Unmapped"))</f>
        <v/>
      </c>
      <c r="N81" s="33" t="str">
        <f aca="false">IF($F81="","",$F81)</f>
        <v/>
      </c>
    </row>
    <row r="82" customFormat="false" ht="15" hidden="false" customHeight="false" outlineLevel="0" collapsed="false">
      <c r="L82" s="33" t="str">
        <f aca="false">IF($B82="","",IFERROR(INDEX('Code Mapping'!$D$5:$D$1753,MATCH($B82,'Code Mapping'!$A$5:$A$1753,0)),"Unmapped"))</f>
        <v/>
      </c>
      <c r="M82" s="33" t="str">
        <f aca="false">IF($B82="","",IFERROR(INDEX('Code Mapping'!$E$5:$E$1753,MATCH($B82,'Code Mapping'!$A$5:$A$1753,0)),"Unmapped"))</f>
        <v/>
      </c>
      <c r="N82" s="33" t="str">
        <f aca="false">IF($F82="","",$F82)</f>
        <v/>
      </c>
    </row>
    <row r="83" customFormat="false" ht="15" hidden="false" customHeight="false" outlineLevel="0" collapsed="false">
      <c r="L83" s="33" t="str">
        <f aca="false">IF($B83="","",IFERROR(INDEX('Code Mapping'!$D$5:$D$1753,MATCH($B83,'Code Mapping'!$A$5:$A$1753,0)),"Unmapped"))</f>
        <v/>
      </c>
      <c r="M83" s="33" t="str">
        <f aca="false">IF($B83="","",IFERROR(INDEX('Code Mapping'!$E$5:$E$1753,MATCH($B83,'Code Mapping'!$A$5:$A$1753,0)),"Unmapped"))</f>
        <v/>
      </c>
      <c r="N83" s="33" t="str">
        <f aca="false">IF($F83="","",$F83)</f>
        <v/>
      </c>
    </row>
    <row r="84" customFormat="false" ht="15" hidden="false" customHeight="false" outlineLevel="0" collapsed="false">
      <c r="L84" s="33" t="str">
        <f aca="false">IF($B84="","",IFERROR(INDEX('Code Mapping'!$D$5:$D$1753,MATCH($B84,'Code Mapping'!$A$5:$A$1753,0)),"Unmapped"))</f>
        <v/>
      </c>
      <c r="M84" s="33" t="str">
        <f aca="false">IF($B84="","",IFERROR(INDEX('Code Mapping'!$E$5:$E$1753,MATCH($B84,'Code Mapping'!$A$5:$A$1753,0)),"Unmapped"))</f>
        <v/>
      </c>
      <c r="N84" s="33" t="str">
        <f aca="false">IF($F84="","",$F84)</f>
        <v/>
      </c>
    </row>
    <row r="85" customFormat="false" ht="15" hidden="false" customHeight="false" outlineLevel="0" collapsed="false">
      <c r="L85" s="33" t="str">
        <f aca="false">IF($B85="","",IFERROR(INDEX('Code Mapping'!$D$5:$D$1753,MATCH($B85,'Code Mapping'!$A$5:$A$1753,0)),"Unmapped"))</f>
        <v/>
      </c>
      <c r="M85" s="33" t="str">
        <f aca="false">IF($B85="","",IFERROR(INDEX('Code Mapping'!$E$5:$E$1753,MATCH($B85,'Code Mapping'!$A$5:$A$1753,0)),"Unmapped"))</f>
        <v/>
      </c>
      <c r="N85" s="33" t="str">
        <f aca="false">IF($F85="","",$F85)</f>
        <v/>
      </c>
    </row>
    <row r="86" customFormat="false" ht="15" hidden="false" customHeight="false" outlineLevel="0" collapsed="false">
      <c r="L86" s="33" t="str">
        <f aca="false">IF($B86="","",IFERROR(INDEX('Code Mapping'!$D$5:$D$1753,MATCH($B86,'Code Mapping'!$A$5:$A$1753,0)),"Unmapped"))</f>
        <v/>
      </c>
      <c r="M86" s="33" t="str">
        <f aca="false">IF($B86="","",IFERROR(INDEX('Code Mapping'!$E$5:$E$1753,MATCH($B86,'Code Mapping'!$A$5:$A$1753,0)),"Unmapped"))</f>
        <v/>
      </c>
      <c r="N86" s="33" t="str">
        <f aca="false">IF($F86="","",$F86)</f>
        <v/>
      </c>
    </row>
    <row r="87" customFormat="false" ht="15" hidden="false" customHeight="false" outlineLevel="0" collapsed="false">
      <c r="L87" s="33" t="str">
        <f aca="false">IF($B87="","",IFERROR(INDEX('Code Mapping'!$D$5:$D$1753,MATCH($B87,'Code Mapping'!$A$5:$A$1753,0)),"Unmapped"))</f>
        <v/>
      </c>
      <c r="M87" s="33" t="str">
        <f aca="false">IF($B87="","",IFERROR(INDEX('Code Mapping'!$E$5:$E$1753,MATCH($B87,'Code Mapping'!$A$5:$A$1753,0)),"Unmapped"))</f>
        <v/>
      </c>
      <c r="N87" s="33" t="str">
        <f aca="false">IF($F87="","",$F87)</f>
        <v/>
      </c>
    </row>
    <row r="88" customFormat="false" ht="15" hidden="false" customHeight="false" outlineLevel="0" collapsed="false">
      <c r="L88" s="33" t="str">
        <f aca="false">IF($B88="","",IFERROR(INDEX('Code Mapping'!$D$5:$D$1753,MATCH($B88,'Code Mapping'!$A$5:$A$1753,0)),"Unmapped"))</f>
        <v/>
      </c>
      <c r="M88" s="33" t="str">
        <f aca="false">IF($B88="","",IFERROR(INDEX('Code Mapping'!$E$5:$E$1753,MATCH($B88,'Code Mapping'!$A$5:$A$1753,0)),"Unmapped"))</f>
        <v/>
      </c>
      <c r="N88" s="33" t="str">
        <f aca="false">IF($F88="","",$F88)</f>
        <v/>
      </c>
    </row>
    <row r="89" customFormat="false" ht="15" hidden="false" customHeight="false" outlineLevel="0" collapsed="false">
      <c r="L89" s="33" t="str">
        <f aca="false">IF($B89="","",IFERROR(INDEX('Code Mapping'!$D$5:$D$1753,MATCH($B89,'Code Mapping'!$A$5:$A$1753,0)),"Unmapped"))</f>
        <v/>
      </c>
      <c r="M89" s="33" t="str">
        <f aca="false">IF($B89="","",IFERROR(INDEX('Code Mapping'!$E$5:$E$1753,MATCH($B89,'Code Mapping'!$A$5:$A$1753,0)),"Unmapped"))</f>
        <v/>
      </c>
      <c r="N89" s="33" t="str">
        <f aca="false">IF($F89="","",$F89)</f>
        <v/>
      </c>
    </row>
    <row r="90" customFormat="false" ht="15" hidden="false" customHeight="false" outlineLevel="0" collapsed="false">
      <c r="L90" s="33" t="str">
        <f aca="false">IF($B90="","",IFERROR(INDEX('Code Mapping'!$D$5:$D$1753,MATCH($B90,'Code Mapping'!$A$5:$A$1753,0)),"Unmapped"))</f>
        <v/>
      </c>
      <c r="M90" s="33" t="str">
        <f aca="false">IF($B90="","",IFERROR(INDEX('Code Mapping'!$E$5:$E$1753,MATCH($B90,'Code Mapping'!$A$5:$A$1753,0)),"Unmapped"))</f>
        <v/>
      </c>
      <c r="N90" s="33" t="str">
        <f aca="false">IF($F90="","",$F90)</f>
        <v/>
      </c>
    </row>
    <row r="91" customFormat="false" ht="15" hidden="false" customHeight="false" outlineLevel="0" collapsed="false">
      <c r="L91" s="33" t="str">
        <f aca="false">IF($B91="","",IFERROR(INDEX('Code Mapping'!$D$5:$D$1753,MATCH($B91,'Code Mapping'!$A$5:$A$1753,0)),"Unmapped"))</f>
        <v/>
      </c>
      <c r="M91" s="33" t="str">
        <f aca="false">IF($B91="","",IFERROR(INDEX('Code Mapping'!$E$5:$E$1753,MATCH($B91,'Code Mapping'!$A$5:$A$1753,0)),"Unmapped"))</f>
        <v/>
      </c>
      <c r="N91" s="33" t="str">
        <f aca="false">IF($F91="","",$F91)</f>
        <v/>
      </c>
    </row>
    <row r="92" customFormat="false" ht="15" hidden="false" customHeight="false" outlineLevel="0" collapsed="false">
      <c r="L92" s="33" t="str">
        <f aca="false">IF($B92="","",IFERROR(INDEX('Code Mapping'!$D$5:$D$1753,MATCH($B92,'Code Mapping'!$A$5:$A$1753,0)),"Unmapped"))</f>
        <v/>
      </c>
      <c r="M92" s="33" t="str">
        <f aca="false">IF($B92="","",IFERROR(INDEX('Code Mapping'!$E$5:$E$1753,MATCH($B92,'Code Mapping'!$A$5:$A$1753,0)),"Unmapped"))</f>
        <v/>
      </c>
      <c r="N92" s="33" t="str">
        <f aca="false">IF($F92="","",$F92)</f>
        <v/>
      </c>
    </row>
    <row r="93" customFormat="false" ht="15" hidden="false" customHeight="false" outlineLevel="0" collapsed="false">
      <c r="L93" s="33" t="str">
        <f aca="false">IF($B93="","",IFERROR(INDEX('Code Mapping'!$D$5:$D$1753,MATCH($B93,'Code Mapping'!$A$5:$A$1753,0)),"Unmapped"))</f>
        <v/>
      </c>
      <c r="M93" s="33" t="str">
        <f aca="false">IF($B93="","",IFERROR(INDEX('Code Mapping'!$E$5:$E$1753,MATCH($B93,'Code Mapping'!$A$5:$A$1753,0)),"Unmapped"))</f>
        <v/>
      </c>
      <c r="N93" s="33" t="str">
        <f aca="false">IF($F93="","",$F93)</f>
        <v/>
      </c>
    </row>
    <row r="94" customFormat="false" ht="15" hidden="false" customHeight="false" outlineLevel="0" collapsed="false">
      <c r="L94" s="33" t="str">
        <f aca="false">IF($B94="","",IFERROR(INDEX('Code Mapping'!$D$5:$D$1753,MATCH($B94,'Code Mapping'!$A$5:$A$1753,0)),"Unmapped"))</f>
        <v/>
      </c>
      <c r="M94" s="33" t="str">
        <f aca="false">IF($B94="","",IFERROR(INDEX('Code Mapping'!$E$5:$E$1753,MATCH($B94,'Code Mapping'!$A$5:$A$1753,0)),"Unmapped"))</f>
        <v/>
      </c>
      <c r="N94" s="33" t="str">
        <f aca="false">IF($F94="","",$F94)</f>
        <v/>
      </c>
    </row>
    <row r="95" customFormat="false" ht="15" hidden="false" customHeight="false" outlineLevel="0" collapsed="false">
      <c r="L95" s="33" t="str">
        <f aca="false">IF($B95="","",IFERROR(INDEX('Code Mapping'!$D$5:$D$1753,MATCH($B95,'Code Mapping'!$A$5:$A$1753,0)),"Unmapped"))</f>
        <v/>
      </c>
      <c r="M95" s="33" t="str">
        <f aca="false">IF($B95="","",IFERROR(INDEX('Code Mapping'!$E$5:$E$1753,MATCH($B95,'Code Mapping'!$A$5:$A$1753,0)),"Unmapped"))</f>
        <v/>
      </c>
      <c r="N95" s="33" t="str">
        <f aca="false">IF($F95="","",$F95)</f>
        <v/>
      </c>
    </row>
    <row r="96" customFormat="false" ht="15" hidden="false" customHeight="false" outlineLevel="0" collapsed="false">
      <c r="L96" s="33" t="str">
        <f aca="false">IF($B96="","",IFERROR(INDEX('Code Mapping'!$D$5:$D$1753,MATCH($B96,'Code Mapping'!$A$5:$A$1753,0)),"Unmapped"))</f>
        <v/>
      </c>
      <c r="M96" s="33" t="str">
        <f aca="false">IF($B96="","",IFERROR(INDEX('Code Mapping'!$E$5:$E$1753,MATCH($B96,'Code Mapping'!$A$5:$A$1753,0)),"Unmapped"))</f>
        <v/>
      </c>
      <c r="N96" s="33" t="str">
        <f aca="false">IF($F96="","",$F96)</f>
        <v/>
      </c>
    </row>
    <row r="97" customFormat="false" ht="15" hidden="false" customHeight="false" outlineLevel="0" collapsed="false">
      <c r="L97" s="33" t="str">
        <f aca="false">IF($B97="","",IFERROR(INDEX('Code Mapping'!$D$5:$D$1753,MATCH($B97,'Code Mapping'!$A$5:$A$1753,0)),"Unmapped"))</f>
        <v/>
      </c>
      <c r="M97" s="33" t="str">
        <f aca="false">IF($B97="","",IFERROR(INDEX('Code Mapping'!$E$5:$E$1753,MATCH($B97,'Code Mapping'!$A$5:$A$1753,0)),"Unmapped"))</f>
        <v/>
      </c>
      <c r="N97" s="33" t="str">
        <f aca="false">IF($F97="","",$F97)</f>
        <v/>
      </c>
    </row>
    <row r="98" customFormat="false" ht="15" hidden="false" customHeight="false" outlineLevel="0" collapsed="false">
      <c r="L98" s="33" t="str">
        <f aca="false">IF($B98="","",IFERROR(INDEX('Code Mapping'!$D$5:$D$1753,MATCH($B98,'Code Mapping'!$A$5:$A$1753,0)),"Unmapped"))</f>
        <v/>
      </c>
      <c r="M98" s="33" t="str">
        <f aca="false">IF($B98="","",IFERROR(INDEX('Code Mapping'!$E$5:$E$1753,MATCH($B98,'Code Mapping'!$A$5:$A$1753,0)),"Unmapped"))</f>
        <v/>
      </c>
      <c r="N98" s="33" t="str">
        <f aca="false">IF($F98="","",$F98)</f>
        <v/>
      </c>
    </row>
    <row r="99" customFormat="false" ht="15" hidden="false" customHeight="false" outlineLevel="0" collapsed="false">
      <c r="L99" s="33" t="str">
        <f aca="false">IF($B99="","",IFERROR(INDEX('Code Mapping'!$D$5:$D$1753,MATCH($B99,'Code Mapping'!$A$5:$A$1753,0)),"Unmapped"))</f>
        <v/>
      </c>
      <c r="M99" s="33" t="str">
        <f aca="false">IF($B99="","",IFERROR(INDEX('Code Mapping'!$E$5:$E$1753,MATCH($B99,'Code Mapping'!$A$5:$A$1753,0)),"Unmapped"))</f>
        <v/>
      </c>
      <c r="N99" s="33" t="str">
        <f aca="false">IF($F99="","",$F99)</f>
        <v/>
      </c>
    </row>
    <row r="100" customFormat="false" ht="15" hidden="false" customHeight="false" outlineLevel="0" collapsed="false">
      <c r="L100" s="33" t="str">
        <f aca="false">IF($B100="","",IFERROR(INDEX('Code Mapping'!$D$5:$D$1753,MATCH($B100,'Code Mapping'!$A$5:$A$1753,0)),"Unmapped"))</f>
        <v/>
      </c>
      <c r="M100" s="33" t="str">
        <f aca="false">IF($B100="","",IFERROR(INDEX('Code Mapping'!$E$5:$E$1753,MATCH($B100,'Code Mapping'!$A$5:$A$1753,0)),"Unmapped"))</f>
        <v/>
      </c>
      <c r="N100" s="33" t="str">
        <f aca="false">IF($F100="","",$F100)</f>
        <v/>
      </c>
    </row>
    <row r="101" customFormat="false" ht="15" hidden="false" customHeight="false" outlineLevel="0" collapsed="false">
      <c r="L101" s="33" t="str">
        <f aca="false">IF($B101="","",IFERROR(INDEX('Code Mapping'!$D$5:$D$1753,MATCH($B101,'Code Mapping'!$A$5:$A$1753,0)),"Unmapped"))</f>
        <v/>
      </c>
      <c r="M101" s="33" t="str">
        <f aca="false">IF($B101="","",IFERROR(INDEX('Code Mapping'!$E$5:$E$1753,MATCH($B101,'Code Mapping'!$A$5:$A$1753,0)),"Unmapped"))</f>
        <v/>
      </c>
      <c r="N101" s="33" t="str">
        <f aca="false">IF($F101="","",$F101)</f>
        <v/>
      </c>
    </row>
    <row r="102" customFormat="false" ht="15" hidden="false" customHeight="false" outlineLevel="0" collapsed="false">
      <c r="L102" s="33" t="str">
        <f aca="false">IF($B102="","",IFERROR(INDEX('Code Mapping'!$D$5:$D$1753,MATCH($B102,'Code Mapping'!$A$5:$A$1753,0)),"Unmapped"))</f>
        <v/>
      </c>
      <c r="M102" s="33" t="str">
        <f aca="false">IF($B102="","",IFERROR(INDEX('Code Mapping'!$E$5:$E$1753,MATCH($B102,'Code Mapping'!$A$5:$A$1753,0)),"Unmapped"))</f>
        <v/>
      </c>
      <c r="N102" s="33" t="str">
        <f aca="false">IF($F102="","",$F102)</f>
        <v/>
      </c>
    </row>
    <row r="103" customFormat="false" ht="15" hidden="false" customHeight="false" outlineLevel="0" collapsed="false">
      <c r="L103" s="33" t="str">
        <f aca="false">IF($B103="","",IFERROR(INDEX('Code Mapping'!$D$5:$D$1753,MATCH($B103,'Code Mapping'!$A$5:$A$1753,0)),"Unmapped"))</f>
        <v/>
      </c>
      <c r="M103" s="33" t="str">
        <f aca="false">IF($B103="","",IFERROR(INDEX('Code Mapping'!$E$5:$E$1753,MATCH($B103,'Code Mapping'!$A$5:$A$1753,0)),"Unmapped"))</f>
        <v/>
      </c>
      <c r="N103" s="33" t="str">
        <f aca="false">IF($F103="","",$F103)</f>
        <v/>
      </c>
    </row>
    <row r="104" customFormat="false" ht="15" hidden="false" customHeight="false" outlineLevel="0" collapsed="false">
      <c r="L104" s="33" t="str">
        <f aca="false">IF($B104="","",IFERROR(INDEX('Code Mapping'!$D$5:$D$1753,MATCH($B104,'Code Mapping'!$A$5:$A$1753,0)),"Unmapped"))</f>
        <v/>
      </c>
      <c r="M104" s="33" t="str">
        <f aca="false">IF($B104="","",IFERROR(INDEX('Code Mapping'!$E$5:$E$1753,MATCH($B104,'Code Mapping'!$A$5:$A$1753,0)),"Unmapped"))</f>
        <v/>
      </c>
      <c r="N104" s="33" t="str">
        <f aca="false">IF($F104="","",$F104)</f>
        <v/>
      </c>
    </row>
    <row r="105" customFormat="false" ht="15" hidden="false" customHeight="false" outlineLevel="0" collapsed="false">
      <c r="L105" s="33" t="str">
        <f aca="false">IF($B105="","",IFERROR(INDEX('Code Mapping'!$D$5:$D$1753,MATCH($B105,'Code Mapping'!$A$5:$A$1753,0)),"Unmapped"))</f>
        <v/>
      </c>
      <c r="M105" s="33" t="str">
        <f aca="false">IF($B105="","",IFERROR(INDEX('Code Mapping'!$E$5:$E$1753,MATCH($B105,'Code Mapping'!$A$5:$A$1753,0)),"Unmapped"))</f>
        <v/>
      </c>
      <c r="N105" s="33" t="str">
        <f aca="false">IF($F105="","",$F105)</f>
        <v/>
      </c>
    </row>
    <row r="106" customFormat="false" ht="15" hidden="false" customHeight="false" outlineLevel="0" collapsed="false">
      <c r="L106" s="33" t="str">
        <f aca="false">IF($B106="","",IFERROR(INDEX('Code Mapping'!$D$5:$D$1753,MATCH($B106,'Code Mapping'!$A$5:$A$1753,0)),"Unmapped"))</f>
        <v/>
      </c>
      <c r="M106" s="33" t="str">
        <f aca="false">IF($B106="","",IFERROR(INDEX('Code Mapping'!$E$5:$E$1753,MATCH($B106,'Code Mapping'!$A$5:$A$1753,0)),"Unmapped"))</f>
        <v/>
      </c>
      <c r="N106" s="33" t="str">
        <f aca="false">IF($F106="","",$F106)</f>
        <v/>
      </c>
    </row>
    <row r="107" customFormat="false" ht="15" hidden="false" customHeight="false" outlineLevel="0" collapsed="false">
      <c r="L107" s="33" t="str">
        <f aca="false">IF($B107="","",IFERROR(INDEX('Code Mapping'!$D$5:$D$1753,MATCH($B107,'Code Mapping'!$A$5:$A$1753,0)),"Unmapped"))</f>
        <v/>
      </c>
      <c r="M107" s="33" t="str">
        <f aca="false">IF($B107="","",IFERROR(INDEX('Code Mapping'!$E$5:$E$1753,MATCH($B107,'Code Mapping'!$A$5:$A$1753,0)),"Unmapped"))</f>
        <v/>
      </c>
      <c r="N107" s="33" t="str">
        <f aca="false">IF($F107="","",$F107)</f>
        <v/>
      </c>
    </row>
    <row r="108" customFormat="false" ht="15" hidden="false" customHeight="false" outlineLevel="0" collapsed="false">
      <c r="L108" s="33" t="str">
        <f aca="false">IF($B108="","",IFERROR(INDEX('Code Mapping'!$D$5:$D$1753,MATCH($B108,'Code Mapping'!$A$5:$A$1753,0)),"Unmapped"))</f>
        <v/>
      </c>
      <c r="M108" s="33" t="str">
        <f aca="false">IF($B108="","",IFERROR(INDEX('Code Mapping'!$E$5:$E$1753,MATCH($B108,'Code Mapping'!$A$5:$A$1753,0)),"Unmapped"))</f>
        <v/>
      </c>
      <c r="N108" s="33" t="str">
        <f aca="false">IF($F108="","",$F108)</f>
        <v/>
      </c>
    </row>
    <row r="109" customFormat="false" ht="15" hidden="false" customHeight="false" outlineLevel="0" collapsed="false">
      <c r="L109" s="33" t="str">
        <f aca="false">IF($B109="","",IFERROR(INDEX('Code Mapping'!$D$5:$D$1753,MATCH($B109,'Code Mapping'!$A$5:$A$1753,0)),"Unmapped"))</f>
        <v/>
      </c>
      <c r="M109" s="33" t="str">
        <f aca="false">IF($B109="","",IFERROR(INDEX('Code Mapping'!$E$5:$E$1753,MATCH($B109,'Code Mapping'!$A$5:$A$1753,0)),"Unmapped"))</f>
        <v/>
      </c>
      <c r="N109" s="33" t="str">
        <f aca="false">IF($F109="","",$F109)</f>
        <v/>
      </c>
    </row>
    <row r="110" customFormat="false" ht="15" hidden="false" customHeight="false" outlineLevel="0" collapsed="false">
      <c r="L110" s="33" t="str">
        <f aca="false">IF($B110="","",IFERROR(INDEX('Code Mapping'!$D$5:$D$1753,MATCH($B110,'Code Mapping'!$A$5:$A$1753,0)),"Unmapped"))</f>
        <v/>
      </c>
      <c r="M110" s="33" t="str">
        <f aca="false">IF($B110="","",IFERROR(INDEX('Code Mapping'!$E$5:$E$1753,MATCH($B110,'Code Mapping'!$A$5:$A$1753,0)),"Unmapped"))</f>
        <v/>
      </c>
      <c r="N110" s="33" t="str">
        <f aca="false">IF($F110="","",$F110)</f>
        <v/>
      </c>
    </row>
    <row r="111" customFormat="false" ht="15" hidden="false" customHeight="false" outlineLevel="0" collapsed="false">
      <c r="L111" s="33" t="str">
        <f aca="false">IF($B111="","",IFERROR(INDEX('Code Mapping'!$D$5:$D$1753,MATCH($B111,'Code Mapping'!$A$5:$A$1753,0)),"Unmapped"))</f>
        <v/>
      </c>
      <c r="M111" s="33" t="str">
        <f aca="false">IF($B111="","",IFERROR(INDEX('Code Mapping'!$E$5:$E$1753,MATCH($B111,'Code Mapping'!$A$5:$A$1753,0)),"Unmapped"))</f>
        <v/>
      </c>
      <c r="N111" s="33" t="str">
        <f aca="false">IF($F111="","",$F111)</f>
        <v/>
      </c>
    </row>
    <row r="112" customFormat="false" ht="15" hidden="false" customHeight="false" outlineLevel="0" collapsed="false">
      <c r="L112" s="33" t="str">
        <f aca="false">IF($B112="","",IFERROR(INDEX('Code Mapping'!$D$5:$D$1753,MATCH($B112,'Code Mapping'!$A$5:$A$1753,0)),"Unmapped"))</f>
        <v/>
      </c>
      <c r="M112" s="33" t="str">
        <f aca="false">IF($B112="","",IFERROR(INDEX('Code Mapping'!$E$5:$E$1753,MATCH($B112,'Code Mapping'!$A$5:$A$1753,0)),"Unmapped"))</f>
        <v/>
      </c>
      <c r="N112" s="33" t="str">
        <f aca="false">IF($F112="","",$F112)</f>
        <v/>
      </c>
    </row>
    <row r="113" customFormat="false" ht="15" hidden="false" customHeight="false" outlineLevel="0" collapsed="false">
      <c r="L113" s="33" t="str">
        <f aca="false">IF($B113="","",IFERROR(INDEX('Code Mapping'!$D$5:$D$1753,MATCH($B113,'Code Mapping'!$A$5:$A$1753,0)),"Unmapped"))</f>
        <v/>
      </c>
      <c r="M113" s="33" t="str">
        <f aca="false">IF($B113="","",IFERROR(INDEX('Code Mapping'!$E$5:$E$1753,MATCH($B113,'Code Mapping'!$A$5:$A$1753,0)),"Unmapped"))</f>
        <v/>
      </c>
      <c r="N113" s="33" t="str">
        <f aca="false">IF($F113="","",$F113)</f>
        <v/>
      </c>
    </row>
    <row r="114" customFormat="false" ht="15" hidden="false" customHeight="false" outlineLevel="0" collapsed="false">
      <c r="L114" s="33" t="str">
        <f aca="false">IF($B114="","",IFERROR(INDEX('Code Mapping'!$D$5:$D$1753,MATCH($B114,'Code Mapping'!$A$5:$A$1753,0)),"Unmapped"))</f>
        <v/>
      </c>
      <c r="M114" s="33" t="str">
        <f aca="false">IF($B114="","",IFERROR(INDEX('Code Mapping'!$E$5:$E$1753,MATCH($B114,'Code Mapping'!$A$5:$A$1753,0)),"Unmapped"))</f>
        <v/>
      </c>
      <c r="N114" s="33" t="str">
        <f aca="false">IF($F114="","",$F114)</f>
        <v/>
      </c>
    </row>
    <row r="115" customFormat="false" ht="15" hidden="false" customHeight="false" outlineLevel="0" collapsed="false">
      <c r="L115" s="33" t="str">
        <f aca="false">IF($B115="","",IFERROR(INDEX('Code Mapping'!$D$5:$D$1753,MATCH($B115,'Code Mapping'!$A$5:$A$1753,0)),"Unmapped"))</f>
        <v/>
      </c>
      <c r="M115" s="33" t="str">
        <f aca="false">IF($B115="","",IFERROR(INDEX('Code Mapping'!$E$5:$E$1753,MATCH($B115,'Code Mapping'!$A$5:$A$1753,0)),"Unmapped"))</f>
        <v/>
      </c>
      <c r="N115" s="33" t="str">
        <f aca="false">IF($F115="","",$F115)</f>
        <v/>
      </c>
    </row>
    <row r="116" customFormat="false" ht="15" hidden="false" customHeight="false" outlineLevel="0" collapsed="false">
      <c r="L116" s="33" t="str">
        <f aca="false">IF($B116="","",IFERROR(INDEX('Code Mapping'!$D$5:$D$1753,MATCH($B116,'Code Mapping'!$A$5:$A$1753,0)),"Unmapped"))</f>
        <v/>
      </c>
      <c r="M116" s="33" t="str">
        <f aca="false">IF($B116="","",IFERROR(INDEX('Code Mapping'!$E$5:$E$1753,MATCH($B116,'Code Mapping'!$A$5:$A$1753,0)),"Unmapped"))</f>
        <v/>
      </c>
      <c r="N116" s="33" t="str">
        <f aca="false">IF($F116="","",$F116)</f>
        <v/>
      </c>
    </row>
    <row r="117" customFormat="false" ht="15" hidden="false" customHeight="false" outlineLevel="0" collapsed="false">
      <c r="L117" s="33" t="str">
        <f aca="false">IF($B117="","",IFERROR(INDEX('Code Mapping'!$D$5:$D$1753,MATCH($B117,'Code Mapping'!$A$5:$A$1753,0)),"Unmapped"))</f>
        <v/>
      </c>
      <c r="M117" s="33" t="str">
        <f aca="false">IF($B117="","",IFERROR(INDEX('Code Mapping'!$E$5:$E$1753,MATCH($B117,'Code Mapping'!$A$5:$A$1753,0)),"Unmapped"))</f>
        <v/>
      </c>
      <c r="N117" s="33" t="str">
        <f aca="false">IF($F117="","",$F117)</f>
        <v/>
      </c>
    </row>
    <row r="118" customFormat="false" ht="15" hidden="false" customHeight="false" outlineLevel="0" collapsed="false">
      <c r="L118" s="33" t="str">
        <f aca="false">IF($B118="","",IFERROR(INDEX('Code Mapping'!$D$5:$D$1753,MATCH($B118,'Code Mapping'!$A$5:$A$1753,0)),"Unmapped"))</f>
        <v/>
      </c>
      <c r="M118" s="33" t="str">
        <f aca="false">IF($B118="","",IFERROR(INDEX('Code Mapping'!$E$5:$E$1753,MATCH($B118,'Code Mapping'!$A$5:$A$1753,0)),"Unmapped"))</f>
        <v/>
      </c>
      <c r="N118" s="33" t="str">
        <f aca="false">IF($F118="","",$F118)</f>
        <v/>
      </c>
    </row>
    <row r="119" customFormat="false" ht="15" hidden="false" customHeight="false" outlineLevel="0" collapsed="false">
      <c r="L119" s="33" t="str">
        <f aca="false">IF($B119="","",IFERROR(INDEX('Code Mapping'!$D$5:$D$1753,MATCH($B119,'Code Mapping'!$A$5:$A$1753,0)),"Unmapped"))</f>
        <v/>
      </c>
      <c r="M119" s="33" t="str">
        <f aca="false">IF($B119="","",IFERROR(INDEX('Code Mapping'!$E$5:$E$1753,MATCH($B119,'Code Mapping'!$A$5:$A$1753,0)),"Unmapped"))</f>
        <v/>
      </c>
      <c r="N119" s="33" t="str">
        <f aca="false">IF($F119="","",$F119)</f>
        <v/>
      </c>
    </row>
    <row r="120" customFormat="false" ht="15" hidden="false" customHeight="false" outlineLevel="0" collapsed="false">
      <c r="L120" s="33" t="str">
        <f aca="false">IF($B120="","",IFERROR(INDEX('Code Mapping'!$D$5:$D$1753,MATCH($B120,'Code Mapping'!$A$5:$A$1753,0)),"Unmapped"))</f>
        <v/>
      </c>
      <c r="M120" s="33" t="str">
        <f aca="false">IF($B120="","",IFERROR(INDEX('Code Mapping'!$E$5:$E$1753,MATCH($B120,'Code Mapping'!$A$5:$A$1753,0)),"Unmapped"))</f>
        <v/>
      </c>
      <c r="N120" s="33" t="str">
        <f aca="false">IF($F120="","",$F120)</f>
        <v/>
      </c>
    </row>
    <row r="121" customFormat="false" ht="15" hidden="false" customHeight="false" outlineLevel="0" collapsed="false">
      <c r="L121" s="33" t="str">
        <f aca="false">IF($B121="","",IFERROR(INDEX('Code Mapping'!$D$5:$D$1753,MATCH($B121,'Code Mapping'!$A$5:$A$1753,0)),"Unmapped"))</f>
        <v/>
      </c>
      <c r="M121" s="33" t="str">
        <f aca="false">IF($B121="","",IFERROR(INDEX('Code Mapping'!$E$5:$E$1753,MATCH($B121,'Code Mapping'!$A$5:$A$1753,0)),"Unmapped"))</f>
        <v/>
      </c>
      <c r="N121" s="33" t="str">
        <f aca="false">IF($F121="","",$F121)</f>
        <v/>
      </c>
    </row>
    <row r="122" customFormat="false" ht="15" hidden="false" customHeight="false" outlineLevel="0" collapsed="false">
      <c r="L122" s="33" t="str">
        <f aca="false">IF($B122="","",IFERROR(INDEX('Code Mapping'!$D$5:$D$1753,MATCH($B122,'Code Mapping'!$A$5:$A$1753,0)),"Unmapped"))</f>
        <v/>
      </c>
      <c r="M122" s="33" t="str">
        <f aca="false">IF($B122="","",IFERROR(INDEX('Code Mapping'!$E$5:$E$1753,MATCH($B122,'Code Mapping'!$A$5:$A$1753,0)),"Unmapped"))</f>
        <v/>
      </c>
      <c r="N122" s="33" t="str">
        <f aca="false">IF($F122="","",$F122)</f>
        <v/>
      </c>
    </row>
    <row r="123" customFormat="false" ht="15" hidden="false" customHeight="false" outlineLevel="0" collapsed="false">
      <c r="L123" s="33" t="str">
        <f aca="false">IF($B123="","",IFERROR(INDEX('Code Mapping'!$D$5:$D$1753,MATCH($B123,'Code Mapping'!$A$5:$A$1753,0)),"Unmapped"))</f>
        <v/>
      </c>
      <c r="M123" s="33" t="str">
        <f aca="false">IF($B123="","",IFERROR(INDEX('Code Mapping'!$E$5:$E$1753,MATCH($B123,'Code Mapping'!$A$5:$A$1753,0)),"Unmapped"))</f>
        <v/>
      </c>
      <c r="N123" s="33" t="str">
        <f aca="false">IF($F123="","",$F123)</f>
        <v/>
      </c>
    </row>
    <row r="124" customFormat="false" ht="15" hidden="false" customHeight="false" outlineLevel="0" collapsed="false">
      <c r="L124" s="33" t="str">
        <f aca="false">IF($B124="","",IFERROR(INDEX('Code Mapping'!$D$5:$D$1753,MATCH($B124,'Code Mapping'!$A$5:$A$1753,0)),"Unmapped"))</f>
        <v/>
      </c>
      <c r="M124" s="33" t="str">
        <f aca="false">IF($B124="","",IFERROR(INDEX('Code Mapping'!$E$5:$E$1753,MATCH($B124,'Code Mapping'!$A$5:$A$1753,0)),"Unmapped"))</f>
        <v/>
      </c>
      <c r="N124" s="33" t="str">
        <f aca="false">IF($F124="","",$F124)</f>
        <v/>
      </c>
    </row>
    <row r="125" customFormat="false" ht="15" hidden="false" customHeight="false" outlineLevel="0" collapsed="false">
      <c r="L125" s="33" t="str">
        <f aca="false">IF($B125="","",IFERROR(INDEX('Code Mapping'!$D$5:$D$1753,MATCH($B125,'Code Mapping'!$A$5:$A$1753,0)),"Unmapped"))</f>
        <v/>
      </c>
      <c r="M125" s="33" t="str">
        <f aca="false">IF($B125="","",IFERROR(INDEX('Code Mapping'!$E$5:$E$1753,MATCH($B125,'Code Mapping'!$A$5:$A$1753,0)),"Unmapped"))</f>
        <v/>
      </c>
      <c r="N125" s="33" t="str">
        <f aca="false">IF($F125="","",$F125)</f>
        <v/>
      </c>
    </row>
    <row r="126" customFormat="false" ht="15" hidden="false" customHeight="false" outlineLevel="0" collapsed="false">
      <c r="L126" s="33" t="str">
        <f aca="false">IF($B126="","",IFERROR(INDEX('Code Mapping'!$D$5:$D$1753,MATCH($B126,'Code Mapping'!$A$5:$A$1753,0)),"Unmapped"))</f>
        <v/>
      </c>
      <c r="M126" s="33" t="str">
        <f aca="false">IF($B126="","",IFERROR(INDEX('Code Mapping'!$E$5:$E$1753,MATCH($B126,'Code Mapping'!$A$5:$A$1753,0)),"Unmapped"))</f>
        <v/>
      </c>
      <c r="N126" s="33" t="str">
        <f aca="false">IF($F126="","",$F126)</f>
        <v/>
      </c>
    </row>
    <row r="127" customFormat="false" ht="15" hidden="false" customHeight="false" outlineLevel="0" collapsed="false">
      <c r="L127" s="33" t="str">
        <f aca="false">IF($B127="","",IFERROR(INDEX('Code Mapping'!$D$5:$D$1753,MATCH($B127,'Code Mapping'!$A$5:$A$1753,0)),"Unmapped"))</f>
        <v/>
      </c>
      <c r="M127" s="33" t="str">
        <f aca="false">IF($B127="","",IFERROR(INDEX('Code Mapping'!$E$5:$E$1753,MATCH($B127,'Code Mapping'!$A$5:$A$1753,0)),"Unmapped"))</f>
        <v/>
      </c>
      <c r="N127" s="33" t="str">
        <f aca="false">IF($F127="","",$F127)</f>
        <v/>
      </c>
    </row>
    <row r="128" customFormat="false" ht="15" hidden="false" customHeight="false" outlineLevel="0" collapsed="false">
      <c r="L128" s="33" t="str">
        <f aca="false">IF($B128="","",IFERROR(INDEX('Code Mapping'!$D$5:$D$1753,MATCH($B128,'Code Mapping'!$A$5:$A$1753,0)),"Unmapped"))</f>
        <v/>
      </c>
      <c r="M128" s="33" t="str">
        <f aca="false">IF($B128="","",IFERROR(INDEX('Code Mapping'!$E$5:$E$1753,MATCH($B128,'Code Mapping'!$A$5:$A$1753,0)),"Unmapped"))</f>
        <v/>
      </c>
      <c r="N128" s="33" t="str">
        <f aca="false">IF($F128="","",$F128)</f>
        <v/>
      </c>
    </row>
    <row r="129" customFormat="false" ht="15" hidden="false" customHeight="false" outlineLevel="0" collapsed="false">
      <c r="L129" s="33" t="str">
        <f aca="false">IF($B129="","",IFERROR(INDEX('Code Mapping'!$D$5:$D$1753,MATCH($B129,'Code Mapping'!$A$5:$A$1753,0)),"Unmapped"))</f>
        <v/>
      </c>
      <c r="M129" s="33" t="str">
        <f aca="false">IF($B129="","",IFERROR(INDEX('Code Mapping'!$E$5:$E$1753,MATCH($B129,'Code Mapping'!$A$5:$A$1753,0)),"Unmapped"))</f>
        <v/>
      </c>
      <c r="N129" s="33" t="str">
        <f aca="false">IF($F129="","",$F129)</f>
        <v/>
      </c>
    </row>
    <row r="130" customFormat="false" ht="15" hidden="false" customHeight="false" outlineLevel="0" collapsed="false">
      <c r="L130" s="33" t="str">
        <f aca="false">IF($B130="","",IFERROR(INDEX('Code Mapping'!$D$5:$D$1753,MATCH($B130,'Code Mapping'!$A$5:$A$1753,0)),"Unmapped"))</f>
        <v/>
      </c>
      <c r="M130" s="33" t="str">
        <f aca="false">IF($B130="","",IFERROR(INDEX('Code Mapping'!$E$5:$E$1753,MATCH($B130,'Code Mapping'!$A$5:$A$1753,0)),"Unmapped"))</f>
        <v/>
      </c>
      <c r="N130" s="33" t="str">
        <f aca="false">IF($F130="","",$F130)</f>
        <v/>
      </c>
    </row>
    <row r="131" customFormat="false" ht="15" hidden="false" customHeight="false" outlineLevel="0" collapsed="false">
      <c r="L131" s="33" t="str">
        <f aca="false">IF($B131="","",IFERROR(INDEX('Code Mapping'!$D$5:$D$1753,MATCH($B131,'Code Mapping'!$A$5:$A$1753,0)),"Unmapped"))</f>
        <v/>
      </c>
      <c r="M131" s="33" t="str">
        <f aca="false">IF($B131="","",IFERROR(INDEX('Code Mapping'!$E$5:$E$1753,MATCH($B131,'Code Mapping'!$A$5:$A$1753,0)),"Unmapped"))</f>
        <v/>
      </c>
      <c r="N131" s="33" t="str">
        <f aca="false">IF($F131="","",$F131)</f>
        <v/>
      </c>
    </row>
    <row r="132" customFormat="false" ht="15" hidden="false" customHeight="false" outlineLevel="0" collapsed="false">
      <c r="L132" s="33" t="str">
        <f aca="false">IF($B132="","",IFERROR(INDEX('Code Mapping'!$D$5:$D$1753,MATCH($B132,'Code Mapping'!$A$5:$A$1753,0)),"Unmapped"))</f>
        <v/>
      </c>
      <c r="M132" s="33" t="str">
        <f aca="false">IF($B132="","",IFERROR(INDEX('Code Mapping'!$E$5:$E$1753,MATCH($B132,'Code Mapping'!$A$5:$A$1753,0)),"Unmapped"))</f>
        <v/>
      </c>
      <c r="N132" s="33" t="str">
        <f aca="false">IF($F132="","",$F132)</f>
        <v/>
      </c>
    </row>
    <row r="133" customFormat="false" ht="15" hidden="false" customHeight="false" outlineLevel="0" collapsed="false">
      <c r="L133" s="33" t="str">
        <f aca="false">IF($B133="","",IFERROR(INDEX('Code Mapping'!$D$5:$D$1753,MATCH($B133,'Code Mapping'!$A$5:$A$1753,0)),"Unmapped"))</f>
        <v/>
      </c>
      <c r="M133" s="33" t="str">
        <f aca="false">IF($B133="","",IFERROR(INDEX('Code Mapping'!$E$5:$E$1753,MATCH($B133,'Code Mapping'!$A$5:$A$1753,0)),"Unmapped"))</f>
        <v/>
      </c>
      <c r="N133" s="33" t="str">
        <f aca="false">IF($F133="","",$F133)</f>
        <v/>
      </c>
    </row>
    <row r="134" customFormat="false" ht="15" hidden="false" customHeight="false" outlineLevel="0" collapsed="false">
      <c r="L134" s="33" t="str">
        <f aca="false">IF($B134="","",IFERROR(INDEX('Code Mapping'!$D$5:$D$1753,MATCH($B134,'Code Mapping'!$A$5:$A$1753,0)),"Unmapped"))</f>
        <v/>
      </c>
      <c r="M134" s="33" t="str">
        <f aca="false">IF($B134="","",IFERROR(INDEX('Code Mapping'!$E$5:$E$1753,MATCH($B134,'Code Mapping'!$A$5:$A$1753,0)),"Unmapped"))</f>
        <v/>
      </c>
      <c r="N134" s="33" t="str">
        <f aca="false">IF($F134="","",$F134)</f>
        <v/>
      </c>
    </row>
    <row r="135" customFormat="false" ht="15" hidden="false" customHeight="false" outlineLevel="0" collapsed="false">
      <c r="L135" s="33" t="str">
        <f aca="false">IF($B135="","",IFERROR(INDEX('Code Mapping'!$D$5:$D$1753,MATCH($B135,'Code Mapping'!$A$5:$A$1753,0)),"Unmapped"))</f>
        <v/>
      </c>
      <c r="M135" s="33" t="str">
        <f aca="false">IF($B135="","",IFERROR(INDEX('Code Mapping'!$E$5:$E$1753,MATCH($B135,'Code Mapping'!$A$5:$A$1753,0)),"Unmapped"))</f>
        <v/>
      </c>
      <c r="N135" s="33" t="str">
        <f aca="false">IF($F135="","",$F135)</f>
        <v/>
      </c>
    </row>
    <row r="136" customFormat="false" ht="15" hidden="false" customHeight="false" outlineLevel="0" collapsed="false">
      <c r="L136" s="33" t="str">
        <f aca="false">IF($B136="","",IFERROR(INDEX('Code Mapping'!$D$5:$D$1753,MATCH($B136,'Code Mapping'!$A$5:$A$1753,0)),"Unmapped"))</f>
        <v/>
      </c>
      <c r="M136" s="33" t="str">
        <f aca="false">IF($B136="","",IFERROR(INDEX('Code Mapping'!$E$5:$E$1753,MATCH($B136,'Code Mapping'!$A$5:$A$1753,0)),"Unmapped"))</f>
        <v/>
      </c>
      <c r="N136" s="33" t="str">
        <f aca="false">IF($F136="","",$F136)</f>
        <v/>
      </c>
    </row>
    <row r="137" customFormat="false" ht="15" hidden="false" customHeight="false" outlineLevel="0" collapsed="false">
      <c r="L137" s="33" t="str">
        <f aca="false">IF($B137="","",IFERROR(INDEX('Code Mapping'!$D$5:$D$1753,MATCH($B137,'Code Mapping'!$A$5:$A$1753,0)),"Unmapped"))</f>
        <v/>
      </c>
      <c r="M137" s="33" t="str">
        <f aca="false">IF($B137="","",IFERROR(INDEX('Code Mapping'!$E$5:$E$1753,MATCH($B137,'Code Mapping'!$A$5:$A$1753,0)),"Unmapped"))</f>
        <v/>
      </c>
      <c r="N137" s="33" t="str">
        <f aca="false">IF($F137="","",$F137)</f>
        <v/>
      </c>
    </row>
    <row r="138" customFormat="false" ht="15" hidden="false" customHeight="false" outlineLevel="0" collapsed="false">
      <c r="L138" s="33" t="str">
        <f aca="false">IF($B138="","",IFERROR(INDEX('Code Mapping'!$D$5:$D$1753,MATCH($B138,'Code Mapping'!$A$5:$A$1753,0)),"Unmapped"))</f>
        <v/>
      </c>
      <c r="M138" s="33" t="str">
        <f aca="false">IF($B138="","",IFERROR(INDEX('Code Mapping'!$E$5:$E$1753,MATCH($B138,'Code Mapping'!$A$5:$A$1753,0)),"Unmapped"))</f>
        <v/>
      </c>
      <c r="N138" s="33" t="str">
        <f aca="false">IF($F138="","",$F138)</f>
        <v/>
      </c>
    </row>
    <row r="139" customFormat="false" ht="15" hidden="false" customHeight="false" outlineLevel="0" collapsed="false">
      <c r="L139" s="33" t="str">
        <f aca="false">IF($B139="","",IFERROR(INDEX('Code Mapping'!$D$5:$D$1753,MATCH($B139,'Code Mapping'!$A$5:$A$1753,0)),"Unmapped"))</f>
        <v/>
      </c>
      <c r="M139" s="33" t="str">
        <f aca="false">IF($B139="","",IFERROR(INDEX('Code Mapping'!$E$5:$E$1753,MATCH($B139,'Code Mapping'!$A$5:$A$1753,0)),"Unmapped"))</f>
        <v/>
      </c>
      <c r="N139" s="33" t="str">
        <f aca="false">IF($F139="","",$F139)</f>
        <v/>
      </c>
    </row>
    <row r="140" customFormat="false" ht="15" hidden="false" customHeight="false" outlineLevel="0" collapsed="false">
      <c r="L140" s="33" t="str">
        <f aca="false">IF($B140="","",IFERROR(INDEX('Code Mapping'!$D$5:$D$1753,MATCH($B140,'Code Mapping'!$A$5:$A$1753,0)),"Unmapped"))</f>
        <v/>
      </c>
      <c r="M140" s="33" t="str">
        <f aca="false">IF($B140="","",IFERROR(INDEX('Code Mapping'!$E$5:$E$1753,MATCH($B140,'Code Mapping'!$A$5:$A$1753,0)),"Unmapped"))</f>
        <v/>
      </c>
      <c r="N140" s="33" t="str">
        <f aca="false">IF($F140="","",$F140)</f>
        <v/>
      </c>
    </row>
    <row r="141" customFormat="false" ht="15" hidden="false" customHeight="false" outlineLevel="0" collapsed="false">
      <c r="L141" s="33" t="str">
        <f aca="false">IF($B141="","",IFERROR(INDEX('Code Mapping'!$D$5:$D$1753,MATCH($B141,'Code Mapping'!$A$5:$A$1753,0)),"Unmapped"))</f>
        <v/>
      </c>
      <c r="M141" s="33" t="str">
        <f aca="false">IF($B141="","",IFERROR(INDEX('Code Mapping'!$E$5:$E$1753,MATCH($B141,'Code Mapping'!$A$5:$A$1753,0)),"Unmapped"))</f>
        <v/>
      </c>
      <c r="N141" s="33" t="str">
        <f aca="false">IF($F141="","",$F141)</f>
        <v/>
      </c>
    </row>
    <row r="142" customFormat="false" ht="15" hidden="false" customHeight="false" outlineLevel="0" collapsed="false">
      <c r="L142" s="33" t="str">
        <f aca="false">IF($B142="","",IFERROR(INDEX('Code Mapping'!$D$5:$D$1753,MATCH($B142,'Code Mapping'!$A$5:$A$1753,0)),"Unmapped"))</f>
        <v/>
      </c>
      <c r="M142" s="33" t="str">
        <f aca="false">IF($B142="","",IFERROR(INDEX('Code Mapping'!$E$5:$E$1753,MATCH($B142,'Code Mapping'!$A$5:$A$1753,0)),"Unmapped"))</f>
        <v/>
      </c>
      <c r="N142" s="33" t="str">
        <f aca="false">IF($F142="","",$F142)</f>
        <v/>
      </c>
    </row>
    <row r="143" customFormat="false" ht="15" hidden="false" customHeight="false" outlineLevel="0" collapsed="false">
      <c r="L143" s="33" t="str">
        <f aca="false">IF($B143="","",IFERROR(INDEX('Code Mapping'!$D$5:$D$1753,MATCH($B143,'Code Mapping'!$A$5:$A$1753,0)),"Unmapped"))</f>
        <v/>
      </c>
      <c r="M143" s="33" t="str">
        <f aca="false">IF($B143="","",IFERROR(INDEX('Code Mapping'!$E$5:$E$1753,MATCH($B143,'Code Mapping'!$A$5:$A$1753,0)),"Unmapped"))</f>
        <v/>
      </c>
      <c r="N143" s="33" t="str">
        <f aca="false">IF($F143="","",$F143)</f>
        <v/>
      </c>
    </row>
    <row r="144" customFormat="false" ht="15" hidden="false" customHeight="false" outlineLevel="0" collapsed="false">
      <c r="L144" s="33" t="str">
        <f aca="false">IF($B144="","",IFERROR(INDEX('Code Mapping'!$D$5:$D$1753,MATCH($B144,'Code Mapping'!$A$5:$A$1753,0)),"Unmapped"))</f>
        <v/>
      </c>
      <c r="M144" s="33" t="str">
        <f aca="false">IF($B144="","",IFERROR(INDEX('Code Mapping'!$E$5:$E$1753,MATCH($B144,'Code Mapping'!$A$5:$A$1753,0)),"Unmapped"))</f>
        <v/>
      </c>
      <c r="N144" s="33" t="str">
        <f aca="false">IF($F144="","",$F144)</f>
        <v/>
      </c>
    </row>
    <row r="145" customFormat="false" ht="15" hidden="false" customHeight="false" outlineLevel="0" collapsed="false">
      <c r="L145" s="33" t="str">
        <f aca="false">IF($B145="","",IFERROR(INDEX('Code Mapping'!$D$5:$D$1753,MATCH($B145,'Code Mapping'!$A$5:$A$1753,0)),"Unmapped"))</f>
        <v/>
      </c>
      <c r="M145" s="33" t="str">
        <f aca="false">IF($B145="","",IFERROR(INDEX('Code Mapping'!$E$5:$E$1753,MATCH($B145,'Code Mapping'!$A$5:$A$1753,0)),"Unmapped"))</f>
        <v/>
      </c>
      <c r="N145" s="33" t="str">
        <f aca="false">IF($F145="","",$F145)</f>
        <v/>
      </c>
    </row>
    <row r="146" customFormat="false" ht="15" hidden="false" customHeight="false" outlineLevel="0" collapsed="false">
      <c r="L146" s="33" t="str">
        <f aca="false">IF($B146="","",IFERROR(INDEX('Code Mapping'!$D$5:$D$1753,MATCH($B146,'Code Mapping'!$A$5:$A$1753,0)),"Unmapped"))</f>
        <v/>
      </c>
      <c r="M146" s="33" t="str">
        <f aca="false">IF($B146="","",IFERROR(INDEX('Code Mapping'!$E$5:$E$1753,MATCH($B146,'Code Mapping'!$A$5:$A$1753,0)),"Unmapped"))</f>
        <v/>
      </c>
      <c r="N146" s="33" t="str">
        <f aca="false">IF($F146="","",$F146)</f>
        <v/>
      </c>
    </row>
    <row r="147" customFormat="false" ht="15" hidden="false" customHeight="false" outlineLevel="0" collapsed="false">
      <c r="L147" s="33" t="str">
        <f aca="false">IF($B147="","",IFERROR(INDEX('Code Mapping'!$D$5:$D$1753,MATCH($B147,'Code Mapping'!$A$5:$A$1753,0)),"Unmapped"))</f>
        <v/>
      </c>
      <c r="M147" s="33" t="str">
        <f aca="false">IF($B147="","",IFERROR(INDEX('Code Mapping'!$E$5:$E$1753,MATCH($B147,'Code Mapping'!$A$5:$A$1753,0)),"Unmapped"))</f>
        <v/>
      </c>
      <c r="N147" s="33" t="str">
        <f aca="false">IF($F147="","",$F147)</f>
        <v/>
      </c>
    </row>
    <row r="148" customFormat="false" ht="15" hidden="false" customHeight="false" outlineLevel="0" collapsed="false">
      <c r="L148" s="33" t="str">
        <f aca="false">IF($B148="","",IFERROR(INDEX('Code Mapping'!$D$5:$D$1753,MATCH($B148,'Code Mapping'!$A$5:$A$1753,0)),"Unmapped"))</f>
        <v/>
      </c>
      <c r="M148" s="33" t="str">
        <f aca="false">IF($B148="","",IFERROR(INDEX('Code Mapping'!$E$5:$E$1753,MATCH($B148,'Code Mapping'!$A$5:$A$1753,0)),"Unmapped"))</f>
        <v/>
      </c>
      <c r="N148" s="33" t="str">
        <f aca="false">IF($F148="","",$F148)</f>
        <v/>
      </c>
    </row>
    <row r="149" customFormat="false" ht="15" hidden="false" customHeight="false" outlineLevel="0" collapsed="false">
      <c r="L149" s="33" t="str">
        <f aca="false">IF($B149="","",IFERROR(INDEX('Code Mapping'!$D$5:$D$1753,MATCH($B149,'Code Mapping'!$A$5:$A$1753,0)),"Unmapped"))</f>
        <v/>
      </c>
      <c r="M149" s="33" t="str">
        <f aca="false">IF($B149="","",IFERROR(INDEX('Code Mapping'!$E$5:$E$1753,MATCH($B149,'Code Mapping'!$A$5:$A$1753,0)),"Unmapped"))</f>
        <v/>
      </c>
      <c r="N149" s="33" t="str">
        <f aca="false">IF($F149="","",$F149)</f>
        <v/>
      </c>
    </row>
    <row r="150" customFormat="false" ht="15" hidden="false" customHeight="false" outlineLevel="0" collapsed="false">
      <c r="L150" s="33" t="str">
        <f aca="false">IF($B150="","",IFERROR(INDEX('Code Mapping'!$D$5:$D$1753,MATCH($B150,'Code Mapping'!$A$5:$A$1753,0)),"Unmapped"))</f>
        <v/>
      </c>
      <c r="M150" s="33" t="str">
        <f aca="false">IF($B150="","",IFERROR(INDEX('Code Mapping'!$E$5:$E$1753,MATCH($B150,'Code Mapping'!$A$5:$A$1753,0)),"Unmapped"))</f>
        <v/>
      </c>
      <c r="N150" s="33" t="str">
        <f aca="false">IF($F150="","",$F150)</f>
        <v/>
      </c>
    </row>
    <row r="151" customFormat="false" ht="15" hidden="false" customHeight="false" outlineLevel="0" collapsed="false">
      <c r="L151" s="33" t="str">
        <f aca="false">IF($B151="","",IFERROR(INDEX('Code Mapping'!$D$5:$D$1753,MATCH($B151,'Code Mapping'!$A$5:$A$1753,0)),"Unmapped"))</f>
        <v/>
      </c>
      <c r="M151" s="33" t="str">
        <f aca="false">IF($B151="","",IFERROR(INDEX('Code Mapping'!$E$5:$E$1753,MATCH($B151,'Code Mapping'!$A$5:$A$1753,0)),"Unmapped"))</f>
        <v/>
      </c>
      <c r="N151" s="33" t="str">
        <f aca="false">IF($F151="","",$F151)</f>
        <v/>
      </c>
    </row>
    <row r="152" customFormat="false" ht="15" hidden="false" customHeight="false" outlineLevel="0" collapsed="false">
      <c r="L152" s="33" t="str">
        <f aca="false">IF($B152="","",IFERROR(INDEX('Code Mapping'!$D$5:$D$1753,MATCH($B152,'Code Mapping'!$A$5:$A$1753,0)),"Unmapped"))</f>
        <v/>
      </c>
      <c r="M152" s="33" t="str">
        <f aca="false">IF($B152="","",IFERROR(INDEX('Code Mapping'!$E$5:$E$1753,MATCH($B152,'Code Mapping'!$A$5:$A$1753,0)),"Unmapped"))</f>
        <v/>
      </c>
      <c r="N152" s="33" t="str">
        <f aca="false">IF($F152="","",$F152)</f>
        <v/>
      </c>
    </row>
    <row r="153" customFormat="false" ht="15" hidden="false" customHeight="false" outlineLevel="0" collapsed="false">
      <c r="L153" s="33" t="str">
        <f aca="false">IF($B153="","",IFERROR(INDEX('Code Mapping'!$D$5:$D$1753,MATCH($B153,'Code Mapping'!$A$5:$A$1753,0)),"Unmapped"))</f>
        <v/>
      </c>
      <c r="M153" s="33" t="str">
        <f aca="false">IF($B153="","",IFERROR(INDEX('Code Mapping'!$E$5:$E$1753,MATCH($B153,'Code Mapping'!$A$5:$A$1753,0)),"Unmapped"))</f>
        <v/>
      </c>
      <c r="N153" s="33" t="str">
        <f aca="false">IF($F153="","",$F153)</f>
        <v/>
      </c>
    </row>
    <row r="154" customFormat="false" ht="15" hidden="false" customHeight="false" outlineLevel="0" collapsed="false">
      <c r="L154" s="33" t="str">
        <f aca="false">IF($B154="","",IFERROR(INDEX('Code Mapping'!$D$5:$D$1753,MATCH($B154,'Code Mapping'!$A$5:$A$1753,0)),"Unmapped"))</f>
        <v/>
      </c>
      <c r="M154" s="33" t="str">
        <f aca="false">IF($B154="","",IFERROR(INDEX('Code Mapping'!$E$5:$E$1753,MATCH($B154,'Code Mapping'!$A$5:$A$1753,0)),"Unmapped"))</f>
        <v/>
      </c>
      <c r="N154" s="33" t="str">
        <f aca="false">IF($F154="","",$F154)</f>
        <v/>
      </c>
    </row>
    <row r="155" customFormat="false" ht="15" hidden="false" customHeight="false" outlineLevel="0" collapsed="false">
      <c r="L155" s="33" t="str">
        <f aca="false">IF($B155="","",IFERROR(INDEX('Code Mapping'!$D$5:$D$1753,MATCH($B155,'Code Mapping'!$A$5:$A$1753,0)),"Unmapped"))</f>
        <v/>
      </c>
      <c r="M155" s="33" t="str">
        <f aca="false">IF($B155="","",IFERROR(INDEX('Code Mapping'!$E$5:$E$1753,MATCH($B155,'Code Mapping'!$A$5:$A$1753,0)),"Unmapped"))</f>
        <v/>
      </c>
      <c r="N155" s="33" t="str">
        <f aca="false">IF($F155="","",$F155)</f>
        <v/>
      </c>
    </row>
    <row r="156" customFormat="false" ht="15" hidden="false" customHeight="false" outlineLevel="0" collapsed="false">
      <c r="L156" s="33" t="str">
        <f aca="false">IF($B156="","",IFERROR(INDEX('Code Mapping'!$D$5:$D$1753,MATCH($B156,'Code Mapping'!$A$5:$A$1753,0)),"Unmapped"))</f>
        <v/>
      </c>
      <c r="M156" s="33" t="str">
        <f aca="false">IF($B156="","",IFERROR(INDEX('Code Mapping'!$E$5:$E$1753,MATCH($B156,'Code Mapping'!$A$5:$A$1753,0)),"Unmapped"))</f>
        <v/>
      </c>
      <c r="N156" s="33" t="str">
        <f aca="false">IF($F156="","",$F156)</f>
        <v/>
      </c>
    </row>
    <row r="157" customFormat="false" ht="15" hidden="false" customHeight="false" outlineLevel="0" collapsed="false">
      <c r="L157" s="33" t="str">
        <f aca="false">IF($B157="","",IFERROR(INDEX('Code Mapping'!$D$5:$D$1753,MATCH($B157,'Code Mapping'!$A$5:$A$1753,0)),"Unmapped"))</f>
        <v/>
      </c>
      <c r="M157" s="33" t="str">
        <f aca="false">IF($B157="","",IFERROR(INDEX('Code Mapping'!$E$5:$E$1753,MATCH($B157,'Code Mapping'!$A$5:$A$1753,0)),"Unmapped"))</f>
        <v/>
      </c>
      <c r="N157" s="33" t="str">
        <f aca="false">IF($F157="","",$F157)</f>
        <v/>
      </c>
    </row>
    <row r="158" customFormat="false" ht="15" hidden="false" customHeight="false" outlineLevel="0" collapsed="false">
      <c r="L158" s="33" t="str">
        <f aca="false">IF($B158="","",IFERROR(INDEX('Code Mapping'!$D$5:$D$1753,MATCH($B158,'Code Mapping'!$A$5:$A$1753,0)),"Unmapped"))</f>
        <v/>
      </c>
      <c r="M158" s="33" t="str">
        <f aca="false">IF($B158="","",IFERROR(INDEX('Code Mapping'!$E$5:$E$1753,MATCH($B158,'Code Mapping'!$A$5:$A$1753,0)),"Unmapped"))</f>
        <v/>
      </c>
      <c r="N158" s="33" t="str">
        <f aca="false">IF($F158="","",$F158)</f>
        <v/>
      </c>
    </row>
    <row r="159" customFormat="false" ht="15" hidden="false" customHeight="false" outlineLevel="0" collapsed="false">
      <c r="L159" s="33" t="str">
        <f aca="false">IF($B159="","",IFERROR(INDEX('Code Mapping'!$D$5:$D$1753,MATCH($B159,'Code Mapping'!$A$5:$A$1753,0)),"Unmapped"))</f>
        <v/>
      </c>
      <c r="M159" s="33" t="str">
        <f aca="false">IF($B159="","",IFERROR(INDEX('Code Mapping'!$E$5:$E$1753,MATCH($B159,'Code Mapping'!$A$5:$A$1753,0)),"Unmapped"))</f>
        <v/>
      </c>
      <c r="N159" s="33" t="str">
        <f aca="false">IF($F159="","",$F159)</f>
        <v/>
      </c>
    </row>
    <row r="160" customFormat="false" ht="15" hidden="false" customHeight="false" outlineLevel="0" collapsed="false">
      <c r="L160" s="33" t="str">
        <f aca="false">IF($B160="","",IFERROR(INDEX('Code Mapping'!$D$5:$D$1753,MATCH($B160,'Code Mapping'!$A$5:$A$1753,0)),"Unmapped"))</f>
        <v/>
      </c>
      <c r="M160" s="33" t="str">
        <f aca="false">IF($B160="","",IFERROR(INDEX('Code Mapping'!$E$5:$E$1753,MATCH($B160,'Code Mapping'!$A$5:$A$1753,0)),"Unmapped"))</f>
        <v/>
      </c>
      <c r="N160" s="33" t="str">
        <f aca="false">IF($F160="","",$F160)</f>
        <v/>
      </c>
    </row>
    <row r="161" customFormat="false" ht="15" hidden="false" customHeight="false" outlineLevel="0" collapsed="false">
      <c r="L161" s="33" t="str">
        <f aca="false">IF($B161="","",IFERROR(INDEX('Code Mapping'!$D$5:$D$1753,MATCH($B161,'Code Mapping'!$A$5:$A$1753,0)),"Unmapped"))</f>
        <v/>
      </c>
      <c r="M161" s="33" t="str">
        <f aca="false">IF($B161="","",IFERROR(INDEX('Code Mapping'!$E$5:$E$1753,MATCH($B161,'Code Mapping'!$A$5:$A$1753,0)),"Unmapped"))</f>
        <v/>
      </c>
      <c r="N161" s="33" t="str">
        <f aca="false">IF($F161="","",$F161)</f>
        <v/>
      </c>
    </row>
    <row r="162" customFormat="false" ht="15" hidden="false" customHeight="false" outlineLevel="0" collapsed="false">
      <c r="L162" s="33" t="str">
        <f aca="false">IF($B162="","",IFERROR(INDEX('Code Mapping'!$D$5:$D$1753,MATCH($B162,'Code Mapping'!$A$5:$A$1753,0)),"Unmapped"))</f>
        <v/>
      </c>
      <c r="M162" s="33" t="str">
        <f aca="false">IF($B162="","",IFERROR(INDEX('Code Mapping'!$E$5:$E$1753,MATCH($B162,'Code Mapping'!$A$5:$A$1753,0)),"Unmapped"))</f>
        <v/>
      </c>
      <c r="N162" s="33" t="str">
        <f aca="false">IF($F162="","",$F162)</f>
        <v/>
      </c>
    </row>
    <row r="163" customFormat="false" ht="15" hidden="false" customHeight="false" outlineLevel="0" collapsed="false">
      <c r="L163" s="33" t="str">
        <f aca="false">IF($B163="","",IFERROR(INDEX('Code Mapping'!$D$5:$D$1753,MATCH($B163,'Code Mapping'!$A$5:$A$1753,0)),"Unmapped"))</f>
        <v/>
      </c>
      <c r="M163" s="33" t="str">
        <f aca="false">IF($B163="","",IFERROR(INDEX('Code Mapping'!$E$5:$E$1753,MATCH($B163,'Code Mapping'!$A$5:$A$1753,0)),"Unmapped"))</f>
        <v/>
      </c>
      <c r="N163" s="33" t="str">
        <f aca="false">IF($F163="","",$F163)</f>
        <v/>
      </c>
    </row>
    <row r="164" customFormat="false" ht="15" hidden="false" customHeight="false" outlineLevel="0" collapsed="false">
      <c r="L164" s="33" t="str">
        <f aca="false">IF($B164="","",IFERROR(INDEX('Code Mapping'!$D$5:$D$1753,MATCH($B164,'Code Mapping'!$A$5:$A$1753,0)),"Unmapped"))</f>
        <v/>
      </c>
      <c r="M164" s="33" t="str">
        <f aca="false">IF($B164="","",IFERROR(INDEX('Code Mapping'!$E$5:$E$1753,MATCH($B164,'Code Mapping'!$A$5:$A$1753,0)),"Unmapped"))</f>
        <v/>
      </c>
      <c r="N164" s="33" t="str">
        <f aca="false">IF($F164="","",$F164)</f>
        <v/>
      </c>
    </row>
    <row r="165" customFormat="false" ht="15" hidden="false" customHeight="false" outlineLevel="0" collapsed="false">
      <c r="L165" s="33" t="str">
        <f aca="false">IF($B165="","",IFERROR(INDEX('Code Mapping'!$D$5:$D$1753,MATCH($B165,'Code Mapping'!$A$5:$A$1753,0)),"Unmapped"))</f>
        <v/>
      </c>
      <c r="M165" s="33" t="str">
        <f aca="false">IF($B165="","",IFERROR(INDEX('Code Mapping'!$E$5:$E$1753,MATCH($B165,'Code Mapping'!$A$5:$A$1753,0)),"Unmapped"))</f>
        <v/>
      </c>
      <c r="N165" s="33" t="str">
        <f aca="false">IF($F165="","",$F165)</f>
        <v/>
      </c>
    </row>
    <row r="166" customFormat="false" ht="15" hidden="false" customHeight="false" outlineLevel="0" collapsed="false">
      <c r="L166" s="33" t="str">
        <f aca="false">IF($B166="","",IFERROR(INDEX('Code Mapping'!$D$5:$D$1753,MATCH($B166,'Code Mapping'!$A$5:$A$1753,0)),"Unmapped"))</f>
        <v/>
      </c>
      <c r="M166" s="33" t="str">
        <f aca="false">IF($B166="","",IFERROR(INDEX('Code Mapping'!$E$5:$E$1753,MATCH($B166,'Code Mapping'!$A$5:$A$1753,0)),"Unmapped"))</f>
        <v/>
      </c>
      <c r="N166" s="33" t="str">
        <f aca="false">IF($F166="","",$F166)</f>
        <v/>
      </c>
    </row>
    <row r="167" customFormat="false" ht="15" hidden="false" customHeight="false" outlineLevel="0" collapsed="false">
      <c r="L167" s="33" t="str">
        <f aca="false">IF($B167="","",IFERROR(INDEX('Code Mapping'!$D$5:$D$1753,MATCH($B167,'Code Mapping'!$A$5:$A$1753,0)),"Unmapped"))</f>
        <v/>
      </c>
      <c r="M167" s="33" t="str">
        <f aca="false">IF($B167="","",IFERROR(INDEX('Code Mapping'!$E$5:$E$1753,MATCH($B167,'Code Mapping'!$A$5:$A$1753,0)),"Unmapped"))</f>
        <v/>
      </c>
      <c r="N167" s="33" t="str">
        <f aca="false">IF($F167="","",$F167)</f>
        <v/>
      </c>
    </row>
    <row r="168" customFormat="false" ht="15" hidden="false" customHeight="false" outlineLevel="0" collapsed="false">
      <c r="L168" s="33" t="str">
        <f aca="false">IF($B168="","",IFERROR(INDEX('Code Mapping'!$D$5:$D$1753,MATCH($B168,'Code Mapping'!$A$5:$A$1753,0)),"Unmapped"))</f>
        <v/>
      </c>
      <c r="M168" s="33" t="str">
        <f aca="false">IF($B168="","",IFERROR(INDEX('Code Mapping'!$E$5:$E$1753,MATCH($B168,'Code Mapping'!$A$5:$A$1753,0)),"Unmapped"))</f>
        <v/>
      </c>
      <c r="N168" s="33" t="str">
        <f aca="false">IF($F168="","",$F168)</f>
        <v/>
      </c>
    </row>
    <row r="169" customFormat="false" ht="15" hidden="false" customHeight="false" outlineLevel="0" collapsed="false">
      <c r="L169" s="33" t="str">
        <f aca="false">IF($B169="","",IFERROR(INDEX('Code Mapping'!$D$5:$D$1753,MATCH($B169,'Code Mapping'!$A$5:$A$1753,0)),"Unmapped"))</f>
        <v/>
      </c>
      <c r="M169" s="33" t="str">
        <f aca="false">IF($B169="","",IFERROR(INDEX('Code Mapping'!$E$5:$E$1753,MATCH($B169,'Code Mapping'!$A$5:$A$1753,0)),"Unmapped"))</f>
        <v/>
      </c>
      <c r="N169" s="33" t="str">
        <f aca="false">IF($F169="","",$F169)</f>
        <v/>
      </c>
    </row>
    <row r="170" customFormat="false" ht="15" hidden="false" customHeight="false" outlineLevel="0" collapsed="false">
      <c r="L170" s="33" t="str">
        <f aca="false">IF($B170="","",IFERROR(INDEX('Code Mapping'!$D$5:$D$1753,MATCH($B170,'Code Mapping'!$A$5:$A$1753,0)),"Unmapped"))</f>
        <v/>
      </c>
      <c r="M170" s="33" t="str">
        <f aca="false">IF($B170="","",IFERROR(INDEX('Code Mapping'!$E$5:$E$1753,MATCH($B170,'Code Mapping'!$A$5:$A$1753,0)),"Unmapped"))</f>
        <v/>
      </c>
      <c r="N170" s="33" t="str">
        <f aca="false">IF($F170="","",$F170)</f>
        <v/>
      </c>
    </row>
    <row r="171" customFormat="false" ht="15" hidden="false" customHeight="false" outlineLevel="0" collapsed="false">
      <c r="L171" s="33" t="str">
        <f aca="false">IF($B171="","",IFERROR(INDEX('Code Mapping'!$D$5:$D$1753,MATCH($B171,'Code Mapping'!$A$5:$A$1753,0)),"Unmapped"))</f>
        <v/>
      </c>
      <c r="M171" s="33" t="str">
        <f aca="false">IF($B171="","",IFERROR(INDEX('Code Mapping'!$E$5:$E$1753,MATCH($B171,'Code Mapping'!$A$5:$A$1753,0)),"Unmapped"))</f>
        <v/>
      </c>
      <c r="N171" s="33" t="str">
        <f aca="false">IF($F171="","",$F171)</f>
        <v/>
      </c>
    </row>
    <row r="172" customFormat="false" ht="15" hidden="false" customHeight="false" outlineLevel="0" collapsed="false">
      <c r="L172" s="33" t="str">
        <f aca="false">IF($B172="","",IFERROR(INDEX('Code Mapping'!$D$5:$D$1753,MATCH($B172,'Code Mapping'!$A$5:$A$1753,0)),"Unmapped"))</f>
        <v/>
      </c>
      <c r="M172" s="33" t="str">
        <f aca="false">IF($B172="","",IFERROR(INDEX('Code Mapping'!$E$5:$E$1753,MATCH($B172,'Code Mapping'!$A$5:$A$1753,0)),"Unmapped"))</f>
        <v/>
      </c>
      <c r="N172" s="33" t="str">
        <f aca="false">IF($F172="","",$F172)</f>
        <v/>
      </c>
    </row>
    <row r="173" customFormat="false" ht="15" hidden="false" customHeight="false" outlineLevel="0" collapsed="false">
      <c r="L173" s="33" t="str">
        <f aca="false">IF($B173="","",IFERROR(INDEX('Code Mapping'!$D$5:$D$1753,MATCH($B173,'Code Mapping'!$A$5:$A$1753,0)),"Unmapped"))</f>
        <v/>
      </c>
      <c r="M173" s="33" t="str">
        <f aca="false">IF($B173="","",IFERROR(INDEX('Code Mapping'!$E$5:$E$1753,MATCH($B173,'Code Mapping'!$A$5:$A$1753,0)),"Unmapped"))</f>
        <v/>
      </c>
      <c r="N173" s="33" t="str">
        <f aca="false">IF($F173="","",$F173)</f>
        <v/>
      </c>
    </row>
    <row r="174" customFormat="false" ht="15" hidden="false" customHeight="false" outlineLevel="0" collapsed="false">
      <c r="L174" s="33" t="str">
        <f aca="false">IF($B174="","",IFERROR(INDEX('Code Mapping'!$D$5:$D$1753,MATCH($B174,'Code Mapping'!$A$5:$A$1753,0)),"Unmapped"))</f>
        <v/>
      </c>
      <c r="M174" s="33" t="str">
        <f aca="false">IF($B174="","",IFERROR(INDEX('Code Mapping'!$E$5:$E$1753,MATCH($B174,'Code Mapping'!$A$5:$A$1753,0)),"Unmapped"))</f>
        <v/>
      </c>
      <c r="N174" s="33" t="str">
        <f aca="false">IF($F174="","",$F174)</f>
        <v/>
      </c>
    </row>
    <row r="175" customFormat="false" ht="15" hidden="false" customHeight="false" outlineLevel="0" collapsed="false">
      <c r="L175" s="33" t="str">
        <f aca="false">IF($B175="","",IFERROR(INDEX('Code Mapping'!$D$5:$D$1753,MATCH($B175,'Code Mapping'!$A$5:$A$1753,0)),"Unmapped"))</f>
        <v/>
      </c>
      <c r="M175" s="33" t="str">
        <f aca="false">IF($B175="","",IFERROR(INDEX('Code Mapping'!$E$5:$E$1753,MATCH($B175,'Code Mapping'!$A$5:$A$1753,0)),"Unmapped"))</f>
        <v/>
      </c>
      <c r="N175" s="33" t="str">
        <f aca="false">IF($F175="","",$F175)</f>
        <v/>
      </c>
    </row>
    <row r="176" customFormat="false" ht="15" hidden="false" customHeight="false" outlineLevel="0" collapsed="false">
      <c r="L176" s="33" t="str">
        <f aca="false">IF($B176="","",IFERROR(INDEX('Code Mapping'!$D$5:$D$1753,MATCH($B176,'Code Mapping'!$A$5:$A$1753,0)),"Unmapped"))</f>
        <v/>
      </c>
      <c r="M176" s="33" t="str">
        <f aca="false">IF($B176="","",IFERROR(INDEX('Code Mapping'!$E$5:$E$1753,MATCH($B176,'Code Mapping'!$A$5:$A$1753,0)),"Unmapped"))</f>
        <v/>
      </c>
      <c r="N176" s="33" t="str">
        <f aca="false">IF($F176="","",$F176)</f>
        <v/>
      </c>
    </row>
    <row r="177" customFormat="false" ht="15" hidden="false" customHeight="false" outlineLevel="0" collapsed="false">
      <c r="L177" s="33" t="str">
        <f aca="false">IF($B177="","",IFERROR(INDEX('Code Mapping'!$D$5:$D$1753,MATCH($B177,'Code Mapping'!$A$5:$A$1753,0)),"Unmapped"))</f>
        <v/>
      </c>
      <c r="M177" s="33" t="str">
        <f aca="false">IF($B177="","",IFERROR(INDEX('Code Mapping'!$E$5:$E$1753,MATCH($B177,'Code Mapping'!$A$5:$A$1753,0)),"Unmapped"))</f>
        <v/>
      </c>
      <c r="N177" s="33" t="str">
        <f aca="false">IF($F177="","",$F177)</f>
        <v/>
      </c>
    </row>
    <row r="178" customFormat="false" ht="15" hidden="false" customHeight="false" outlineLevel="0" collapsed="false">
      <c r="L178" s="33" t="str">
        <f aca="false">IF($B178="","",IFERROR(INDEX('Code Mapping'!$D$5:$D$1753,MATCH($B178,'Code Mapping'!$A$5:$A$1753,0)),"Unmapped"))</f>
        <v/>
      </c>
      <c r="M178" s="33" t="str">
        <f aca="false">IF($B178="","",IFERROR(INDEX('Code Mapping'!$E$5:$E$1753,MATCH($B178,'Code Mapping'!$A$5:$A$1753,0)),"Unmapped"))</f>
        <v/>
      </c>
      <c r="N178" s="33" t="str">
        <f aca="false">IF($F178="","",$F178)</f>
        <v/>
      </c>
    </row>
    <row r="179" customFormat="false" ht="15" hidden="false" customHeight="false" outlineLevel="0" collapsed="false">
      <c r="L179" s="33" t="str">
        <f aca="false">IF($B179="","",IFERROR(INDEX('Code Mapping'!$D$5:$D$1753,MATCH($B179,'Code Mapping'!$A$5:$A$1753,0)),"Unmapped"))</f>
        <v/>
      </c>
      <c r="M179" s="33" t="str">
        <f aca="false">IF($B179="","",IFERROR(INDEX('Code Mapping'!$E$5:$E$1753,MATCH($B179,'Code Mapping'!$A$5:$A$1753,0)),"Unmapped"))</f>
        <v/>
      </c>
      <c r="N179" s="33" t="str">
        <f aca="false">IF($F179="","",$F179)</f>
        <v/>
      </c>
    </row>
    <row r="180" customFormat="false" ht="15" hidden="false" customHeight="false" outlineLevel="0" collapsed="false">
      <c r="L180" s="33" t="str">
        <f aca="false">IF($B180="","",IFERROR(INDEX('Code Mapping'!$D$5:$D$1753,MATCH($B180,'Code Mapping'!$A$5:$A$1753,0)),"Unmapped"))</f>
        <v/>
      </c>
      <c r="M180" s="33" t="str">
        <f aca="false">IF($B180="","",IFERROR(INDEX('Code Mapping'!$E$5:$E$1753,MATCH($B180,'Code Mapping'!$A$5:$A$1753,0)),"Unmapped"))</f>
        <v/>
      </c>
      <c r="N180" s="33" t="str">
        <f aca="false">IF($F180="","",$F180)</f>
        <v/>
      </c>
    </row>
    <row r="181" customFormat="false" ht="15" hidden="false" customHeight="false" outlineLevel="0" collapsed="false">
      <c r="L181" s="33" t="str">
        <f aca="false">IF($B181="","",IFERROR(INDEX('Code Mapping'!$D$5:$D$1753,MATCH($B181,'Code Mapping'!$A$5:$A$1753,0)),"Unmapped"))</f>
        <v/>
      </c>
      <c r="M181" s="33" t="str">
        <f aca="false">IF($B181="","",IFERROR(INDEX('Code Mapping'!$E$5:$E$1753,MATCH($B181,'Code Mapping'!$A$5:$A$1753,0)),"Unmapped"))</f>
        <v/>
      </c>
      <c r="N181" s="33" t="str">
        <f aca="false">IF($F181="","",$F181)</f>
        <v/>
      </c>
    </row>
    <row r="182" customFormat="false" ht="15" hidden="false" customHeight="false" outlineLevel="0" collapsed="false">
      <c r="L182" s="33" t="str">
        <f aca="false">IF($B182="","",IFERROR(INDEX('Code Mapping'!$D$5:$D$1753,MATCH($B182,'Code Mapping'!$A$5:$A$1753,0)),"Unmapped"))</f>
        <v/>
      </c>
      <c r="M182" s="33" t="str">
        <f aca="false">IF($B182="","",IFERROR(INDEX('Code Mapping'!$E$5:$E$1753,MATCH($B182,'Code Mapping'!$A$5:$A$1753,0)),"Unmapped"))</f>
        <v/>
      </c>
      <c r="N182" s="33" t="str">
        <f aca="false">IF($F182="","",$F182)</f>
        <v/>
      </c>
    </row>
    <row r="183" customFormat="false" ht="15" hidden="false" customHeight="false" outlineLevel="0" collapsed="false">
      <c r="L183" s="33" t="str">
        <f aca="false">IF($B183="","",IFERROR(INDEX('Code Mapping'!$D$5:$D$1753,MATCH($B183,'Code Mapping'!$A$5:$A$1753,0)),"Unmapped"))</f>
        <v/>
      </c>
      <c r="M183" s="33" t="str">
        <f aca="false">IF($B183="","",IFERROR(INDEX('Code Mapping'!$E$5:$E$1753,MATCH($B183,'Code Mapping'!$A$5:$A$1753,0)),"Unmapped"))</f>
        <v/>
      </c>
      <c r="N183" s="33" t="str">
        <f aca="false">IF($F183="","",$F183)</f>
        <v/>
      </c>
    </row>
    <row r="184" customFormat="false" ht="15" hidden="false" customHeight="false" outlineLevel="0" collapsed="false">
      <c r="L184" s="33" t="str">
        <f aca="false">IF($B184="","",IFERROR(INDEX('Code Mapping'!$D$5:$D$1753,MATCH($B184,'Code Mapping'!$A$5:$A$1753,0)),"Unmapped"))</f>
        <v/>
      </c>
      <c r="M184" s="33" t="str">
        <f aca="false">IF($B184="","",IFERROR(INDEX('Code Mapping'!$E$5:$E$1753,MATCH($B184,'Code Mapping'!$A$5:$A$1753,0)),"Unmapped"))</f>
        <v/>
      </c>
      <c r="N184" s="33" t="str">
        <f aca="false">IF($F184="","",$F184)</f>
        <v/>
      </c>
    </row>
    <row r="185" customFormat="false" ht="15" hidden="false" customHeight="false" outlineLevel="0" collapsed="false">
      <c r="L185" s="33" t="str">
        <f aca="false">IF($B185="","",IFERROR(INDEX('Code Mapping'!$D$5:$D$1753,MATCH($B185,'Code Mapping'!$A$5:$A$1753,0)),"Unmapped"))</f>
        <v/>
      </c>
      <c r="M185" s="33" t="str">
        <f aca="false">IF($B185="","",IFERROR(INDEX('Code Mapping'!$E$5:$E$1753,MATCH($B185,'Code Mapping'!$A$5:$A$1753,0)),"Unmapped"))</f>
        <v/>
      </c>
      <c r="N185" s="33" t="str">
        <f aca="false">IF($F185="","",$F185)</f>
        <v/>
      </c>
    </row>
    <row r="186" customFormat="false" ht="15" hidden="false" customHeight="false" outlineLevel="0" collapsed="false">
      <c r="L186" s="33" t="str">
        <f aca="false">IF($B186="","",IFERROR(INDEX('Code Mapping'!$D$5:$D$1753,MATCH($B186,'Code Mapping'!$A$5:$A$1753,0)),"Unmapped"))</f>
        <v/>
      </c>
      <c r="M186" s="33" t="str">
        <f aca="false">IF($B186="","",IFERROR(INDEX('Code Mapping'!$E$5:$E$1753,MATCH($B186,'Code Mapping'!$A$5:$A$1753,0)),"Unmapped"))</f>
        <v/>
      </c>
      <c r="N186" s="33" t="str">
        <f aca="false">IF($F186="","",$F186)</f>
        <v/>
      </c>
    </row>
    <row r="187" customFormat="false" ht="15" hidden="false" customHeight="false" outlineLevel="0" collapsed="false">
      <c r="L187" s="33" t="str">
        <f aca="false">IF($B187="","",IFERROR(INDEX('Code Mapping'!$D$5:$D$1753,MATCH($B187,'Code Mapping'!$A$5:$A$1753,0)),"Unmapped"))</f>
        <v/>
      </c>
      <c r="M187" s="33" t="str">
        <f aca="false">IF($B187="","",IFERROR(INDEX('Code Mapping'!$E$5:$E$1753,MATCH($B187,'Code Mapping'!$A$5:$A$1753,0)),"Unmapped"))</f>
        <v/>
      </c>
      <c r="N187" s="33" t="str">
        <f aca="false">IF($F187="","",$F187)</f>
        <v/>
      </c>
    </row>
    <row r="188" customFormat="false" ht="15" hidden="false" customHeight="false" outlineLevel="0" collapsed="false">
      <c r="L188" s="33" t="str">
        <f aca="false">IF($B188="","",IFERROR(INDEX('Code Mapping'!$D$5:$D$1753,MATCH($B188,'Code Mapping'!$A$5:$A$1753,0)),"Unmapped"))</f>
        <v/>
      </c>
      <c r="M188" s="33" t="str">
        <f aca="false">IF($B188="","",IFERROR(INDEX('Code Mapping'!$E$5:$E$1753,MATCH($B188,'Code Mapping'!$A$5:$A$1753,0)),"Unmapped"))</f>
        <v/>
      </c>
      <c r="N188" s="33" t="str">
        <f aca="false">IF($F188="","",$F188)</f>
        <v/>
      </c>
    </row>
    <row r="189" customFormat="false" ht="15" hidden="false" customHeight="false" outlineLevel="0" collapsed="false">
      <c r="L189" s="33" t="str">
        <f aca="false">IF($B189="","",IFERROR(INDEX('Code Mapping'!$D$5:$D$1753,MATCH($B189,'Code Mapping'!$A$5:$A$1753,0)),"Unmapped"))</f>
        <v/>
      </c>
      <c r="M189" s="33" t="str">
        <f aca="false">IF($B189="","",IFERROR(INDEX('Code Mapping'!$E$5:$E$1753,MATCH($B189,'Code Mapping'!$A$5:$A$1753,0)),"Unmapped"))</f>
        <v/>
      </c>
      <c r="N189" s="33" t="str">
        <f aca="false">IF($F189="","",$F189)</f>
        <v/>
      </c>
    </row>
    <row r="190" customFormat="false" ht="15" hidden="false" customHeight="false" outlineLevel="0" collapsed="false">
      <c r="L190" s="33" t="str">
        <f aca="false">IF($B190="","",IFERROR(INDEX('Code Mapping'!$D$5:$D$1753,MATCH($B190,'Code Mapping'!$A$5:$A$1753,0)),"Unmapped"))</f>
        <v/>
      </c>
      <c r="M190" s="33" t="str">
        <f aca="false">IF($B190="","",IFERROR(INDEX('Code Mapping'!$E$5:$E$1753,MATCH($B190,'Code Mapping'!$A$5:$A$1753,0)),"Unmapped"))</f>
        <v/>
      </c>
      <c r="N190" s="33" t="str">
        <f aca="false">IF($F190="","",$F190)</f>
        <v/>
      </c>
    </row>
    <row r="191" customFormat="false" ht="15" hidden="false" customHeight="false" outlineLevel="0" collapsed="false">
      <c r="L191" s="33" t="str">
        <f aca="false">IF($B191="","",IFERROR(INDEX('Code Mapping'!$D$5:$D$1753,MATCH($B191,'Code Mapping'!$A$5:$A$1753,0)),"Unmapped"))</f>
        <v/>
      </c>
      <c r="M191" s="33" t="str">
        <f aca="false">IF($B191="","",IFERROR(INDEX('Code Mapping'!$E$5:$E$1753,MATCH($B191,'Code Mapping'!$A$5:$A$1753,0)),"Unmapped"))</f>
        <v/>
      </c>
      <c r="N191" s="33" t="str">
        <f aca="false">IF($F191="","",$F191)</f>
        <v/>
      </c>
    </row>
    <row r="192" customFormat="false" ht="15" hidden="false" customHeight="false" outlineLevel="0" collapsed="false">
      <c r="L192" s="33" t="str">
        <f aca="false">IF($B192="","",IFERROR(INDEX('Code Mapping'!$D$5:$D$1753,MATCH($B192,'Code Mapping'!$A$5:$A$1753,0)),"Unmapped"))</f>
        <v/>
      </c>
      <c r="M192" s="33" t="str">
        <f aca="false">IF($B192="","",IFERROR(INDEX('Code Mapping'!$E$5:$E$1753,MATCH($B192,'Code Mapping'!$A$5:$A$1753,0)),"Unmapped"))</f>
        <v/>
      </c>
      <c r="N192" s="33" t="str">
        <f aca="false">IF($F192="","",$F192)</f>
        <v/>
      </c>
    </row>
    <row r="193" customFormat="false" ht="15" hidden="false" customHeight="false" outlineLevel="0" collapsed="false">
      <c r="L193" s="33" t="str">
        <f aca="false">IF($B193="","",IFERROR(INDEX('Code Mapping'!$D$5:$D$1753,MATCH($B193,'Code Mapping'!$A$5:$A$1753,0)),"Unmapped"))</f>
        <v/>
      </c>
      <c r="M193" s="33" t="str">
        <f aca="false">IF($B193="","",IFERROR(INDEX('Code Mapping'!$E$5:$E$1753,MATCH($B193,'Code Mapping'!$A$5:$A$1753,0)),"Unmapped"))</f>
        <v/>
      </c>
      <c r="N193" s="33" t="str">
        <f aca="false">IF($F193="","",$F193)</f>
        <v/>
      </c>
    </row>
    <row r="194" customFormat="false" ht="15" hidden="false" customHeight="false" outlineLevel="0" collapsed="false">
      <c r="L194" s="33" t="str">
        <f aca="false">IF($B194="","",IFERROR(INDEX('Code Mapping'!$D$5:$D$1753,MATCH($B194,'Code Mapping'!$A$5:$A$1753,0)),"Unmapped"))</f>
        <v/>
      </c>
      <c r="M194" s="33" t="str">
        <f aca="false">IF($B194="","",IFERROR(INDEX('Code Mapping'!$E$5:$E$1753,MATCH($B194,'Code Mapping'!$A$5:$A$1753,0)),"Unmapped"))</f>
        <v/>
      </c>
      <c r="N194" s="33" t="str">
        <f aca="false">IF($F194="","",$F194)</f>
        <v/>
      </c>
    </row>
    <row r="195" customFormat="false" ht="15" hidden="false" customHeight="false" outlineLevel="0" collapsed="false">
      <c r="L195" s="33" t="str">
        <f aca="false">IF($B195="","",IFERROR(INDEX('Code Mapping'!$D$5:$D$1753,MATCH($B195,'Code Mapping'!$A$5:$A$1753,0)),"Unmapped"))</f>
        <v/>
      </c>
      <c r="M195" s="33" t="str">
        <f aca="false">IF($B195="","",IFERROR(INDEX('Code Mapping'!$E$5:$E$1753,MATCH($B195,'Code Mapping'!$A$5:$A$1753,0)),"Unmapped"))</f>
        <v/>
      </c>
      <c r="N195" s="33" t="str">
        <f aca="false">IF($F195="","",$F195)</f>
        <v/>
      </c>
    </row>
    <row r="196" customFormat="false" ht="15" hidden="false" customHeight="false" outlineLevel="0" collapsed="false">
      <c r="L196" s="33" t="str">
        <f aca="false">IF($B196="","",IFERROR(INDEX('Code Mapping'!$D$5:$D$1753,MATCH($B196,'Code Mapping'!$A$5:$A$1753,0)),"Unmapped"))</f>
        <v/>
      </c>
      <c r="M196" s="33" t="str">
        <f aca="false">IF($B196="","",IFERROR(INDEX('Code Mapping'!$E$5:$E$1753,MATCH($B196,'Code Mapping'!$A$5:$A$1753,0)),"Unmapped"))</f>
        <v/>
      </c>
      <c r="N196" s="33" t="str">
        <f aca="false">IF($F196="","",$F196)</f>
        <v/>
      </c>
    </row>
    <row r="197" customFormat="false" ht="15" hidden="false" customHeight="false" outlineLevel="0" collapsed="false">
      <c r="L197" s="33" t="str">
        <f aca="false">IF($B197="","",IFERROR(INDEX('Code Mapping'!$D$5:$D$1753,MATCH($B197,'Code Mapping'!$A$5:$A$1753,0)),"Unmapped"))</f>
        <v/>
      </c>
      <c r="M197" s="33" t="str">
        <f aca="false">IF($B197="","",IFERROR(INDEX('Code Mapping'!$E$5:$E$1753,MATCH($B197,'Code Mapping'!$A$5:$A$1753,0)),"Unmapped"))</f>
        <v/>
      </c>
      <c r="N197" s="33" t="str">
        <f aca="false">IF($F197="","",$F197)</f>
        <v/>
      </c>
    </row>
    <row r="198" customFormat="false" ht="15" hidden="false" customHeight="false" outlineLevel="0" collapsed="false">
      <c r="L198" s="33" t="str">
        <f aca="false">IF($B198="","",IFERROR(INDEX('Code Mapping'!$D$5:$D$1753,MATCH($B198,'Code Mapping'!$A$5:$A$1753,0)),"Unmapped"))</f>
        <v/>
      </c>
      <c r="M198" s="33" t="str">
        <f aca="false">IF($B198="","",IFERROR(INDEX('Code Mapping'!$E$5:$E$1753,MATCH($B198,'Code Mapping'!$A$5:$A$1753,0)),"Unmapped"))</f>
        <v/>
      </c>
      <c r="N198" s="33" t="str">
        <f aca="false">IF($F198="","",$F198)</f>
        <v/>
      </c>
    </row>
    <row r="199" customFormat="false" ht="15" hidden="false" customHeight="false" outlineLevel="0" collapsed="false">
      <c r="L199" s="33" t="str">
        <f aca="false">IF($B199="","",IFERROR(INDEX('Code Mapping'!$D$5:$D$1753,MATCH($B199,'Code Mapping'!$A$5:$A$1753,0)),"Unmapped"))</f>
        <v/>
      </c>
      <c r="M199" s="33" t="str">
        <f aca="false">IF($B199="","",IFERROR(INDEX('Code Mapping'!$E$5:$E$1753,MATCH($B199,'Code Mapping'!$A$5:$A$1753,0)),"Unmapped"))</f>
        <v/>
      </c>
      <c r="N199" s="33" t="str">
        <f aca="false">IF($F199="","",$F199)</f>
        <v/>
      </c>
    </row>
    <row r="200" customFormat="false" ht="15" hidden="false" customHeight="false" outlineLevel="0" collapsed="false">
      <c r="L200" s="33" t="str">
        <f aca="false">IF($B200="","",IFERROR(INDEX('Code Mapping'!$D$5:$D$1753,MATCH($B200,'Code Mapping'!$A$5:$A$1753,0)),"Unmapped"))</f>
        <v/>
      </c>
      <c r="M200" s="33" t="str">
        <f aca="false">IF($B200="","",IFERROR(INDEX('Code Mapping'!$E$5:$E$1753,MATCH($B200,'Code Mapping'!$A$5:$A$1753,0)),"Unmapped"))</f>
        <v/>
      </c>
      <c r="N200" s="33" t="str">
        <f aca="false">IF($F200="","",$F200)</f>
        <v/>
      </c>
    </row>
    <row r="201" customFormat="false" ht="15" hidden="false" customHeight="false" outlineLevel="0" collapsed="false">
      <c r="L201" s="33" t="str">
        <f aca="false">IF($B201="","",IFERROR(INDEX('Code Mapping'!$D$5:$D$1753,MATCH($B201,'Code Mapping'!$A$5:$A$1753,0)),"Unmapped"))</f>
        <v/>
      </c>
      <c r="M201" s="33" t="str">
        <f aca="false">IF($B201="","",IFERROR(INDEX('Code Mapping'!$E$5:$E$1753,MATCH($B201,'Code Mapping'!$A$5:$A$1753,0)),"Unmapped"))</f>
        <v/>
      </c>
      <c r="N201" s="33" t="str">
        <f aca="false">IF($F201="","",$F201)</f>
        <v/>
      </c>
    </row>
    <row r="202" customFormat="false" ht="15" hidden="false" customHeight="false" outlineLevel="0" collapsed="false">
      <c r="L202" s="33" t="str">
        <f aca="false">IF($B202="","",IFERROR(INDEX('Code Mapping'!$D$5:$D$1753,MATCH($B202,'Code Mapping'!$A$5:$A$1753,0)),"Unmapped"))</f>
        <v/>
      </c>
      <c r="M202" s="33" t="str">
        <f aca="false">IF($B202="","",IFERROR(INDEX('Code Mapping'!$E$5:$E$1753,MATCH($B202,'Code Mapping'!$A$5:$A$1753,0)),"Unmapped"))</f>
        <v/>
      </c>
      <c r="N202" s="33" t="str">
        <f aca="false">IF($F202="","",$F202)</f>
        <v/>
      </c>
    </row>
    <row r="203" customFormat="false" ht="15" hidden="false" customHeight="false" outlineLevel="0" collapsed="false">
      <c r="L203" s="33" t="str">
        <f aca="false">IF($B203="","",IFERROR(INDEX('Code Mapping'!$D$5:$D$1753,MATCH($B203,'Code Mapping'!$A$5:$A$1753,0)),"Unmapped"))</f>
        <v/>
      </c>
      <c r="M203" s="33" t="str">
        <f aca="false">IF($B203="","",IFERROR(INDEX('Code Mapping'!$E$5:$E$1753,MATCH($B203,'Code Mapping'!$A$5:$A$1753,0)),"Unmapped"))</f>
        <v/>
      </c>
      <c r="N203" s="33" t="str">
        <f aca="false">IF($F203="","",$F203)</f>
        <v/>
      </c>
    </row>
    <row r="204" customFormat="false" ht="15" hidden="false" customHeight="false" outlineLevel="0" collapsed="false">
      <c r="L204" s="33" t="str">
        <f aca="false">IF($B204="","",IFERROR(INDEX('Code Mapping'!$D$5:$D$1753,MATCH($B204,'Code Mapping'!$A$5:$A$1753,0)),"Unmapped"))</f>
        <v/>
      </c>
      <c r="M204" s="33" t="str">
        <f aca="false">IF($B204="","",IFERROR(INDEX('Code Mapping'!$E$5:$E$1753,MATCH($B204,'Code Mapping'!$A$5:$A$1753,0)),"Unmapped"))</f>
        <v/>
      </c>
      <c r="N204" s="33" t="str">
        <f aca="false">IF($F204="","",$F204)</f>
        <v/>
      </c>
    </row>
    <row r="205" customFormat="false" ht="15" hidden="false" customHeight="false" outlineLevel="0" collapsed="false">
      <c r="L205" s="33" t="str">
        <f aca="false">IF($B205="","",IFERROR(INDEX('Code Mapping'!$D$5:$D$1753,MATCH($B205,'Code Mapping'!$A$5:$A$1753,0)),"Unmapped"))</f>
        <v/>
      </c>
      <c r="M205" s="33" t="str">
        <f aca="false">IF($B205="","",IFERROR(INDEX('Code Mapping'!$E$5:$E$1753,MATCH($B205,'Code Mapping'!$A$5:$A$1753,0)),"Unmapped"))</f>
        <v/>
      </c>
      <c r="N205" s="33" t="str">
        <f aca="false">IF($F205="","",$F205)</f>
        <v/>
      </c>
    </row>
    <row r="206" customFormat="false" ht="15" hidden="false" customHeight="false" outlineLevel="0" collapsed="false">
      <c r="L206" s="33" t="str">
        <f aca="false">IF($B206="","",IFERROR(INDEX('Code Mapping'!$D$5:$D$1753,MATCH($B206,'Code Mapping'!$A$5:$A$1753,0)),"Unmapped"))</f>
        <v/>
      </c>
      <c r="M206" s="33" t="str">
        <f aca="false">IF($B206="","",IFERROR(INDEX('Code Mapping'!$E$5:$E$1753,MATCH($B206,'Code Mapping'!$A$5:$A$1753,0)),"Unmapped"))</f>
        <v/>
      </c>
      <c r="N206" s="33" t="str">
        <f aca="false">IF($F206="","",$F206)</f>
        <v/>
      </c>
    </row>
    <row r="207" customFormat="false" ht="15" hidden="false" customHeight="false" outlineLevel="0" collapsed="false">
      <c r="L207" s="33" t="str">
        <f aca="false">IF($B207="","",IFERROR(INDEX('Code Mapping'!$D$5:$D$1753,MATCH($B207,'Code Mapping'!$A$5:$A$1753,0)),"Unmapped"))</f>
        <v/>
      </c>
      <c r="M207" s="33" t="str">
        <f aca="false">IF($B207="","",IFERROR(INDEX('Code Mapping'!$E$5:$E$1753,MATCH($B207,'Code Mapping'!$A$5:$A$1753,0)),"Unmapped"))</f>
        <v/>
      </c>
      <c r="N207" s="33" t="str">
        <f aca="false">IF($F207="","",$F207)</f>
        <v/>
      </c>
    </row>
    <row r="208" customFormat="false" ht="15" hidden="false" customHeight="false" outlineLevel="0" collapsed="false">
      <c r="L208" s="33" t="str">
        <f aca="false">IF($B208="","",IFERROR(INDEX('Code Mapping'!$D$5:$D$1753,MATCH($B208,'Code Mapping'!$A$5:$A$1753,0)),"Unmapped"))</f>
        <v/>
      </c>
      <c r="M208" s="33" t="str">
        <f aca="false">IF($B208="","",IFERROR(INDEX('Code Mapping'!$E$5:$E$1753,MATCH($B208,'Code Mapping'!$A$5:$A$1753,0)),"Unmapped"))</f>
        <v/>
      </c>
      <c r="N208" s="33" t="str">
        <f aca="false">IF($F208="","",$F208)</f>
        <v/>
      </c>
    </row>
    <row r="209" customFormat="false" ht="15" hidden="false" customHeight="false" outlineLevel="0" collapsed="false">
      <c r="L209" s="33" t="str">
        <f aca="false">IF($B209="","",IFERROR(INDEX('Code Mapping'!$D$5:$D$1753,MATCH($B209,'Code Mapping'!$A$5:$A$1753,0)),"Unmapped"))</f>
        <v/>
      </c>
      <c r="M209" s="33" t="str">
        <f aca="false">IF($B209="","",IFERROR(INDEX('Code Mapping'!$E$5:$E$1753,MATCH($B209,'Code Mapping'!$A$5:$A$1753,0)),"Unmapped"))</f>
        <v/>
      </c>
      <c r="N209" s="33" t="str">
        <f aca="false">IF($F209="","",$F209)</f>
        <v/>
      </c>
    </row>
    <row r="210" customFormat="false" ht="15" hidden="false" customHeight="false" outlineLevel="0" collapsed="false">
      <c r="L210" s="33" t="str">
        <f aca="false">IF($B210="","",IFERROR(INDEX('Code Mapping'!$D$5:$D$1753,MATCH($B210,'Code Mapping'!$A$5:$A$1753,0)),"Unmapped"))</f>
        <v/>
      </c>
      <c r="M210" s="33" t="str">
        <f aca="false">IF($B210="","",IFERROR(INDEX('Code Mapping'!$E$5:$E$1753,MATCH($B210,'Code Mapping'!$A$5:$A$1753,0)),"Unmapped"))</f>
        <v/>
      </c>
      <c r="N210" s="33" t="str">
        <f aca="false">IF($F210="","",$F210)</f>
        <v/>
      </c>
    </row>
    <row r="211" customFormat="false" ht="15" hidden="false" customHeight="false" outlineLevel="0" collapsed="false">
      <c r="L211" s="33" t="str">
        <f aca="false">IF($B211="","",IFERROR(INDEX('Code Mapping'!$D$5:$D$1753,MATCH($B211,'Code Mapping'!$A$5:$A$1753,0)),"Unmapped"))</f>
        <v/>
      </c>
      <c r="M211" s="33" t="str">
        <f aca="false">IF($B211="","",IFERROR(INDEX('Code Mapping'!$E$5:$E$1753,MATCH($B211,'Code Mapping'!$A$5:$A$1753,0)),"Unmapped"))</f>
        <v/>
      </c>
      <c r="N211" s="33" t="str">
        <f aca="false">IF($F211="","",$F211)</f>
        <v/>
      </c>
    </row>
    <row r="212" customFormat="false" ht="15" hidden="false" customHeight="false" outlineLevel="0" collapsed="false">
      <c r="L212" s="33" t="str">
        <f aca="false">IF($B212="","",IFERROR(INDEX('Code Mapping'!$D$5:$D$1753,MATCH($B212,'Code Mapping'!$A$5:$A$1753,0)),"Unmapped"))</f>
        <v/>
      </c>
      <c r="M212" s="33" t="str">
        <f aca="false">IF($B212="","",IFERROR(INDEX('Code Mapping'!$E$5:$E$1753,MATCH($B212,'Code Mapping'!$A$5:$A$1753,0)),"Unmapped"))</f>
        <v/>
      </c>
      <c r="N212" s="33" t="str">
        <f aca="false">IF($F212="","",$F212)</f>
        <v/>
      </c>
    </row>
    <row r="213" customFormat="false" ht="15" hidden="false" customHeight="false" outlineLevel="0" collapsed="false">
      <c r="L213" s="33" t="str">
        <f aca="false">IF($B213="","",IFERROR(INDEX('Code Mapping'!$D$5:$D$1753,MATCH($B213,'Code Mapping'!$A$5:$A$1753,0)),"Unmapped"))</f>
        <v/>
      </c>
      <c r="M213" s="33" t="str">
        <f aca="false">IF($B213="","",IFERROR(INDEX('Code Mapping'!$E$5:$E$1753,MATCH($B213,'Code Mapping'!$A$5:$A$1753,0)),"Unmapped"))</f>
        <v/>
      </c>
      <c r="N213" s="33" t="str">
        <f aca="false">IF($F213="","",$F213)</f>
        <v/>
      </c>
    </row>
    <row r="214" customFormat="false" ht="15" hidden="false" customHeight="false" outlineLevel="0" collapsed="false">
      <c r="L214" s="33" t="str">
        <f aca="false">IF($B214="","",IFERROR(INDEX('Code Mapping'!$D$5:$D$1753,MATCH($B214,'Code Mapping'!$A$5:$A$1753,0)),"Unmapped"))</f>
        <v/>
      </c>
      <c r="M214" s="33" t="str">
        <f aca="false">IF($B214="","",IFERROR(INDEX('Code Mapping'!$E$5:$E$1753,MATCH($B214,'Code Mapping'!$A$5:$A$1753,0)),"Unmapped"))</f>
        <v/>
      </c>
      <c r="N214" s="33" t="str">
        <f aca="false">IF($F214="","",$F214)</f>
        <v/>
      </c>
    </row>
    <row r="215" customFormat="false" ht="15" hidden="false" customHeight="false" outlineLevel="0" collapsed="false">
      <c r="L215" s="33" t="str">
        <f aca="false">IF($B215="","",IFERROR(INDEX('Code Mapping'!$D$5:$D$1753,MATCH($B215,'Code Mapping'!$A$5:$A$1753,0)),"Unmapped"))</f>
        <v/>
      </c>
      <c r="M215" s="33" t="str">
        <f aca="false">IF($B215="","",IFERROR(INDEX('Code Mapping'!$E$5:$E$1753,MATCH($B215,'Code Mapping'!$A$5:$A$1753,0)),"Unmapped"))</f>
        <v/>
      </c>
      <c r="N215" s="33" t="str">
        <f aca="false">IF($F215="","",$F215)</f>
        <v/>
      </c>
    </row>
    <row r="216" customFormat="false" ht="15" hidden="false" customHeight="false" outlineLevel="0" collapsed="false">
      <c r="L216" s="33" t="str">
        <f aca="false">IF($B216="","",IFERROR(INDEX('Code Mapping'!$D$5:$D$1753,MATCH($B216,'Code Mapping'!$A$5:$A$1753,0)),"Unmapped"))</f>
        <v/>
      </c>
      <c r="M216" s="33" t="str">
        <f aca="false">IF($B216="","",IFERROR(INDEX('Code Mapping'!$E$5:$E$1753,MATCH($B216,'Code Mapping'!$A$5:$A$1753,0)),"Unmapped"))</f>
        <v/>
      </c>
      <c r="N216" s="33" t="str">
        <f aca="false">IF($F216="","",$F216)</f>
        <v/>
      </c>
    </row>
    <row r="217" customFormat="false" ht="15" hidden="false" customHeight="false" outlineLevel="0" collapsed="false">
      <c r="L217" s="33" t="str">
        <f aca="false">IF($B217="","",IFERROR(INDEX('Code Mapping'!$D$5:$D$1753,MATCH($B217,'Code Mapping'!$A$5:$A$1753,0)),"Unmapped"))</f>
        <v/>
      </c>
      <c r="M217" s="33" t="str">
        <f aca="false">IF($B217="","",IFERROR(INDEX('Code Mapping'!$E$5:$E$1753,MATCH($B217,'Code Mapping'!$A$5:$A$1753,0)),"Unmapped"))</f>
        <v/>
      </c>
      <c r="N217" s="33" t="str">
        <f aca="false">IF($F217="","",$F217)</f>
        <v/>
      </c>
    </row>
    <row r="218" customFormat="false" ht="15" hidden="false" customHeight="false" outlineLevel="0" collapsed="false">
      <c r="L218" s="33" t="str">
        <f aca="false">IF($B218="","",IFERROR(INDEX('Code Mapping'!$D$5:$D$1753,MATCH($B218,'Code Mapping'!$A$5:$A$1753,0)),"Unmapped"))</f>
        <v/>
      </c>
      <c r="M218" s="33" t="str">
        <f aca="false">IF($B218="","",IFERROR(INDEX('Code Mapping'!$E$5:$E$1753,MATCH($B218,'Code Mapping'!$A$5:$A$1753,0)),"Unmapped"))</f>
        <v/>
      </c>
      <c r="N218" s="33" t="str">
        <f aca="false">IF($F218="","",$F218)</f>
        <v/>
      </c>
    </row>
    <row r="219" customFormat="false" ht="15" hidden="false" customHeight="false" outlineLevel="0" collapsed="false">
      <c r="L219" s="33" t="str">
        <f aca="false">IF($B219="","",IFERROR(INDEX('Code Mapping'!$D$5:$D$1753,MATCH($B219,'Code Mapping'!$A$5:$A$1753,0)),"Unmapped"))</f>
        <v/>
      </c>
      <c r="M219" s="33" t="str">
        <f aca="false">IF($B219="","",IFERROR(INDEX('Code Mapping'!$E$5:$E$1753,MATCH($B219,'Code Mapping'!$A$5:$A$1753,0)),"Unmapped"))</f>
        <v/>
      </c>
      <c r="N219" s="33" t="str">
        <f aca="false">IF($F219="","",$F219)</f>
        <v/>
      </c>
    </row>
    <row r="220" customFormat="false" ht="15" hidden="false" customHeight="false" outlineLevel="0" collapsed="false">
      <c r="L220" s="33" t="str">
        <f aca="false">IF($B220="","",IFERROR(INDEX('Code Mapping'!$D$5:$D$1753,MATCH($B220,'Code Mapping'!$A$5:$A$1753,0)),"Unmapped"))</f>
        <v/>
      </c>
      <c r="M220" s="33" t="str">
        <f aca="false">IF($B220="","",IFERROR(INDEX('Code Mapping'!$E$5:$E$1753,MATCH($B220,'Code Mapping'!$A$5:$A$1753,0)),"Unmapped"))</f>
        <v/>
      </c>
      <c r="N220" s="33" t="str">
        <f aca="false">IF($F220="","",$F220)</f>
        <v/>
      </c>
    </row>
    <row r="221" customFormat="false" ht="15" hidden="false" customHeight="false" outlineLevel="0" collapsed="false">
      <c r="L221" s="33" t="str">
        <f aca="false">IF($B221="","",IFERROR(INDEX('Code Mapping'!$D$5:$D$1753,MATCH($B221,'Code Mapping'!$A$5:$A$1753,0)),"Unmapped"))</f>
        <v/>
      </c>
      <c r="M221" s="33" t="str">
        <f aca="false">IF($B221="","",IFERROR(INDEX('Code Mapping'!$E$5:$E$1753,MATCH($B221,'Code Mapping'!$A$5:$A$1753,0)),"Unmapped"))</f>
        <v/>
      </c>
      <c r="N221" s="33" t="str">
        <f aca="false">IF($F221="","",$F221)</f>
        <v/>
      </c>
    </row>
    <row r="222" customFormat="false" ht="15" hidden="false" customHeight="false" outlineLevel="0" collapsed="false">
      <c r="L222" s="33" t="str">
        <f aca="false">IF($B222="","",IFERROR(INDEX('Code Mapping'!$D$5:$D$1753,MATCH($B222,'Code Mapping'!$A$5:$A$1753,0)),"Unmapped"))</f>
        <v/>
      </c>
      <c r="M222" s="33" t="str">
        <f aca="false">IF($B222="","",IFERROR(INDEX('Code Mapping'!$E$5:$E$1753,MATCH($B222,'Code Mapping'!$A$5:$A$1753,0)),"Unmapped"))</f>
        <v/>
      </c>
      <c r="N222" s="33" t="str">
        <f aca="false">IF($F222="","",$F222)</f>
        <v/>
      </c>
    </row>
    <row r="223" customFormat="false" ht="15" hidden="false" customHeight="false" outlineLevel="0" collapsed="false">
      <c r="L223" s="33" t="str">
        <f aca="false">IF($B223="","",IFERROR(INDEX('Code Mapping'!$D$5:$D$1753,MATCH($B223,'Code Mapping'!$A$5:$A$1753,0)),"Unmapped"))</f>
        <v/>
      </c>
      <c r="M223" s="33" t="str">
        <f aca="false">IF($B223="","",IFERROR(INDEX('Code Mapping'!$E$5:$E$1753,MATCH($B223,'Code Mapping'!$A$5:$A$1753,0)),"Unmapped"))</f>
        <v/>
      </c>
      <c r="N223" s="33" t="str">
        <f aca="false">IF($F223="","",$F223)</f>
        <v/>
      </c>
    </row>
    <row r="224" customFormat="false" ht="15" hidden="false" customHeight="false" outlineLevel="0" collapsed="false">
      <c r="L224" s="33" t="str">
        <f aca="false">IF($B224="","",IFERROR(INDEX('Code Mapping'!$D$5:$D$1753,MATCH($B224,'Code Mapping'!$A$5:$A$1753,0)),"Unmapped"))</f>
        <v/>
      </c>
      <c r="M224" s="33" t="str">
        <f aca="false">IF($B224="","",IFERROR(INDEX('Code Mapping'!$E$5:$E$1753,MATCH($B224,'Code Mapping'!$A$5:$A$1753,0)),"Unmapped"))</f>
        <v/>
      </c>
      <c r="N224" s="33" t="str">
        <f aca="false">IF($F224="","",$F224)</f>
        <v/>
      </c>
    </row>
    <row r="225" customFormat="false" ht="15" hidden="false" customHeight="false" outlineLevel="0" collapsed="false">
      <c r="L225" s="33" t="str">
        <f aca="false">IF($B225="","",IFERROR(INDEX('Code Mapping'!$D$5:$D$1753,MATCH($B225,'Code Mapping'!$A$5:$A$1753,0)),"Unmapped"))</f>
        <v/>
      </c>
      <c r="M225" s="33" t="str">
        <f aca="false">IF($B225="","",IFERROR(INDEX('Code Mapping'!$E$5:$E$1753,MATCH($B225,'Code Mapping'!$A$5:$A$1753,0)),"Unmapped"))</f>
        <v/>
      </c>
      <c r="N225" s="33" t="str">
        <f aca="false">IF($F225="","",$F225)</f>
        <v/>
      </c>
    </row>
    <row r="226" customFormat="false" ht="15" hidden="false" customHeight="false" outlineLevel="0" collapsed="false">
      <c r="L226" s="33" t="str">
        <f aca="false">IF($B226="","",IFERROR(INDEX('Code Mapping'!$D$5:$D$1753,MATCH($B226,'Code Mapping'!$A$5:$A$1753,0)),"Unmapped"))</f>
        <v/>
      </c>
      <c r="M226" s="33" t="str">
        <f aca="false">IF($B226="","",IFERROR(INDEX('Code Mapping'!$E$5:$E$1753,MATCH($B226,'Code Mapping'!$A$5:$A$1753,0)),"Unmapped"))</f>
        <v/>
      </c>
      <c r="N226" s="33" t="str">
        <f aca="false">IF($F226="","",$F226)</f>
        <v/>
      </c>
    </row>
    <row r="227" customFormat="false" ht="15" hidden="false" customHeight="false" outlineLevel="0" collapsed="false">
      <c r="L227" s="33" t="str">
        <f aca="false">IF($B227="","",IFERROR(INDEX('Code Mapping'!$D$5:$D$1753,MATCH($B227,'Code Mapping'!$A$5:$A$1753,0)),"Unmapped"))</f>
        <v/>
      </c>
      <c r="M227" s="33" t="str">
        <f aca="false">IF($B227="","",IFERROR(INDEX('Code Mapping'!$E$5:$E$1753,MATCH($B227,'Code Mapping'!$A$5:$A$1753,0)),"Unmapped"))</f>
        <v/>
      </c>
      <c r="N227" s="33" t="str">
        <f aca="false">IF($F227="","",$F227)</f>
        <v/>
      </c>
    </row>
    <row r="228" customFormat="false" ht="15" hidden="false" customHeight="false" outlineLevel="0" collapsed="false">
      <c r="L228" s="33" t="str">
        <f aca="false">IF($B228="","",IFERROR(INDEX('Code Mapping'!$D$5:$D$1753,MATCH($B228,'Code Mapping'!$A$5:$A$1753,0)),"Unmapped"))</f>
        <v/>
      </c>
      <c r="M228" s="33" t="str">
        <f aca="false">IF($B228="","",IFERROR(INDEX('Code Mapping'!$E$5:$E$1753,MATCH($B228,'Code Mapping'!$A$5:$A$1753,0)),"Unmapped"))</f>
        <v/>
      </c>
      <c r="N228" s="33" t="str">
        <f aca="false">IF($F228="","",$F228)</f>
        <v/>
      </c>
    </row>
    <row r="229" customFormat="false" ht="15" hidden="false" customHeight="false" outlineLevel="0" collapsed="false">
      <c r="L229" s="33" t="str">
        <f aca="false">IF($B229="","",IFERROR(INDEX('Code Mapping'!$D$5:$D$1753,MATCH($B229,'Code Mapping'!$A$5:$A$1753,0)),"Unmapped"))</f>
        <v/>
      </c>
      <c r="M229" s="33" t="str">
        <f aca="false">IF($B229="","",IFERROR(INDEX('Code Mapping'!$E$5:$E$1753,MATCH($B229,'Code Mapping'!$A$5:$A$1753,0)),"Unmapped"))</f>
        <v/>
      </c>
      <c r="N229" s="33" t="str">
        <f aca="false">IF($F229="","",$F229)</f>
        <v/>
      </c>
    </row>
    <row r="230" customFormat="false" ht="15" hidden="false" customHeight="false" outlineLevel="0" collapsed="false">
      <c r="L230" s="33" t="str">
        <f aca="false">IF($B230="","",IFERROR(INDEX('Code Mapping'!$D$5:$D$1753,MATCH($B230,'Code Mapping'!$A$5:$A$1753,0)),"Unmapped"))</f>
        <v/>
      </c>
      <c r="M230" s="33" t="str">
        <f aca="false">IF($B230="","",IFERROR(INDEX('Code Mapping'!$E$5:$E$1753,MATCH($B230,'Code Mapping'!$A$5:$A$1753,0)),"Unmapped"))</f>
        <v/>
      </c>
      <c r="N230" s="33" t="str">
        <f aca="false">IF($F230="","",$F230)</f>
        <v/>
      </c>
    </row>
    <row r="231" customFormat="false" ht="15" hidden="false" customHeight="false" outlineLevel="0" collapsed="false">
      <c r="L231" s="33" t="str">
        <f aca="false">IF($B231="","",IFERROR(INDEX('Code Mapping'!$D$5:$D$1753,MATCH($B231,'Code Mapping'!$A$5:$A$1753,0)),"Unmapped"))</f>
        <v/>
      </c>
      <c r="M231" s="33" t="str">
        <f aca="false">IF($B231="","",IFERROR(INDEX('Code Mapping'!$E$5:$E$1753,MATCH($B231,'Code Mapping'!$A$5:$A$1753,0)),"Unmapped"))</f>
        <v/>
      </c>
      <c r="N231" s="33" t="str">
        <f aca="false">IF($F231="","",$F231)</f>
        <v/>
      </c>
    </row>
    <row r="232" customFormat="false" ht="15" hidden="false" customHeight="false" outlineLevel="0" collapsed="false">
      <c r="L232" s="33" t="str">
        <f aca="false">IF($B232="","",IFERROR(INDEX('Code Mapping'!$D$5:$D$1753,MATCH($B232,'Code Mapping'!$A$5:$A$1753,0)),"Unmapped"))</f>
        <v/>
      </c>
      <c r="M232" s="33" t="str">
        <f aca="false">IF($B232="","",IFERROR(INDEX('Code Mapping'!$E$5:$E$1753,MATCH($B232,'Code Mapping'!$A$5:$A$1753,0)),"Unmapped"))</f>
        <v/>
      </c>
      <c r="N232" s="33" t="str">
        <f aca="false">IF($F232="","",$F232)</f>
        <v/>
      </c>
    </row>
    <row r="233" customFormat="false" ht="15" hidden="false" customHeight="false" outlineLevel="0" collapsed="false">
      <c r="L233" s="33" t="str">
        <f aca="false">IF($B233="","",IFERROR(INDEX('Code Mapping'!$D$5:$D$1753,MATCH($B233,'Code Mapping'!$A$5:$A$1753,0)),"Unmapped"))</f>
        <v/>
      </c>
      <c r="M233" s="33" t="str">
        <f aca="false">IF($B233="","",IFERROR(INDEX('Code Mapping'!$E$5:$E$1753,MATCH($B233,'Code Mapping'!$A$5:$A$1753,0)),"Unmapped"))</f>
        <v/>
      </c>
      <c r="N233" s="33" t="str">
        <f aca="false">IF($F233="","",$F233)</f>
        <v/>
      </c>
    </row>
    <row r="234" customFormat="false" ht="15" hidden="false" customHeight="false" outlineLevel="0" collapsed="false">
      <c r="L234" s="33" t="str">
        <f aca="false">IF($B234="","",IFERROR(INDEX('Code Mapping'!$D$5:$D$1753,MATCH($B234,'Code Mapping'!$A$5:$A$1753,0)),"Unmapped"))</f>
        <v/>
      </c>
      <c r="M234" s="33" t="str">
        <f aca="false">IF($B234="","",IFERROR(INDEX('Code Mapping'!$E$5:$E$1753,MATCH($B234,'Code Mapping'!$A$5:$A$1753,0)),"Unmapped"))</f>
        <v/>
      </c>
      <c r="N234" s="33" t="str">
        <f aca="false">IF($F234="","",$F234)</f>
        <v/>
      </c>
    </row>
    <row r="235" customFormat="false" ht="15" hidden="false" customHeight="false" outlineLevel="0" collapsed="false">
      <c r="L235" s="33" t="str">
        <f aca="false">IF($B235="","",IFERROR(INDEX('Code Mapping'!$D$5:$D$1753,MATCH($B235,'Code Mapping'!$A$5:$A$1753,0)),"Unmapped"))</f>
        <v/>
      </c>
      <c r="M235" s="33" t="str">
        <f aca="false">IF($B235="","",IFERROR(INDEX('Code Mapping'!$E$5:$E$1753,MATCH($B235,'Code Mapping'!$A$5:$A$1753,0)),"Unmapped"))</f>
        <v/>
      </c>
      <c r="N235" s="33" t="str">
        <f aca="false">IF($F235="","",$F235)</f>
        <v/>
      </c>
    </row>
    <row r="236" customFormat="false" ht="15" hidden="false" customHeight="false" outlineLevel="0" collapsed="false">
      <c r="L236" s="33" t="str">
        <f aca="false">IF($B236="","",IFERROR(INDEX('Code Mapping'!$D$5:$D$1753,MATCH($B236,'Code Mapping'!$A$5:$A$1753,0)),"Unmapped"))</f>
        <v/>
      </c>
      <c r="M236" s="33" t="str">
        <f aca="false">IF($B236="","",IFERROR(INDEX('Code Mapping'!$E$5:$E$1753,MATCH($B236,'Code Mapping'!$A$5:$A$1753,0)),"Unmapped"))</f>
        <v/>
      </c>
      <c r="N236" s="33" t="str">
        <f aca="false">IF($F236="","",$F236)</f>
        <v/>
      </c>
    </row>
    <row r="237" customFormat="false" ht="15" hidden="false" customHeight="false" outlineLevel="0" collapsed="false">
      <c r="L237" s="33" t="str">
        <f aca="false">IF($B237="","",IFERROR(INDEX('Code Mapping'!$D$5:$D$1753,MATCH($B237,'Code Mapping'!$A$5:$A$1753,0)),"Unmapped"))</f>
        <v/>
      </c>
      <c r="M237" s="33" t="str">
        <f aca="false">IF($B237="","",IFERROR(INDEX('Code Mapping'!$E$5:$E$1753,MATCH($B237,'Code Mapping'!$A$5:$A$1753,0)),"Unmapped"))</f>
        <v/>
      </c>
      <c r="N237" s="33" t="str">
        <f aca="false">IF($F237="","",$F237)</f>
        <v/>
      </c>
    </row>
    <row r="238" customFormat="false" ht="15" hidden="false" customHeight="false" outlineLevel="0" collapsed="false">
      <c r="L238" s="33" t="str">
        <f aca="false">IF($B238="","",IFERROR(INDEX('Code Mapping'!$D$5:$D$1753,MATCH($B238,'Code Mapping'!$A$5:$A$1753,0)),"Unmapped"))</f>
        <v/>
      </c>
      <c r="M238" s="33" t="str">
        <f aca="false">IF($B238="","",IFERROR(INDEX('Code Mapping'!$E$5:$E$1753,MATCH($B238,'Code Mapping'!$A$5:$A$1753,0)),"Unmapped"))</f>
        <v/>
      </c>
      <c r="N238" s="33" t="str">
        <f aca="false">IF($F238="","",$F238)</f>
        <v/>
      </c>
    </row>
    <row r="239" customFormat="false" ht="15" hidden="false" customHeight="false" outlineLevel="0" collapsed="false">
      <c r="L239" s="33" t="str">
        <f aca="false">IF($B239="","",IFERROR(INDEX('Code Mapping'!$D$5:$D$1753,MATCH($B239,'Code Mapping'!$A$5:$A$1753,0)),"Unmapped"))</f>
        <v/>
      </c>
      <c r="M239" s="33" t="str">
        <f aca="false">IF($B239="","",IFERROR(INDEX('Code Mapping'!$E$5:$E$1753,MATCH($B239,'Code Mapping'!$A$5:$A$1753,0)),"Unmapped"))</f>
        <v/>
      </c>
      <c r="N239" s="33" t="str">
        <f aca="false">IF($F239="","",$F239)</f>
        <v/>
      </c>
    </row>
    <row r="240" customFormat="false" ht="15" hidden="false" customHeight="false" outlineLevel="0" collapsed="false">
      <c r="L240" s="33" t="str">
        <f aca="false">IF($B240="","",IFERROR(INDEX('Code Mapping'!$D$5:$D$1753,MATCH($B240,'Code Mapping'!$A$5:$A$1753,0)),"Unmapped"))</f>
        <v/>
      </c>
      <c r="M240" s="33" t="str">
        <f aca="false">IF($B240="","",IFERROR(INDEX('Code Mapping'!$E$5:$E$1753,MATCH($B240,'Code Mapping'!$A$5:$A$1753,0)),"Unmapped"))</f>
        <v/>
      </c>
      <c r="N240" s="33" t="str">
        <f aca="false">IF($F240="","",$F240)</f>
        <v/>
      </c>
    </row>
    <row r="241" customFormat="false" ht="15" hidden="false" customHeight="false" outlineLevel="0" collapsed="false">
      <c r="L241" s="33" t="str">
        <f aca="false">IF($B241="","",IFERROR(INDEX('Code Mapping'!$D$5:$D$1753,MATCH($B241,'Code Mapping'!$A$5:$A$1753,0)),"Unmapped"))</f>
        <v/>
      </c>
      <c r="M241" s="33" t="str">
        <f aca="false">IF($B241="","",IFERROR(INDEX('Code Mapping'!$E$5:$E$1753,MATCH($B241,'Code Mapping'!$A$5:$A$1753,0)),"Unmapped"))</f>
        <v/>
      </c>
      <c r="N241" s="33" t="str">
        <f aca="false">IF($F241="","",$F241)</f>
        <v/>
      </c>
    </row>
    <row r="242" customFormat="false" ht="15" hidden="false" customHeight="false" outlineLevel="0" collapsed="false">
      <c r="L242" s="33" t="str">
        <f aca="false">IF($B242="","",IFERROR(INDEX('Code Mapping'!$D$5:$D$1753,MATCH($B242,'Code Mapping'!$A$5:$A$1753,0)),"Unmapped"))</f>
        <v/>
      </c>
      <c r="M242" s="33" t="str">
        <f aca="false">IF($B242="","",IFERROR(INDEX('Code Mapping'!$E$5:$E$1753,MATCH($B242,'Code Mapping'!$A$5:$A$1753,0)),"Unmapped"))</f>
        <v/>
      </c>
      <c r="N242" s="33" t="str">
        <f aca="false">IF($F242="","",$F242)</f>
        <v/>
      </c>
    </row>
    <row r="243" customFormat="false" ht="15" hidden="false" customHeight="false" outlineLevel="0" collapsed="false">
      <c r="L243" s="33" t="str">
        <f aca="false">IF($B243="","",IFERROR(INDEX('Code Mapping'!$D$5:$D$1753,MATCH($B243,'Code Mapping'!$A$5:$A$1753,0)),"Unmapped"))</f>
        <v/>
      </c>
      <c r="M243" s="33" t="str">
        <f aca="false">IF($B243="","",IFERROR(INDEX('Code Mapping'!$E$5:$E$1753,MATCH($B243,'Code Mapping'!$A$5:$A$1753,0)),"Unmapped"))</f>
        <v/>
      </c>
      <c r="N243" s="33" t="str">
        <f aca="false">IF($F243="","",$F243)</f>
        <v/>
      </c>
    </row>
    <row r="244" customFormat="false" ht="15" hidden="false" customHeight="false" outlineLevel="0" collapsed="false">
      <c r="L244" s="33" t="str">
        <f aca="false">IF($B244="","",IFERROR(INDEX('Code Mapping'!$D$5:$D$1753,MATCH($B244,'Code Mapping'!$A$5:$A$1753,0)),"Unmapped"))</f>
        <v/>
      </c>
      <c r="M244" s="33" t="str">
        <f aca="false">IF($B244="","",IFERROR(INDEX('Code Mapping'!$E$5:$E$1753,MATCH($B244,'Code Mapping'!$A$5:$A$1753,0)),"Unmapped"))</f>
        <v/>
      </c>
      <c r="N244" s="33" t="str">
        <f aca="false">IF($F244="","",$F244)</f>
        <v/>
      </c>
    </row>
    <row r="245" customFormat="false" ht="15" hidden="false" customHeight="false" outlineLevel="0" collapsed="false">
      <c r="L245" s="33" t="str">
        <f aca="false">IF($B245="","",IFERROR(INDEX('Code Mapping'!$D$5:$D$1753,MATCH($B245,'Code Mapping'!$A$5:$A$1753,0)),"Unmapped"))</f>
        <v/>
      </c>
      <c r="M245" s="33" t="str">
        <f aca="false">IF($B245="","",IFERROR(INDEX('Code Mapping'!$E$5:$E$1753,MATCH($B245,'Code Mapping'!$A$5:$A$1753,0)),"Unmapped"))</f>
        <v/>
      </c>
      <c r="N245" s="33" t="str">
        <f aca="false">IF($F245="","",$F245)</f>
        <v/>
      </c>
    </row>
    <row r="246" customFormat="false" ht="15" hidden="false" customHeight="false" outlineLevel="0" collapsed="false">
      <c r="L246" s="33" t="str">
        <f aca="false">IF($B246="","",IFERROR(INDEX('Code Mapping'!$D$5:$D$1753,MATCH($B246,'Code Mapping'!$A$5:$A$1753,0)),"Unmapped"))</f>
        <v/>
      </c>
      <c r="M246" s="33" t="str">
        <f aca="false">IF($B246="","",IFERROR(INDEX('Code Mapping'!$E$5:$E$1753,MATCH($B246,'Code Mapping'!$A$5:$A$1753,0)),"Unmapped"))</f>
        <v/>
      </c>
      <c r="N246" s="33" t="str">
        <f aca="false">IF($F246="","",$F246)</f>
        <v/>
      </c>
    </row>
    <row r="247" customFormat="false" ht="15" hidden="false" customHeight="false" outlineLevel="0" collapsed="false">
      <c r="L247" s="33" t="str">
        <f aca="false">IF($B247="","",IFERROR(INDEX('Code Mapping'!$D$5:$D$1753,MATCH($B247,'Code Mapping'!$A$5:$A$1753,0)),"Unmapped"))</f>
        <v/>
      </c>
      <c r="M247" s="33" t="str">
        <f aca="false">IF($B247="","",IFERROR(INDEX('Code Mapping'!$E$5:$E$1753,MATCH($B247,'Code Mapping'!$A$5:$A$1753,0)),"Unmapped"))</f>
        <v/>
      </c>
      <c r="N247" s="33" t="str">
        <f aca="false">IF($F247="","",$F247)</f>
        <v/>
      </c>
    </row>
    <row r="248" customFormat="false" ht="15" hidden="false" customHeight="false" outlineLevel="0" collapsed="false">
      <c r="L248" s="33" t="str">
        <f aca="false">IF($B248="","",IFERROR(INDEX('Code Mapping'!$D$5:$D$1753,MATCH($B248,'Code Mapping'!$A$5:$A$1753,0)),"Unmapped"))</f>
        <v/>
      </c>
      <c r="M248" s="33" t="str">
        <f aca="false">IF($B248="","",IFERROR(INDEX('Code Mapping'!$E$5:$E$1753,MATCH($B248,'Code Mapping'!$A$5:$A$1753,0)),"Unmapped"))</f>
        <v/>
      </c>
      <c r="N248" s="33" t="str">
        <f aca="false">IF($F248="","",$F248)</f>
        <v/>
      </c>
    </row>
    <row r="249" customFormat="false" ht="15" hidden="false" customHeight="false" outlineLevel="0" collapsed="false">
      <c r="L249" s="33" t="str">
        <f aca="false">IF($B249="","",IFERROR(INDEX('Code Mapping'!$D$5:$D$1753,MATCH($B249,'Code Mapping'!$A$5:$A$1753,0)),"Unmapped"))</f>
        <v/>
      </c>
      <c r="M249" s="33" t="str">
        <f aca="false">IF($B249="","",IFERROR(INDEX('Code Mapping'!$E$5:$E$1753,MATCH($B249,'Code Mapping'!$A$5:$A$1753,0)),"Unmapped"))</f>
        <v/>
      </c>
      <c r="N249" s="33" t="str">
        <f aca="false">IF($F249="","",$F249)</f>
        <v/>
      </c>
    </row>
    <row r="250" customFormat="false" ht="15" hidden="false" customHeight="false" outlineLevel="0" collapsed="false">
      <c r="L250" s="33" t="str">
        <f aca="false">IF($B250="","",IFERROR(INDEX('Code Mapping'!$D$5:$D$1753,MATCH($B250,'Code Mapping'!$A$5:$A$1753,0)),"Unmapped"))</f>
        <v/>
      </c>
      <c r="M250" s="33" t="str">
        <f aca="false">IF($B250="","",IFERROR(INDEX('Code Mapping'!$E$5:$E$1753,MATCH($B250,'Code Mapping'!$A$5:$A$1753,0)),"Unmapped"))</f>
        <v/>
      </c>
      <c r="N250" s="33" t="str">
        <f aca="false">IF($F250="","",$F250)</f>
        <v/>
      </c>
    </row>
    <row r="251" customFormat="false" ht="15" hidden="false" customHeight="false" outlineLevel="0" collapsed="false">
      <c r="L251" s="33" t="str">
        <f aca="false">IF($B251="","",IFERROR(INDEX('Code Mapping'!$D$5:$D$1753,MATCH($B251,'Code Mapping'!$A$5:$A$1753,0)),"Unmapped"))</f>
        <v/>
      </c>
      <c r="M251" s="33" t="str">
        <f aca="false">IF($B251="","",IFERROR(INDEX('Code Mapping'!$E$5:$E$1753,MATCH($B251,'Code Mapping'!$A$5:$A$1753,0)),"Unmapped"))</f>
        <v/>
      </c>
      <c r="N251" s="33" t="str">
        <f aca="false">IF($F251="","",$F251)</f>
        <v/>
      </c>
    </row>
    <row r="252" customFormat="false" ht="15" hidden="false" customHeight="false" outlineLevel="0" collapsed="false">
      <c r="L252" s="33" t="str">
        <f aca="false">IF($B252="","",IFERROR(INDEX('Code Mapping'!$D$5:$D$1753,MATCH($B252,'Code Mapping'!$A$5:$A$1753,0)),"Unmapped"))</f>
        <v/>
      </c>
      <c r="M252" s="33" t="str">
        <f aca="false">IF($B252="","",IFERROR(INDEX('Code Mapping'!$E$5:$E$1753,MATCH($B252,'Code Mapping'!$A$5:$A$1753,0)),"Unmapped"))</f>
        <v/>
      </c>
      <c r="N252" s="33" t="str">
        <f aca="false">IF($F252="","",$F252)</f>
        <v/>
      </c>
    </row>
    <row r="253" customFormat="false" ht="15" hidden="false" customHeight="false" outlineLevel="0" collapsed="false">
      <c r="L253" s="33" t="str">
        <f aca="false">IF($B253="","",IFERROR(INDEX('Code Mapping'!$D$5:$D$1753,MATCH($B253,'Code Mapping'!$A$5:$A$1753,0)),"Unmapped"))</f>
        <v/>
      </c>
      <c r="M253" s="33" t="str">
        <f aca="false">IF($B253="","",IFERROR(INDEX('Code Mapping'!$E$5:$E$1753,MATCH($B253,'Code Mapping'!$A$5:$A$1753,0)),"Unmapped"))</f>
        <v/>
      </c>
      <c r="N253" s="33" t="str">
        <f aca="false">IF($F253="","",$F253)</f>
        <v/>
      </c>
    </row>
    <row r="254" customFormat="false" ht="15" hidden="false" customHeight="false" outlineLevel="0" collapsed="false">
      <c r="L254" s="33" t="str">
        <f aca="false">IF($B254="","",IFERROR(INDEX('Code Mapping'!$D$5:$D$1753,MATCH($B254,'Code Mapping'!$A$5:$A$1753,0)),"Unmapped"))</f>
        <v/>
      </c>
      <c r="M254" s="33" t="str">
        <f aca="false">IF($B254="","",IFERROR(INDEX('Code Mapping'!$E$5:$E$1753,MATCH($B254,'Code Mapping'!$A$5:$A$1753,0)),"Unmapped"))</f>
        <v/>
      </c>
      <c r="N254" s="33" t="str">
        <f aca="false">IF($F254="","",$F254)</f>
        <v/>
      </c>
    </row>
    <row r="255" customFormat="false" ht="15" hidden="false" customHeight="false" outlineLevel="0" collapsed="false">
      <c r="L255" s="33" t="str">
        <f aca="false">IF($B255="","",IFERROR(INDEX('Code Mapping'!$D$5:$D$1753,MATCH($B255,'Code Mapping'!$A$5:$A$1753,0)),"Unmapped"))</f>
        <v/>
      </c>
      <c r="M255" s="33" t="str">
        <f aca="false">IF($B255="","",IFERROR(INDEX('Code Mapping'!$E$5:$E$1753,MATCH($B255,'Code Mapping'!$A$5:$A$1753,0)),"Unmapped"))</f>
        <v/>
      </c>
      <c r="N255" s="33" t="str">
        <f aca="false">IF($F255="","",$F255)</f>
        <v/>
      </c>
    </row>
    <row r="256" customFormat="false" ht="15" hidden="false" customHeight="false" outlineLevel="0" collapsed="false">
      <c r="L256" s="33" t="str">
        <f aca="false">IF($B256="","",IFERROR(INDEX('Code Mapping'!$D$5:$D$1753,MATCH($B256,'Code Mapping'!$A$5:$A$1753,0)),"Unmapped"))</f>
        <v/>
      </c>
      <c r="M256" s="33" t="str">
        <f aca="false">IF($B256="","",IFERROR(INDEX('Code Mapping'!$E$5:$E$1753,MATCH($B256,'Code Mapping'!$A$5:$A$1753,0)),"Unmapped"))</f>
        <v/>
      </c>
      <c r="N256" s="33" t="str">
        <f aca="false">IF($F256="","",$F256)</f>
        <v/>
      </c>
    </row>
    <row r="257" customFormat="false" ht="15" hidden="false" customHeight="false" outlineLevel="0" collapsed="false">
      <c r="L257" s="33" t="str">
        <f aca="false">IF($B257="","",IFERROR(INDEX('Code Mapping'!$D$5:$D$1753,MATCH($B257,'Code Mapping'!$A$5:$A$1753,0)),"Unmapped"))</f>
        <v/>
      </c>
      <c r="M257" s="33" t="str">
        <f aca="false">IF($B257="","",IFERROR(INDEX('Code Mapping'!$E$5:$E$1753,MATCH($B257,'Code Mapping'!$A$5:$A$1753,0)),"Unmapped"))</f>
        <v/>
      </c>
      <c r="N257" s="33" t="str">
        <f aca="false">IF($F257="","",$F257)</f>
        <v/>
      </c>
    </row>
    <row r="258" customFormat="false" ht="15" hidden="false" customHeight="false" outlineLevel="0" collapsed="false">
      <c r="L258" s="33" t="str">
        <f aca="false">IF($B258="","",IFERROR(INDEX('Code Mapping'!$D$5:$D$1753,MATCH($B258,'Code Mapping'!$A$5:$A$1753,0)),"Unmapped"))</f>
        <v/>
      </c>
      <c r="M258" s="33" t="str">
        <f aca="false">IF($B258="","",IFERROR(INDEX('Code Mapping'!$E$5:$E$1753,MATCH($B258,'Code Mapping'!$A$5:$A$1753,0)),"Unmapped"))</f>
        <v/>
      </c>
      <c r="N258" s="33" t="str">
        <f aca="false">IF($F258="","",$F258)</f>
        <v/>
      </c>
    </row>
    <row r="259" customFormat="false" ht="15" hidden="false" customHeight="false" outlineLevel="0" collapsed="false">
      <c r="L259" s="33" t="str">
        <f aca="false">IF($B259="","",IFERROR(INDEX('Code Mapping'!$D$5:$D$1753,MATCH($B259,'Code Mapping'!$A$5:$A$1753,0)),"Unmapped"))</f>
        <v/>
      </c>
      <c r="M259" s="33" t="str">
        <f aca="false">IF($B259="","",IFERROR(INDEX('Code Mapping'!$E$5:$E$1753,MATCH($B259,'Code Mapping'!$A$5:$A$1753,0)),"Unmapped"))</f>
        <v/>
      </c>
      <c r="N259" s="33" t="str">
        <f aca="false">IF($F259="","",$F259)</f>
        <v/>
      </c>
    </row>
    <row r="260" customFormat="false" ht="15" hidden="false" customHeight="false" outlineLevel="0" collapsed="false">
      <c r="L260" s="33" t="str">
        <f aca="false">IF($B260="","",IFERROR(INDEX('Code Mapping'!$D$5:$D$1753,MATCH($B260,'Code Mapping'!$A$5:$A$1753,0)),"Unmapped"))</f>
        <v/>
      </c>
      <c r="M260" s="33" t="str">
        <f aca="false">IF($B260="","",IFERROR(INDEX('Code Mapping'!$E$5:$E$1753,MATCH($B260,'Code Mapping'!$A$5:$A$1753,0)),"Unmapped"))</f>
        <v/>
      </c>
      <c r="N260" s="33" t="str">
        <f aca="false">IF($F260="","",$F260)</f>
        <v/>
      </c>
    </row>
    <row r="261" customFormat="false" ht="15" hidden="false" customHeight="false" outlineLevel="0" collapsed="false">
      <c r="L261" s="33" t="str">
        <f aca="false">IF($B261="","",IFERROR(INDEX('Code Mapping'!$D$5:$D$1753,MATCH($B261,'Code Mapping'!$A$5:$A$1753,0)),"Unmapped"))</f>
        <v/>
      </c>
      <c r="M261" s="33" t="str">
        <f aca="false">IF($B261="","",IFERROR(INDEX('Code Mapping'!$E$5:$E$1753,MATCH($B261,'Code Mapping'!$A$5:$A$1753,0)),"Unmapped"))</f>
        <v/>
      </c>
      <c r="N261" s="33" t="str">
        <f aca="false">IF($F261="","",$F261)</f>
        <v/>
      </c>
    </row>
    <row r="262" customFormat="false" ht="15" hidden="false" customHeight="false" outlineLevel="0" collapsed="false">
      <c r="L262" s="33" t="str">
        <f aca="false">IF($B262="","",IFERROR(INDEX('Code Mapping'!$D$5:$D$1753,MATCH($B262,'Code Mapping'!$A$5:$A$1753,0)),"Unmapped"))</f>
        <v/>
      </c>
      <c r="M262" s="33" t="str">
        <f aca="false">IF($B262="","",IFERROR(INDEX('Code Mapping'!$E$5:$E$1753,MATCH($B262,'Code Mapping'!$A$5:$A$1753,0)),"Unmapped"))</f>
        <v/>
      </c>
      <c r="N262" s="33" t="str">
        <f aca="false">IF($F262="","",$F262)</f>
        <v/>
      </c>
    </row>
    <row r="263" customFormat="false" ht="15" hidden="false" customHeight="false" outlineLevel="0" collapsed="false">
      <c r="L263" s="33" t="str">
        <f aca="false">IF($B263="","",IFERROR(INDEX('Code Mapping'!$D$5:$D$1753,MATCH($B263,'Code Mapping'!$A$5:$A$1753,0)),"Unmapped"))</f>
        <v/>
      </c>
      <c r="M263" s="33" t="str">
        <f aca="false">IF($B263="","",IFERROR(INDEX('Code Mapping'!$E$5:$E$1753,MATCH($B263,'Code Mapping'!$A$5:$A$1753,0)),"Unmapped"))</f>
        <v/>
      </c>
      <c r="N263" s="33" t="str">
        <f aca="false">IF($F263="","",$F263)</f>
        <v/>
      </c>
    </row>
    <row r="264" customFormat="false" ht="15" hidden="false" customHeight="false" outlineLevel="0" collapsed="false">
      <c r="L264" s="33" t="str">
        <f aca="false">IF($B264="","",IFERROR(INDEX('Code Mapping'!$D$5:$D$1753,MATCH($B264,'Code Mapping'!$A$5:$A$1753,0)),"Unmapped"))</f>
        <v/>
      </c>
      <c r="M264" s="33" t="str">
        <f aca="false">IF($B264="","",IFERROR(INDEX('Code Mapping'!$E$5:$E$1753,MATCH($B264,'Code Mapping'!$A$5:$A$1753,0)),"Unmapped"))</f>
        <v/>
      </c>
      <c r="N264" s="33" t="str">
        <f aca="false">IF($F264="","",$F264)</f>
        <v/>
      </c>
    </row>
    <row r="265" customFormat="false" ht="15" hidden="false" customHeight="false" outlineLevel="0" collapsed="false">
      <c r="L265" s="33" t="str">
        <f aca="false">IF($B265="","",IFERROR(INDEX('Code Mapping'!$D$5:$D$1753,MATCH($B265,'Code Mapping'!$A$5:$A$1753,0)),"Unmapped"))</f>
        <v/>
      </c>
      <c r="M265" s="33" t="str">
        <f aca="false">IF($B265="","",IFERROR(INDEX('Code Mapping'!$E$5:$E$1753,MATCH($B265,'Code Mapping'!$A$5:$A$1753,0)),"Unmapped"))</f>
        <v/>
      </c>
      <c r="N265" s="33" t="str">
        <f aca="false">IF($F265="","",$F265)</f>
        <v/>
      </c>
    </row>
    <row r="266" customFormat="false" ht="15" hidden="false" customHeight="false" outlineLevel="0" collapsed="false">
      <c r="L266" s="33" t="str">
        <f aca="false">IF($B266="","",IFERROR(INDEX('Code Mapping'!$D$5:$D$1753,MATCH($B266,'Code Mapping'!$A$5:$A$1753,0)),"Unmapped"))</f>
        <v/>
      </c>
      <c r="M266" s="33" t="str">
        <f aca="false">IF($B266="","",IFERROR(INDEX('Code Mapping'!$E$5:$E$1753,MATCH($B266,'Code Mapping'!$A$5:$A$1753,0)),"Unmapped"))</f>
        <v/>
      </c>
      <c r="N266" s="33" t="str">
        <f aca="false">IF($F266="","",$F266)</f>
        <v/>
      </c>
    </row>
    <row r="267" customFormat="false" ht="15" hidden="false" customHeight="false" outlineLevel="0" collapsed="false">
      <c r="L267" s="33" t="str">
        <f aca="false">IF($B267="","",IFERROR(INDEX('Code Mapping'!$D$5:$D$1753,MATCH($B267,'Code Mapping'!$A$5:$A$1753,0)),"Unmapped"))</f>
        <v/>
      </c>
      <c r="M267" s="33" t="str">
        <f aca="false">IF($B267="","",IFERROR(INDEX('Code Mapping'!$E$5:$E$1753,MATCH($B267,'Code Mapping'!$A$5:$A$1753,0)),"Unmapped"))</f>
        <v/>
      </c>
      <c r="N267" s="33" t="str">
        <f aca="false">IF($F267="","",$F267)</f>
        <v/>
      </c>
    </row>
    <row r="268" customFormat="false" ht="15" hidden="false" customHeight="false" outlineLevel="0" collapsed="false">
      <c r="L268" s="33" t="str">
        <f aca="false">IF($B268="","",IFERROR(INDEX('Code Mapping'!$D$5:$D$1753,MATCH($B268,'Code Mapping'!$A$5:$A$1753,0)),"Unmapped"))</f>
        <v/>
      </c>
      <c r="M268" s="33" t="str">
        <f aca="false">IF($B268="","",IFERROR(INDEX('Code Mapping'!$E$5:$E$1753,MATCH($B268,'Code Mapping'!$A$5:$A$1753,0)),"Unmapped"))</f>
        <v/>
      </c>
      <c r="N268" s="33" t="str">
        <f aca="false">IF($F268="","",$F268)</f>
        <v/>
      </c>
    </row>
    <row r="269" customFormat="false" ht="15" hidden="false" customHeight="false" outlineLevel="0" collapsed="false">
      <c r="L269" s="33" t="str">
        <f aca="false">IF($B269="","",IFERROR(INDEX('Code Mapping'!$D$5:$D$1753,MATCH($B269,'Code Mapping'!$A$5:$A$1753,0)),"Unmapped"))</f>
        <v/>
      </c>
      <c r="M269" s="33" t="str">
        <f aca="false">IF($B269="","",IFERROR(INDEX('Code Mapping'!$E$5:$E$1753,MATCH($B269,'Code Mapping'!$A$5:$A$1753,0)),"Unmapped"))</f>
        <v/>
      </c>
      <c r="N269" s="33" t="str">
        <f aca="false">IF($F269="","",$F269)</f>
        <v/>
      </c>
    </row>
    <row r="270" customFormat="false" ht="15" hidden="false" customHeight="false" outlineLevel="0" collapsed="false">
      <c r="L270" s="33" t="str">
        <f aca="false">IF($B270="","",IFERROR(INDEX('Code Mapping'!$D$5:$D$1753,MATCH($B270,'Code Mapping'!$A$5:$A$1753,0)),"Unmapped"))</f>
        <v/>
      </c>
      <c r="M270" s="33" t="str">
        <f aca="false">IF($B270="","",IFERROR(INDEX('Code Mapping'!$E$5:$E$1753,MATCH($B270,'Code Mapping'!$A$5:$A$1753,0)),"Unmapped"))</f>
        <v/>
      </c>
      <c r="N270" s="33" t="str">
        <f aca="false">IF($F270="","",$F270)</f>
        <v/>
      </c>
    </row>
    <row r="271" customFormat="false" ht="15" hidden="false" customHeight="false" outlineLevel="0" collapsed="false">
      <c r="L271" s="33" t="str">
        <f aca="false">IF($B271="","",IFERROR(INDEX('Code Mapping'!$D$5:$D$1753,MATCH($B271,'Code Mapping'!$A$5:$A$1753,0)),"Unmapped"))</f>
        <v/>
      </c>
      <c r="M271" s="33" t="str">
        <f aca="false">IF($B271="","",IFERROR(INDEX('Code Mapping'!$E$5:$E$1753,MATCH($B271,'Code Mapping'!$A$5:$A$1753,0)),"Unmapped"))</f>
        <v/>
      </c>
      <c r="N271" s="33" t="str">
        <f aca="false">IF($F271="","",$F271)</f>
        <v/>
      </c>
    </row>
    <row r="272" customFormat="false" ht="15" hidden="false" customHeight="false" outlineLevel="0" collapsed="false">
      <c r="L272" s="33" t="str">
        <f aca="false">IF($B272="","",IFERROR(INDEX('Code Mapping'!$D$5:$D$1753,MATCH($B272,'Code Mapping'!$A$5:$A$1753,0)),"Unmapped"))</f>
        <v/>
      </c>
      <c r="M272" s="33" t="str">
        <f aca="false">IF($B272="","",IFERROR(INDEX('Code Mapping'!$E$5:$E$1753,MATCH($B272,'Code Mapping'!$A$5:$A$1753,0)),"Unmapped"))</f>
        <v/>
      </c>
      <c r="N272" s="33" t="str">
        <f aca="false">IF($F272="","",$F272)</f>
        <v/>
      </c>
    </row>
    <row r="273" customFormat="false" ht="15" hidden="false" customHeight="false" outlineLevel="0" collapsed="false">
      <c r="L273" s="33" t="str">
        <f aca="false">IF($B273="","",IFERROR(INDEX('Code Mapping'!$D$5:$D$1753,MATCH($B273,'Code Mapping'!$A$5:$A$1753,0)),"Unmapped"))</f>
        <v/>
      </c>
      <c r="M273" s="33" t="str">
        <f aca="false">IF($B273="","",IFERROR(INDEX('Code Mapping'!$E$5:$E$1753,MATCH($B273,'Code Mapping'!$A$5:$A$1753,0)),"Unmapped"))</f>
        <v/>
      </c>
      <c r="N273" s="33" t="str">
        <f aca="false">IF($F273="","",$F273)</f>
        <v/>
      </c>
    </row>
    <row r="274" customFormat="false" ht="15" hidden="false" customHeight="false" outlineLevel="0" collapsed="false">
      <c r="L274" s="33" t="str">
        <f aca="false">IF($B274="","",IFERROR(INDEX('Code Mapping'!$D$5:$D$1753,MATCH($B274,'Code Mapping'!$A$5:$A$1753,0)),"Unmapped"))</f>
        <v/>
      </c>
      <c r="M274" s="33" t="str">
        <f aca="false">IF($B274="","",IFERROR(INDEX('Code Mapping'!$E$5:$E$1753,MATCH($B274,'Code Mapping'!$A$5:$A$1753,0)),"Unmapped"))</f>
        <v/>
      </c>
      <c r="N274" s="33" t="str">
        <f aca="false">IF($F274="","",$F274)</f>
        <v/>
      </c>
    </row>
    <row r="275" customFormat="false" ht="15" hidden="false" customHeight="false" outlineLevel="0" collapsed="false">
      <c r="L275" s="33" t="str">
        <f aca="false">IF($B275="","",IFERROR(INDEX('Code Mapping'!$D$5:$D$1753,MATCH($B275,'Code Mapping'!$A$5:$A$1753,0)),"Unmapped"))</f>
        <v/>
      </c>
      <c r="M275" s="33" t="str">
        <f aca="false">IF($B275="","",IFERROR(INDEX('Code Mapping'!$E$5:$E$1753,MATCH($B275,'Code Mapping'!$A$5:$A$1753,0)),"Unmapped"))</f>
        <v/>
      </c>
      <c r="N275" s="33" t="str">
        <f aca="false">IF($F275="","",$F275)</f>
        <v/>
      </c>
    </row>
    <row r="276" customFormat="false" ht="15" hidden="false" customHeight="false" outlineLevel="0" collapsed="false">
      <c r="L276" s="33" t="str">
        <f aca="false">IF($B276="","",IFERROR(INDEX('Code Mapping'!$D$5:$D$1753,MATCH($B276,'Code Mapping'!$A$5:$A$1753,0)),"Unmapped"))</f>
        <v/>
      </c>
      <c r="M276" s="33" t="str">
        <f aca="false">IF($B276="","",IFERROR(INDEX('Code Mapping'!$E$5:$E$1753,MATCH($B276,'Code Mapping'!$A$5:$A$1753,0)),"Unmapped"))</f>
        <v/>
      </c>
      <c r="N276" s="33" t="str">
        <f aca="false">IF($F276="","",$F276)</f>
        <v/>
      </c>
    </row>
    <row r="277" customFormat="false" ht="15" hidden="false" customHeight="false" outlineLevel="0" collapsed="false">
      <c r="L277" s="33" t="str">
        <f aca="false">IF($B277="","",IFERROR(INDEX('Code Mapping'!$D$5:$D$1753,MATCH($B277,'Code Mapping'!$A$5:$A$1753,0)),"Unmapped"))</f>
        <v/>
      </c>
      <c r="M277" s="33" t="str">
        <f aca="false">IF($B277="","",IFERROR(INDEX('Code Mapping'!$E$5:$E$1753,MATCH($B277,'Code Mapping'!$A$5:$A$1753,0)),"Unmapped"))</f>
        <v/>
      </c>
      <c r="N277" s="33" t="str">
        <f aca="false">IF($F277="","",$F277)</f>
        <v/>
      </c>
    </row>
    <row r="278" customFormat="false" ht="15" hidden="false" customHeight="false" outlineLevel="0" collapsed="false">
      <c r="L278" s="33" t="str">
        <f aca="false">IF($B278="","",IFERROR(INDEX('Code Mapping'!$D$5:$D$1753,MATCH($B278,'Code Mapping'!$A$5:$A$1753,0)),"Unmapped"))</f>
        <v/>
      </c>
      <c r="M278" s="33" t="str">
        <f aca="false">IF($B278="","",IFERROR(INDEX('Code Mapping'!$E$5:$E$1753,MATCH($B278,'Code Mapping'!$A$5:$A$1753,0)),"Unmapped"))</f>
        <v/>
      </c>
      <c r="N278" s="33" t="str">
        <f aca="false">IF($F278="","",$F278)</f>
        <v/>
      </c>
    </row>
    <row r="279" customFormat="false" ht="15" hidden="false" customHeight="false" outlineLevel="0" collapsed="false">
      <c r="L279" s="33" t="str">
        <f aca="false">IF($B279="","",IFERROR(INDEX('Code Mapping'!$D$5:$D$1753,MATCH($B279,'Code Mapping'!$A$5:$A$1753,0)),"Unmapped"))</f>
        <v/>
      </c>
      <c r="M279" s="33" t="str">
        <f aca="false">IF($B279="","",IFERROR(INDEX('Code Mapping'!$E$5:$E$1753,MATCH($B279,'Code Mapping'!$A$5:$A$1753,0)),"Unmapped"))</f>
        <v/>
      </c>
      <c r="N279" s="33" t="str">
        <f aca="false">IF($F279="","",$F279)</f>
        <v/>
      </c>
    </row>
    <row r="280" customFormat="false" ht="15" hidden="false" customHeight="false" outlineLevel="0" collapsed="false">
      <c r="L280" s="33" t="str">
        <f aca="false">IF($B280="","",IFERROR(INDEX('Code Mapping'!$D$5:$D$1753,MATCH($B280,'Code Mapping'!$A$5:$A$1753,0)),"Unmapped"))</f>
        <v/>
      </c>
      <c r="M280" s="33" t="str">
        <f aca="false">IF($B280="","",IFERROR(INDEX('Code Mapping'!$E$5:$E$1753,MATCH($B280,'Code Mapping'!$A$5:$A$1753,0)),"Unmapped"))</f>
        <v/>
      </c>
      <c r="N280" s="33" t="str">
        <f aca="false">IF($F280="","",$F280)</f>
        <v/>
      </c>
    </row>
    <row r="281" customFormat="false" ht="15" hidden="false" customHeight="false" outlineLevel="0" collapsed="false">
      <c r="L281" s="33" t="str">
        <f aca="false">IF($B281="","",IFERROR(INDEX('Code Mapping'!$D$5:$D$1753,MATCH($B281,'Code Mapping'!$A$5:$A$1753,0)),"Unmapped"))</f>
        <v/>
      </c>
      <c r="M281" s="33" t="str">
        <f aca="false">IF($B281="","",IFERROR(INDEX('Code Mapping'!$E$5:$E$1753,MATCH($B281,'Code Mapping'!$A$5:$A$1753,0)),"Unmapped"))</f>
        <v/>
      </c>
      <c r="N281" s="33" t="str">
        <f aca="false">IF($F281="","",$F281)</f>
        <v/>
      </c>
    </row>
    <row r="282" customFormat="false" ht="15" hidden="false" customHeight="false" outlineLevel="0" collapsed="false">
      <c r="L282" s="33" t="str">
        <f aca="false">IF($B282="","",IFERROR(INDEX('Code Mapping'!$D$5:$D$1753,MATCH($B282,'Code Mapping'!$A$5:$A$1753,0)),"Unmapped"))</f>
        <v/>
      </c>
      <c r="M282" s="33" t="str">
        <f aca="false">IF($B282="","",IFERROR(INDEX('Code Mapping'!$E$5:$E$1753,MATCH($B282,'Code Mapping'!$A$5:$A$1753,0)),"Unmapped"))</f>
        <v/>
      </c>
      <c r="N282" s="33" t="str">
        <f aca="false">IF($F282="","",$F282)</f>
        <v/>
      </c>
    </row>
    <row r="283" customFormat="false" ht="15" hidden="false" customHeight="false" outlineLevel="0" collapsed="false">
      <c r="L283" s="33" t="str">
        <f aca="false">IF($B283="","",IFERROR(INDEX('Code Mapping'!$D$5:$D$1753,MATCH($B283,'Code Mapping'!$A$5:$A$1753,0)),"Unmapped"))</f>
        <v/>
      </c>
      <c r="M283" s="33" t="str">
        <f aca="false">IF($B283="","",IFERROR(INDEX('Code Mapping'!$E$5:$E$1753,MATCH($B283,'Code Mapping'!$A$5:$A$1753,0)),"Unmapped"))</f>
        <v/>
      </c>
      <c r="N283" s="33" t="str">
        <f aca="false">IF($F283="","",$F283)</f>
        <v/>
      </c>
    </row>
    <row r="284" customFormat="false" ht="15" hidden="false" customHeight="false" outlineLevel="0" collapsed="false">
      <c r="L284" s="33" t="str">
        <f aca="false">IF($B284="","",IFERROR(INDEX('Code Mapping'!$D$5:$D$1753,MATCH($B284,'Code Mapping'!$A$5:$A$1753,0)),"Unmapped"))</f>
        <v/>
      </c>
      <c r="M284" s="33" t="str">
        <f aca="false">IF($B284="","",IFERROR(INDEX('Code Mapping'!$E$5:$E$1753,MATCH($B284,'Code Mapping'!$A$5:$A$1753,0)),"Unmapped"))</f>
        <v/>
      </c>
      <c r="N284" s="33" t="str">
        <f aca="false">IF($F284="","",$F284)</f>
        <v/>
      </c>
    </row>
    <row r="285" customFormat="false" ht="15" hidden="false" customHeight="false" outlineLevel="0" collapsed="false">
      <c r="L285" s="33" t="str">
        <f aca="false">IF($B285="","",IFERROR(INDEX('Code Mapping'!$D$5:$D$1753,MATCH($B285,'Code Mapping'!$A$5:$A$1753,0)),"Unmapped"))</f>
        <v/>
      </c>
      <c r="M285" s="33" t="str">
        <f aca="false">IF($B285="","",IFERROR(INDEX('Code Mapping'!$E$5:$E$1753,MATCH($B285,'Code Mapping'!$A$5:$A$1753,0)),"Unmapped"))</f>
        <v/>
      </c>
      <c r="N285" s="33" t="str">
        <f aca="false">IF($F285="","",$F285)</f>
        <v/>
      </c>
    </row>
    <row r="286" customFormat="false" ht="15" hidden="false" customHeight="false" outlineLevel="0" collapsed="false">
      <c r="L286" s="33" t="str">
        <f aca="false">IF($B286="","",IFERROR(INDEX('Code Mapping'!$D$5:$D$1753,MATCH($B286,'Code Mapping'!$A$5:$A$1753,0)),"Unmapped"))</f>
        <v/>
      </c>
      <c r="M286" s="33" t="str">
        <f aca="false">IF($B286="","",IFERROR(INDEX('Code Mapping'!$E$5:$E$1753,MATCH($B286,'Code Mapping'!$A$5:$A$1753,0)),"Unmapped"))</f>
        <v/>
      </c>
      <c r="N286" s="33" t="str">
        <f aca="false">IF($F286="","",$F286)</f>
        <v/>
      </c>
    </row>
    <row r="287" customFormat="false" ht="15" hidden="false" customHeight="false" outlineLevel="0" collapsed="false">
      <c r="L287" s="33" t="str">
        <f aca="false">IF($B287="","",IFERROR(INDEX('Code Mapping'!$D$5:$D$1753,MATCH($B287,'Code Mapping'!$A$5:$A$1753,0)),"Unmapped"))</f>
        <v/>
      </c>
      <c r="M287" s="33" t="str">
        <f aca="false">IF($B287="","",IFERROR(INDEX('Code Mapping'!$E$5:$E$1753,MATCH($B287,'Code Mapping'!$A$5:$A$1753,0)),"Unmapped"))</f>
        <v/>
      </c>
      <c r="N287" s="33" t="str">
        <f aca="false">IF($F287="","",$F287)</f>
        <v/>
      </c>
    </row>
    <row r="288" customFormat="false" ht="15" hidden="false" customHeight="false" outlineLevel="0" collapsed="false">
      <c r="L288" s="33" t="str">
        <f aca="false">IF($B288="","",IFERROR(INDEX('Code Mapping'!$D$5:$D$1753,MATCH($B288,'Code Mapping'!$A$5:$A$1753,0)),"Unmapped"))</f>
        <v/>
      </c>
      <c r="M288" s="33" t="str">
        <f aca="false">IF($B288="","",IFERROR(INDEX('Code Mapping'!$E$5:$E$1753,MATCH($B288,'Code Mapping'!$A$5:$A$1753,0)),"Unmapped"))</f>
        <v/>
      </c>
      <c r="N288" s="33" t="str">
        <f aca="false">IF($F288="","",$F288)</f>
        <v/>
      </c>
    </row>
    <row r="289" customFormat="false" ht="15" hidden="false" customHeight="false" outlineLevel="0" collapsed="false">
      <c r="L289" s="33" t="str">
        <f aca="false">IF($B289="","",IFERROR(INDEX('Code Mapping'!$D$5:$D$1753,MATCH($B289,'Code Mapping'!$A$5:$A$1753,0)),"Unmapped"))</f>
        <v/>
      </c>
      <c r="M289" s="33" t="str">
        <f aca="false">IF($B289="","",IFERROR(INDEX('Code Mapping'!$E$5:$E$1753,MATCH($B289,'Code Mapping'!$A$5:$A$1753,0)),"Unmapped"))</f>
        <v/>
      </c>
      <c r="N289" s="33" t="str">
        <f aca="false">IF($F289="","",$F289)</f>
        <v/>
      </c>
    </row>
    <row r="290" customFormat="false" ht="15" hidden="false" customHeight="false" outlineLevel="0" collapsed="false">
      <c r="L290" s="33" t="str">
        <f aca="false">IF($B290="","",IFERROR(INDEX('Code Mapping'!$D$5:$D$1753,MATCH($B290,'Code Mapping'!$A$5:$A$1753,0)),"Unmapped"))</f>
        <v/>
      </c>
      <c r="M290" s="33" t="str">
        <f aca="false">IF($B290="","",IFERROR(INDEX('Code Mapping'!$E$5:$E$1753,MATCH($B290,'Code Mapping'!$A$5:$A$1753,0)),"Unmapped"))</f>
        <v/>
      </c>
      <c r="N290" s="33" t="str">
        <f aca="false">IF($F290="","",$F290)</f>
        <v/>
      </c>
    </row>
    <row r="291" customFormat="false" ht="15" hidden="false" customHeight="false" outlineLevel="0" collapsed="false">
      <c r="L291" s="33" t="str">
        <f aca="false">IF($B291="","",IFERROR(INDEX('Code Mapping'!$D$5:$D$1753,MATCH($B291,'Code Mapping'!$A$5:$A$1753,0)),"Unmapped"))</f>
        <v/>
      </c>
      <c r="M291" s="33" t="str">
        <f aca="false">IF($B291="","",IFERROR(INDEX('Code Mapping'!$E$5:$E$1753,MATCH($B291,'Code Mapping'!$A$5:$A$1753,0)),"Unmapped"))</f>
        <v/>
      </c>
      <c r="N291" s="33" t="str">
        <f aca="false">IF($F291="","",$F291)</f>
        <v/>
      </c>
    </row>
    <row r="292" customFormat="false" ht="15" hidden="false" customHeight="false" outlineLevel="0" collapsed="false">
      <c r="L292" s="33" t="str">
        <f aca="false">IF($B292="","",IFERROR(INDEX('Code Mapping'!$D$5:$D$1753,MATCH($B292,'Code Mapping'!$A$5:$A$1753,0)),"Unmapped"))</f>
        <v/>
      </c>
      <c r="M292" s="33" t="str">
        <f aca="false">IF($B292="","",IFERROR(INDEX('Code Mapping'!$E$5:$E$1753,MATCH($B292,'Code Mapping'!$A$5:$A$1753,0)),"Unmapped"))</f>
        <v/>
      </c>
      <c r="N292" s="33" t="str">
        <f aca="false">IF($F292="","",$F292)</f>
        <v/>
      </c>
    </row>
    <row r="293" customFormat="false" ht="15" hidden="false" customHeight="false" outlineLevel="0" collapsed="false">
      <c r="L293" s="33" t="str">
        <f aca="false">IF($B293="","",IFERROR(INDEX('Code Mapping'!$D$5:$D$1753,MATCH($B293,'Code Mapping'!$A$5:$A$1753,0)),"Unmapped"))</f>
        <v/>
      </c>
      <c r="M293" s="33" t="str">
        <f aca="false">IF($B293="","",IFERROR(INDEX('Code Mapping'!$E$5:$E$1753,MATCH($B293,'Code Mapping'!$A$5:$A$1753,0)),"Unmapped"))</f>
        <v/>
      </c>
      <c r="N293" s="33" t="str">
        <f aca="false">IF($F293="","",$F293)</f>
        <v/>
      </c>
    </row>
    <row r="294" customFormat="false" ht="15" hidden="false" customHeight="false" outlineLevel="0" collapsed="false">
      <c r="L294" s="33" t="str">
        <f aca="false">IF($B294="","",IFERROR(INDEX('Code Mapping'!$D$5:$D$1753,MATCH($B294,'Code Mapping'!$A$5:$A$1753,0)),"Unmapped"))</f>
        <v/>
      </c>
      <c r="M294" s="33" t="str">
        <f aca="false">IF($B294="","",IFERROR(INDEX('Code Mapping'!$E$5:$E$1753,MATCH($B294,'Code Mapping'!$A$5:$A$1753,0)),"Unmapped"))</f>
        <v/>
      </c>
      <c r="N294" s="33" t="str">
        <f aca="false">IF($F294="","",$F294)</f>
        <v/>
      </c>
    </row>
    <row r="295" customFormat="false" ht="15" hidden="false" customHeight="false" outlineLevel="0" collapsed="false">
      <c r="L295" s="33" t="str">
        <f aca="false">IF($B295="","",IFERROR(INDEX('Code Mapping'!$D$5:$D$1753,MATCH($B295,'Code Mapping'!$A$5:$A$1753,0)),"Unmapped"))</f>
        <v/>
      </c>
      <c r="M295" s="33" t="str">
        <f aca="false">IF($B295="","",IFERROR(INDEX('Code Mapping'!$E$5:$E$1753,MATCH($B295,'Code Mapping'!$A$5:$A$1753,0)),"Unmapped"))</f>
        <v/>
      </c>
      <c r="N295" s="33" t="str">
        <f aca="false">IF($F295="","",$F295)</f>
        <v/>
      </c>
    </row>
    <row r="296" customFormat="false" ht="15" hidden="false" customHeight="false" outlineLevel="0" collapsed="false">
      <c r="L296" s="33" t="str">
        <f aca="false">IF($B296="","",IFERROR(INDEX('Code Mapping'!$D$5:$D$1753,MATCH($B296,'Code Mapping'!$A$5:$A$1753,0)),"Unmapped"))</f>
        <v/>
      </c>
      <c r="M296" s="33" t="str">
        <f aca="false">IF($B296="","",IFERROR(INDEX('Code Mapping'!$E$5:$E$1753,MATCH($B296,'Code Mapping'!$A$5:$A$1753,0)),"Unmapped"))</f>
        <v/>
      </c>
      <c r="N296" s="33" t="str">
        <f aca="false">IF($F296="","",$F296)</f>
        <v/>
      </c>
    </row>
    <row r="297" customFormat="false" ht="15" hidden="false" customHeight="false" outlineLevel="0" collapsed="false">
      <c r="L297" s="33" t="str">
        <f aca="false">IF($B297="","",IFERROR(INDEX('Code Mapping'!$D$5:$D$1753,MATCH($B297,'Code Mapping'!$A$5:$A$1753,0)),"Unmapped"))</f>
        <v/>
      </c>
      <c r="M297" s="33" t="str">
        <f aca="false">IF($B297="","",IFERROR(INDEX('Code Mapping'!$E$5:$E$1753,MATCH($B297,'Code Mapping'!$A$5:$A$1753,0)),"Unmapped"))</f>
        <v/>
      </c>
      <c r="N297" s="33" t="str">
        <f aca="false">IF($F297="","",$F297)</f>
        <v/>
      </c>
    </row>
    <row r="298" customFormat="false" ht="15" hidden="false" customHeight="false" outlineLevel="0" collapsed="false">
      <c r="L298" s="33" t="str">
        <f aca="false">IF($B298="","",IFERROR(INDEX('Code Mapping'!$D$5:$D$1753,MATCH($B298,'Code Mapping'!$A$5:$A$1753,0)),"Unmapped"))</f>
        <v/>
      </c>
      <c r="M298" s="33" t="str">
        <f aca="false">IF($B298="","",IFERROR(INDEX('Code Mapping'!$E$5:$E$1753,MATCH($B298,'Code Mapping'!$A$5:$A$1753,0)),"Unmapped"))</f>
        <v/>
      </c>
      <c r="N298" s="33" t="str">
        <f aca="false">IF($F298="","",$F298)</f>
        <v/>
      </c>
    </row>
    <row r="299" customFormat="false" ht="15" hidden="false" customHeight="false" outlineLevel="0" collapsed="false">
      <c r="L299" s="33" t="str">
        <f aca="false">IF($B299="","",IFERROR(INDEX('Code Mapping'!$D$5:$D$1753,MATCH($B299,'Code Mapping'!$A$5:$A$1753,0)),"Unmapped"))</f>
        <v/>
      </c>
      <c r="M299" s="33" t="str">
        <f aca="false">IF($B299="","",IFERROR(INDEX('Code Mapping'!$E$5:$E$1753,MATCH($B299,'Code Mapping'!$A$5:$A$1753,0)),"Unmapped"))</f>
        <v/>
      </c>
      <c r="N299" s="33" t="str">
        <f aca="false">IF($F299="","",$F299)</f>
        <v/>
      </c>
    </row>
    <row r="300" customFormat="false" ht="15" hidden="false" customHeight="false" outlineLevel="0" collapsed="false">
      <c r="L300" s="33" t="str">
        <f aca="false">IF($B300="","",IFERROR(INDEX('Code Mapping'!$D$5:$D$1753,MATCH($B300,'Code Mapping'!$A$5:$A$1753,0)),"Unmapped"))</f>
        <v/>
      </c>
      <c r="M300" s="33" t="str">
        <f aca="false">IF($B300="","",IFERROR(INDEX('Code Mapping'!$E$5:$E$1753,MATCH($B300,'Code Mapping'!$A$5:$A$1753,0)),"Unmapped"))</f>
        <v/>
      </c>
      <c r="N300" s="33" t="str">
        <f aca="false">IF($F300="","",$F300)</f>
        <v/>
      </c>
    </row>
    <row r="301" customFormat="false" ht="15" hidden="false" customHeight="false" outlineLevel="0" collapsed="false">
      <c r="L301" s="33" t="str">
        <f aca="false">IF($B301="","",IFERROR(INDEX('Code Mapping'!$D$5:$D$1753,MATCH($B301,'Code Mapping'!$A$5:$A$1753,0)),"Unmapped"))</f>
        <v/>
      </c>
      <c r="M301" s="33" t="str">
        <f aca="false">IF($B301="","",IFERROR(INDEX('Code Mapping'!$E$5:$E$1753,MATCH($B301,'Code Mapping'!$A$5:$A$1753,0)),"Unmapped"))</f>
        <v/>
      </c>
      <c r="N301" s="33" t="str">
        <f aca="false">IF($F301="","",$F301)</f>
        <v/>
      </c>
    </row>
    <row r="302" customFormat="false" ht="15" hidden="false" customHeight="false" outlineLevel="0" collapsed="false">
      <c r="L302" s="33" t="str">
        <f aca="false">IF($B302="","",IFERROR(INDEX('Code Mapping'!$D$5:$D$1753,MATCH($B302,'Code Mapping'!$A$5:$A$1753,0)),"Unmapped"))</f>
        <v/>
      </c>
      <c r="M302" s="33" t="str">
        <f aca="false">IF($B302="","",IFERROR(INDEX('Code Mapping'!$E$5:$E$1753,MATCH($B302,'Code Mapping'!$A$5:$A$1753,0)),"Unmapped"))</f>
        <v/>
      </c>
      <c r="N302" s="33" t="str">
        <f aca="false">IF($F302="","",$F302)</f>
        <v/>
      </c>
    </row>
    <row r="303" customFormat="false" ht="15" hidden="false" customHeight="false" outlineLevel="0" collapsed="false">
      <c r="L303" s="33" t="str">
        <f aca="false">IF($B303="","",IFERROR(INDEX('Code Mapping'!$D$5:$D$1753,MATCH($B303,'Code Mapping'!$A$5:$A$1753,0)),"Unmapped"))</f>
        <v/>
      </c>
      <c r="M303" s="33" t="str">
        <f aca="false">IF($B303="","",IFERROR(INDEX('Code Mapping'!$E$5:$E$1753,MATCH($B303,'Code Mapping'!$A$5:$A$1753,0)),"Unmapped"))</f>
        <v/>
      </c>
      <c r="N303" s="33" t="str">
        <f aca="false">IF($F303="","",$F303)</f>
        <v/>
      </c>
    </row>
    <row r="304" customFormat="false" ht="15" hidden="false" customHeight="false" outlineLevel="0" collapsed="false">
      <c r="L304" s="33" t="str">
        <f aca="false">IF($B304="","",IFERROR(INDEX('Code Mapping'!$D$5:$D$1753,MATCH($B304,'Code Mapping'!$A$5:$A$1753,0)),"Unmapped"))</f>
        <v/>
      </c>
      <c r="M304" s="33" t="str">
        <f aca="false">IF($B304="","",IFERROR(INDEX('Code Mapping'!$E$5:$E$1753,MATCH($B304,'Code Mapping'!$A$5:$A$1753,0)),"Unmapped"))</f>
        <v/>
      </c>
      <c r="N304" s="33" t="str">
        <f aca="false">IF($F304="","",$F304)</f>
        <v/>
      </c>
    </row>
    <row r="305" customFormat="false" ht="15" hidden="false" customHeight="false" outlineLevel="0" collapsed="false">
      <c r="L305" s="33" t="str">
        <f aca="false">IF($B305="","",IFERROR(INDEX('Code Mapping'!$D$5:$D$1753,MATCH($B305,'Code Mapping'!$A$5:$A$1753,0)),"Unmapped"))</f>
        <v/>
      </c>
      <c r="M305" s="33" t="str">
        <f aca="false">IF($B305="","",IFERROR(INDEX('Code Mapping'!$E$5:$E$1753,MATCH($B305,'Code Mapping'!$A$5:$A$1753,0)),"Unmapped"))</f>
        <v/>
      </c>
      <c r="N305" s="33" t="str">
        <f aca="false">IF($F305="","",$F305)</f>
        <v/>
      </c>
    </row>
    <row r="306" customFormat="false" ht="15" hidden="false" customHeight="false" outlineLevel="0" collapsed="false">
      <c r="L306" s="33" t="str">
        <f aca="false">IF($B306="","",IFERROR(INDEX('Code Mapping'!$D$5:$D$1753,MATCH($B306,'Code Mapping'!$A$5:$A$1753,0)),"Unmapped"))</f>
        <v/>
      </c>
      <c r="M306" s="33" t="str">
        <f aca="false">IF($B306="","",IFERROR(INDEX('Code Mapping'!$E$5:$E$1753,MATCH($B306,'Code Mapping'!$A$5:$A$1753,0)),"Unmapped"))</f>
        <v/>
      </c>
      <c r="N306" s="33" t="str">
        <f aca="false">IF($F306="","",$F306)</f>
        <v/>
      </c>
    </row>
    <row r="307" customFormat="false" ht="15" hidden="false" customHeight="false" outlineLevel="0" collapsed="false">
      <c r="L307" s="33" t="str">
        <f aca="false">IF($B307="","",IFERROR(INDEX('Code Mapping'!$D$5:$D$1753,MATCH($B307,'Code Mapping'!$A$5:$A$1753,0)),"Unmapped"))</f>
        <v/>
      </c>
      <c r="M307" s="33" t="str">
        <f aca="false">IF($B307="","",IFERROR(INDEX('Code Mapping'!$E$5:$E$1753,MATCH($B307,'Code Mapping'!$A$5:$A$1753,0)),"Unmapped"))</f>
        <v/>
      </c>
      <c r="N307" s="33" t="str">
        <f aca="false">IF($F307="","",$F307)</f>
        <v/>
      </c>
    </row>
    <row r="308" customFormat="false" ht="15" hidden="false" customHeight="false" outlineLevel="0" collapsed="false">
      <c r="L308" s="33" t="str">
        <f aca="false">IF($B308="","",IFERROR(INDEX('Code Mapping'!$D$5:$D$1753,MATCH($B308,'Code Mapping'!$A$5:$A$1753,0)),"Unmapped"))</f>
        <v/>
      </c>
      <c r="M308" s="33" t="str">
        <f aca="false">IF($B308="","",IFERROR(INDEX('Code Mapping'!$E$5:$E$1753,MATCH($B308,'Code Mapping'!$A$5:$A$1753,0)),"Unmapped"))</f>
        <v/>
      </c>
      <c r="N308" s="33" t="str">
        <f aca="false">IF($F308="","",$F308)</f>
        <v/>
      </c>
    </row>
    <row r="309" customFormat="false" ht="15" hidden="false" customHeight="false" outlineLevel="0" collapsed="false">
      <c r="L309" s="33" t="str">
        <f aca="false">IF($B309="","",IFERROR(INDEX('Code Mapping'!$D$5:$D$1753,MATCH($B309,'Code Mapping'!$A$5:$A$1753,0)),"Unmapped"))</f>
        <v/>
      </c>
      <c r="M309" s="33" t="str">
        <f aca="false">IF($B309="","",IFERROR(INDEX('Code Mapping'!$E$5:$E$1753,MATCH($B309,'Code Mapping'!$A$5:$A$1753,0)),"Unmapped"))</f>
        <v/>
      </c>
      <c r="N309" s="33" t="str">
        <f aca="false">IF($F309="","",$F309)</f>
        <v/>
      </c>
    </row>
    <row r="310" customFormat="false" ht="15" hidden="false" customHeight="false" outlineLevel="0" collapsed="false">
      <c r="L310" s="33" t="str">
        <f aca="false">IF($B310="","",IFERROR(INDEX('Code Mapping'!$D$5:$D$1753,MATCH($B310,'Code Mapping'!$A$5:$A$1753,0)),"Unmapped"))</f>
        <v/>
      </c>
      <c r="M310" s="33" t="str">
        <f aca="false">IF($B310="","",IFERROR(INDEX('Code Mapping'!$E$5:$E$1753,MATCH($B310,'Code Mapping'!$A$5:$A$1753,0)),"Unmapped"))</f>
        <v/>
      </c>
      <c r="N310" s="33" t="str">
        <f aca="false">IF($F310="","",$F310)</f>
        <v/>
      </c>
    </row>
    <row r="311" customFormat="false" ht="15" hidden="false" customHeight="false" outlineLevel="0" collapsed="false">
      <c r="L311" s="33" t="str">
        <f aca="false">IF($B311="","",IFERROR(INDEX('Code Mapping'!$D$5:$D$1753,MATCH($B311,'Code Mapping'!$A$5:$A$1753,0)),"Unmapped"))</f>
        <v/>
      </c>
      <c r="M311" s="33" t="str">
        <f aca="false">IF($B311="","",IFERROR(INDEX('Code Mapping'!$E$5:$E$1753,MATCH($B311,'Code Mapping'!$A$5:$A$1753,0)),"Unmapped"))</f>
        <v/>
      </c>
      <c r="N311" s="33" t="str">
        <f aca="false">IF($F311="","",$F311)</f>
        <v/>
      </c>
    </row>
    <row r="312" customFormat="false" ht="15" hidden="false" customHeight="false" outlineLevel="0" collapsed="false">
      <c r="L312" s="33" t="str">
        <f aca="false">IF($B312="","",IFERROR(INDEX('Code Mapping'!$D$5:$D$1753,MATCH($B312,'Code Mapping'!$A$5:$A$1753,0)),"Unmapped"))</f>
        <v/>
      </c>
      <c r="M312" s="33" t="str">
        <f aca="false">IF($B312="","",IFERROR(INDEX('Code Mapping'!$E$5:$E$1753,MATCH($B312,'Code Mapping'!$A$5:$A$1753,0)),"Unmapped"))</f>
        <v/>
      </c>
      <c r="N312" s="33" t="str">
        <f aca="false">IF($F312="","",$F312)</f>
        <v/>
      </c>
    </row>
    <row r="313" customFormat="false" ht="15" hidden="false" customHeight="false" outlineLevel="0" collapsed="false">
      <c r="L313" s="33" t="str">
        <f aca="false">IF($B313="","",IFERROR(INDEX('Code Mapping'!$D$5:$D$1753,MATCH($B313,'Code Mapping'!$A$5:$A$1753,0)),"Unmapped"))</f>
        <v/>
      </c>
      <c r="M313" s="33" t="str">
        <f aca="false">IF($B313="","",IFERROR(INDEX('Code Mapping'!$E$5:$E$1753,MATCH($B313,'Code Mapping'!$A$5:$A$1753,0)),"Unmapped"))</f>
        <v/>
      </c>
      <c r="N313" s="33" t="str">
        <f aca="false">IF($F313="","",$F313)</f>
        <v/>
      </c>
    </row>
    <row r="314" customFormat="false" ht="15" hidden="false" customHeight="false" outlineLevel="0" collapsed="false">
      <c r="L314" s="33" t="str">
        <f aca="false">IF($B314="","",IFERROR(INDEX('Code Mapping'!$D$5:$D$1753,MATCH($B314,'Code Mapping'!$A$5:$A$1753,0)),"Unmapped"))</f>
        <v/>
      </c>
      <c r="M314" s="33" t="str">
        <f aca="false">IF($B314="","",IFERROR(INDEX('Code Mapping'!$E$5:$E$1753,MATCH($B314,'Code Mapping'!$A$5:$A$1753,0)),"Unmapped"))</f>
        <v/>
      </c>
      <c r="N314" s="33" t="str">
        <f aca="false">IF($F314="","",$F314)</f>
        <v/>
      </c>
    </row>
    <row r="315" customFormat="false" ht="15" hidden="false" customHeight="false" outlineLevel="0" collapsed="false">
      <c r="L315" s="33" t="str">
        <f aca="false">IF($B315="","",IFERROR(INDEX('Code Mapping'!$D$5:$D$1753,MATCH($B315,'Code Mapping'!$A$5:$A$1753,0)),"Unmapped"))</f>
        <v/>
      </c>
      <c r="M315" s="33" t="str">
        <f aca="false">IF($B315="","",IFERROR(INDEX('Code Mapping'!$E$5:$E$1753,MATCH($B315,'Code Mapping'!$A$5:$A$1753,0)),"Unmapped"))</f>
        <v/>
      </c>
      <c r="N315" s="33" t="str">
        <f aca="false">IF($F315="","",$F315)</f>
        <v/>
      </c>
    </row>
    <row r="316" customFormat="false" ht="15" hidden="false" customHeight="false" outlineLevel="0" collapsed="false">
      <c r="L316" s="33" t="str">
        <f aca="false">IF($B316="","",IFERROR(INDEX('Code Mapping'!$D$5:$D$1753,MATCH($B316,'Code Mapping'!$A$5:$A$1753,0)),"Unmapped"))</f>
        <v/>
      </c>
      <c r="M316" s="33" t="str">
        <f aca="false">IF($B316="","",IFERROR(INDEX('Code Mapping'!$E$5:$E$1753,MATCH($B316,'Code Mapping'!$A$5:$A$1753,0)),"Unmapped"))</f>
        <v/>
      </c>
      <c r="N316" s="33" t="str">
        <f aca="false">IF($F316="","",$F316)</f>
        <v/>
      </c>
    </row>
    <row r="317" customFormat="false" ht="15" hidden="false" customHeight="false" outlineLevel="0" collapsed="false">
      <c r="L317" s="33" t="str">
        <f aca="false">IF($B317="","",IFERROR(INDEX('Code Mapping'!$D$5:$D$1753,MATCH($B317,'Code Mapping'!$A$5:$A$1753,0)),"Unmapped"))</f>
        <v/>
      </c>
      <c r="M317" s="33" t="str">
        <f aca="false">IF($B317="","",IFERROR(INDEX('Code Mapping'!$E$5:$E$1753,MATCH($B317,'Code Mapping'!$A$5:$A$1753,0)),"Unmapped"))</f>
        <v/>
      </c>
      <c r="N317" s="33" t="str">
        <f aca="false">IF($F317="","",$F317)</f>
        <v/>
      </c>
    </row>
    <row r="318" customFormat="false" ht="15" hidden="false" customHeight="false" outlineLevel="0" collapsed="false">
      <c r="L318" s="33" t="str">
        <f aca="false">IF($B318="","",IFERROR(INDEX('Code Mapping'!$D$5:$D$1753,MATCH($B318,'Code Mapping'!$A$5:$A$1753,0)),"Unmapped"))</f>
        <v/>
      </c>
      <c r="M318" s="33" t="str">
        <f aca="false">IF($B318="","",IFERROR(INDEX('Code Mapping'!$E$5:$E$1753,MATCH($B318,'Code Mapping'!$A$5:$A$1753,0)),"Unmapped"))</f>
        <v/>
      </c>
      <c r="N318" s="33" t="str">
        <f aca="false">IF($F318="","",$F318)</f>
        <v/>
      </c>
    </row>
    <row r="319" customFormat="false" ht="15" hidden="false" customHeight="false" outlineLevel="0" collapsed="false">
      <c r="L319" s="33" t="str">
        <f aca="false">IF($B319="","",IFERROR(INDEX('Code Mapping'!$D$5:$D$1753,MATCH($B319,'Code Mapping'!$A$5:$A$1753,0)),"Unmapped"))</f>
        <v/>
      </c>
      <c r="M319" s="33" t="str">
        <f aca="false">IF($B319="","",IFERROR(INDEX('Code Mapping'!$E$5:$E$1753,MATCH($B319,'Code Mapping'!$A$5:$A$1753,0)),"Unmapped"))</f>
        <v/>
      </c>
      <c r="N319" s="33" t="str">
        <f aca="false">IF($F319="","",$F319)</f>
        <v/>
      </c>
    </row>
    <row r="320" customFormat="false" ht="15" hidden="false" customHeight="false" outlineLevel="0" collapsed="false">
      <c r="L320" s="33" t="str">
        <f aca="false">IF($B320="","",IFERROR(INDEX('Code Mapping'!$D$5:$D$1753,MATCH($B320,'Code Mapping'!$A$5:$A$1753,0)),"Unmapped"))</f>
        <v/>
      </c>
      <c r="M320" s="33" t="str">
        <f aca="false">IF($B320="","",IFERROR(INDEX('Code Mapping'!$E$5:$E$1753,MATCH($B320,'Code Mapping'!$A$5:$A$1753,0)),"Unmapped"))</f>
        <v/>
      </c>
      <c r="N320" s="33" t="str">
        <f aca="false">IF($F320="","",$F320)</f>
        <v/>
      </c>
    </row>
    <row r="321" customFormat="false" ht="15" hidden="false" customHeight="false" outlineLevel="0" collapsed="false">
      <c r="L321" s="33" t="str">
        <f aca="false">IF($B321="","",IFERROR(INDEX('Code Mapping'!$D$5:$D$1753,MATCH($B321,'Code Mapping'!$A$5:$A$1753,0)),"Unmapped"))</f>
        <v/>
      </c>
      <c r="M321" s="33" t="str">
        <f aca="false">IF($B321="","",IFERROR(INDEX('Code Mapping'!$E$5:$E$1753,MATCH($B321,'Code Mapping'!$A$5:$A$1753,0)),"Unmapped"))</f>
        <v/>
      </c>
      <c r="N321" s="33" t="str">
        <f aca="false">IF($F321="","",$F321)</f>
        <v/>
      </c>
    </row>
    <row r="322" customFormat="false" ht="15" hidden="false" customHeight="false" outlineLevel="0" collapsed="false">
      <c r="L322" s="33" t="str">
        <f aca="false">IF($B322="","",IFERROR(INDEX('Code Mapping'!$D$5:$D$1753,MATCH($B322,'Code Mapping'!$A$5:$A$1753,0)),"Unmapped"))</f>
        <v/>
      </c>
      <c r="M322" s="33" t="str">
        <f aca="false">IF($B322="","",IFERROR(INDEX('Code Mapping'!$E$5:$E$1753,MATCH($B322,'Code Mapping'!$A$5:$A$1753,0)),"Unmapped"))</f>
        <v/>
      </c>
      <c r="N322" s="33" t="str">
        <f aca="false">IF($F322="","",$F322)</f>
        <v/>
      </c>
    </row>
    <row r="323" customFormat="false" ht="15" hidden="false" customHeight="false" outlineLevel="0" collapsed="false">
      <c r="L323" s="33" t="str">
        <f aca="false">IF($B323="","",IFERROR(INDEX('Code Mapping'!$D$5:$D$1753,MATCH($B323,'Code Mapping'!$A$5:$A$1753,0)),"Unmapped"))</f>
        <v/>
      </c>
      <c r="M323" s="33" t="str">
        <f aca="false">IF($B323="","",IFERROR(INDEX('Code Mapping'!$E$5:$E$1753,MATCH($B323,'Code Mapping'!$A$5:$A$1753,0)),"Unmapped"))</f>
        <v/>
      </c>
      <c r="N323" s="33" t="str">
        <f aca="false">IF($F323="","",$F323)</f>
        <v/>
      </c>
    </row>
    <row r="324" customFormat="false" ht="15" hidden="false" customHeight="false" outlineLevel="0" collapsed="false">
      <c r="L324" s="33" t="str">
        <f aca="false">IF($B324="","",IFERROR(INDEX('Code Mapping'!$D$5:$D$1753,MATCH($B324,'Code Mapping'!$A$5:$A$1753,0)),"Unmapped"))</f>
        <v/>
      </c>
      <c r="M324" s="33" t="str">
        <f aca="false">IF($B324="","",IFERROR(INDEX('Code Mapping'!$E$5:$E$1753,MATCH($B324,'Code Mapping'!$A$5:$A$1753,0)),"Unmapped"))</f>
        <v/>
      </c>
      <c r="N324" s="33" t="str">
        <f aca="false">IF($F324="","",$F324)</f>
        <v/>
      </c>
    </row>
    <row r="325" customFormat="false" ht="15" hidden="false" customHeight="false" outlineLevel="0" collapsed="false">
      <c r="L325" s="33" t="str">
        <f aca="false">IF($B325="","",IFERROR(INDEX('Code Mapping'!$D$5:$D$1753,MATCH($B325,'Code Mapping'!$A$5:$A$1753,0)),"Unmapped"))</f>
        <v/>
      </c>
      <c r="M325" s="33" t="str">
        <f aca="false">IF($B325="","",IFERROR(INDEX('Code Mapping'!$E$5:$E$1753,MATCH($B325,'Code Mapping'!$A$5:$A$1753,0)),"Unmapped"))</f>
        <v/>
      </c>
      <c r="N325" s="33" t="str">
        <f aca="false">IF($F325="","",$F325)</f>
        <v/>
      </c>
    </row>
    <row r="326" customFormat="false" ht="15" hidden="false" customHeight="false" outlineLevel="0" collapsed="false">
      <c r="L326" s="33" t="str">
        <f aca="false">IF($B326="","",IFERROR(INDEX('Code Mapping'!$D$5:$D$1753,MATCH($B326,'Code Mapping'!$A$5:$A$1753,0)),"Unmapped"))</f>
        <v/>
      </c>
      <c r="M326" s="33" t="str">
        <f aca="false">IF($B326="","",IFERROR(INDEX('Code Mapping'!$E$5:$E$1753,MATCH($B326,'Code Mapping'!$A$5:$A$1753,0)),"Unmapped"))</f>
        <v/>
      </c>
      <c r="N326" s="33" t="str">
        <f aca="false">IF($F326="","",$F326)</f>
        <v/>
      </c>
    </row>
    <row r="327" customFormat="false" ht="15" hidden="false" customHeight="false" outlineLevel="0" collapsed="false">
      <c r="L327" s="33" t="str">
        <f aca="false">IF($B327="","",IFERROR(INDEX('Code Mapping'!$D$5:$D$1753,MATCH($B327,'Code Mapping'!$A$5:$A$1753,0)),"Unmapped"))</f>
        <v/>
      </c>
      <c r="M327" s="33" t="str">
        <f aca="false">IF($B327="","",IFERROR(INDEX('Code Mapping'!$E$5:$E$1753,MATCH($B327,'Code Mapping'!$A$5:$A$1753,0)),"Unmapped"))</f>
        <v/>
      </c>
      <c r="N327" s="33" t="str">
        <f aca="false">IF($F327="","",$F327)</f>
        <v/>
      </c>
    </row>
    <row r="328" customFormat="false" ht="15" hidden="false" customHeight="false" outlineLevel="0" collapsed="false">
      <c r="L328" s="33" t="str">
        <f aca="false">IF($B328="","",IFERROR(INDEX('Code Mapping'!$D$5:$D$1753,MATCH($B328,'Code Mapping'!$A$5:$A$1753,0)),"Unmapped"))</f>
        <v/>
      </c>
      <c r="M328" s="33" t="str">
        <f aca="false">IF($B328="","",IFERROR(INDEX('Code Mapping'!$E$5:$E$1753,MATCH($B328,'Code Mapping'!$A$5:$A$1753,0)),"Unmapped"))</f>
        <v/>
      </c>
      <c r="N328" s="33" t="str">
        <f aca="false">IF($F328="","",$F328)</f>
        <v/>
      </c>
    </row>
    <row r="329" customFormat="false" ht="15" hidden="false" customHeight="false" outlineLevel="0" collapsed="false">
      <c r="L329" s="33" t="str">
        <f aca="false">IF($B329="","",IFERROR(INDEX('Code Mapping'!$D$5:$D$1753,MATCH($B329,'Code Mapping'!$A$5:$A$1753,0)),"Unmapped"))</f>
        <v/>
      </c>
      <c r="M329" s="33" t="str">
        <f aca="false">IF($B329="","",IFERROR(INDEX('Code Mapping'!$E$5:$E$1753,MATCH($B329,'Code Mapping'!$A$5:$A$1753,0)),"Unmapped"))</f>
        <v/>
      </c>
      <c r="N329" s="33" t="str">
        <f aca="false">IF($F329="","",$F329)</f>
        <v/>
      </c>
    </row>
    <row r="330" customFormat="false" ht="15" hidden="false" customHeight="false" outlineLevel="0" collapsed="false">
      <c r="L330" s="33" t="str">
        <f aca="false">IF($B330="","",IFERROR(INDEX('Code Mapping'!$D$5:$D$1753,MATCH($B330,'Code Mapping'!$A$5:$A$1753,0)),"Unmapped"))</f>
        <v/>
      </c>
      <c r="M330" s="33" t="str">
        <f aca="false">IF($B330="","",IFERROR(INDEX('Code Mapping'!$E$5:$E$1753,MATCH($B330,'Code Mapping'!$A$5:$A$1753,0)),"Unmapped"))</f>
        <v/>
      </c>
      <c r="N330" s="33" t="str">
        <f aca="false">IF($F330="","",$F330)</f>
        <v/>
      </c>
    </row>
    <row r="331" customFormat="false" ht="15" hidden="false" customHeight="false" outlineLevel="0" collapsed="false">
      <c r="L331" s="33" t="str">
        <f aca="false">IF($B331="","",IFERROR(INDEX('Code Mapping'!$D$5:$D$1753,MATCH($B331,'Code Mapping'!$A$5:$A$1753,0)),"Unmapped"))</f>
        <v/>
      </c>
      <c r="M331" s="33" t="str">
        <f aca="false">IF($B331="","",IFERROR(INDEX('Code Mapping'!$E$5:$E$1753,MATCH($B331,'Code Mapping'!$A$5:$A$1753,0)),"Unmapped"))</f>
        <v/>
      </c>
      <c r="N331" s="33" t="str">
        <f aca="false">IF($F331="","",$F331)</f>
        <v/>
      </c>
    </row>
    <row r="332" customFormat="false" ht="15" hidden="false" customHeight="false" outlineLevel="0" collapsed="false">
      <c r="L332" s="33" t="str">
        <f aca="false">IF($B332="","",IFERROR(INDEX('Code Mapping'!$D$5:$D$1753,MATCH($B332,'Code Mapping'!$A$5:$A$1753,0)),"Unmapped"))</f>
        <v/>
      </c>
      <c r="M332" s="33" t="str">
        <f aca="false">IF($B332="","",IFERROR(INDEX('Code Mapping'!$E$5:$E$1753,MATCH($B332,'Code Mapping'!$A$5:$A$1753,0)),"Unmapped"))</f>
        <v/>
      </c>
      <c r="N332" s="33" t="str">
        <f aca="false">IF($F332="","",$F332)</f>
        <v/>
      </c>
    </row>
    <row r="333" customFormat="false" ht="15" hidden="false" customHeight="false" outlineLevel="0" collapsed="false">
      <c r="L333" s="33" t="str">
        <f aca="false">IF($B333="","",IFERROR(INDEX('Code Mapping'!$D$5:$D$1753,MATCH($B333,'Code Mapping'!$A$5:$A$1753,0)),"Unmapped"))</f>
        <v/>
      </c>
      <c r="M333" s="33" t="str">
        <f aca="false">IF($B333="","",IFERROR(INDEX('Code Mapping'!$E$5:$E$1753,MATCH($B333,'Code Mapping'!$A$5:$A$1753,0)),"Unmapped"))</f>
        <v/>
      </c>
      <c r="N333" s="33" t="str">
        <f aca="false">IF($F333="","",$F333)</f>
        <v/>
      </c>
    </row>
    <row r="334" customFormat="false" ht="15" hidden="false" customHeight="false" outlineLevel="0" collapsed="false">
      <c r="L334" s="33" t="str">
        <f aca="false">IF($B334="","",IFERROR(INDEX('Code Mapping'!$D$5:$D$1753,MATCH($B334,'Code Mapping'!$A$5:$A$1753,0)),"Unmapped"))</f>
        <v/>
      </c>
      <c r="M334" s="33" t="str">
        <f aca="false">IF($B334="","",IFERROR(INDEX('Code Mapping'!$E$5:$E$1753,MATCH($B334,'Code Mapping'!$A$5:$A$1753,0)),"Unmapped"))</f>
        <v/>
      </c>
      <c r="N334" s="33" t="str">
        <f aca="false">IF($F334="","",$F334)</f>
        <v/>
      </c>
    </row>
    <row r="335" customFormat="false" ht="15" hidden="false" customHeight="false" outlineLevel="0" collapsed="false">
      <c r="L335" s="33" t="str">
        <f aca="false">IF($B335="","",IFERROR(INDEX('Code Mapping'!$D$5:$D$1753,MATCH($B335,'Code Mapping'!$A$5:$A$1753,0)),"Unmapped"))</f>
        <v/>
      </c>
      <c r="M335" s="33" t="str">
        <f aca="false">IF($B335="","",IFERROR(INDEX('Code Mapping'!$E$5:$E$1753,MATCH($B335,'Code Mapping'!$A$5:$A$1753,0)),"Unmapped"))</f>
        <v/>
      </c>
      <c r="N335" s="33" t="str">
        <f aca="false">IF($F335="","",$F335)</f>
        <v/>
      </c>
    </row>
    <row r="336" customFormat="false" ht="15" hidden="false" customHeight="false" outlineLevel="0" collapsed="false">
      <c r="L336" s="33" t="str">
        <f aca="false">IF($B336="","",IFERROR(INDEX('Code Mapping'!$D$5:$D$1753,MATCH($B336,'Code Mapping'!$A$5:$A$1753,0)),"Unmapped"))</f>
        <v/>
      </c>
      <c r="M336" s="33" t="str">
        <f aca="false">IF($B336="","",IFERROR(INDEX('Code Mapping'!$E$5:$E$1753,MATCH($B336,'Code Mapping'!$A$5:$A$1753,0)),"Unmapped"))</f>
        <v/>
      </c>
      <c r="N336" s="33" t="str">
        <f aca="false">IF($F336="","",$F336)</f>
        <v/>
      </c>
    </row>
    <row r="337" customFormat="false" ht="15" hidden="false" customHeight="false" outlineLevel="0" collapsed="false">
      <c r="L337" s="33" t="str">
        <f aca="false">IF($B337="","",IFERROR(INDEX('Code Mapping'!$D$5:$D$1753,MATCH($B337,'Code Mapping'!$A$5:$A$1753,0)),"Unmapped"))</f>
        <v/>
      </c>
      <c r="M337" s="33" t="str">
        <f aca="false">IF($B337="","",IFERROR(INDEX('Code Mapping'!$E$5:$E$1753,MATCH($B337,'Code Mapping'!$A$5:$A$1753,0)),"Unmapped"))</f>
        <v/>
      </c>
      <c r="N337" s="33" t="str">
        <f aca="false">IF($F337="","",$F337)</f>
        <v/>
      </c>
    </row>
    <row r="338" customFormat="false" ht="15" hidden="false" customHeight="false" outlineLevel="0" collapsed="false">
      <c r="L338" s="33" t="str">
        <f aca="false">IF($B338="","",IFERROR(INDEX('Code Mapping'!$D$5:$D$1753,MATCH($B338,'Code Mapping'!$A$5:$A$1753,0)),"Unmapped"))</f>
        <v/>
      </c>
      <c r="M338" s="33" t="str">
        <f aca="false">IF($B338="","",IFERROR(INDEX('Code Mapping'!$E$5:$E$1753,MATCH($B338,'Code Mapping'!$A$5:$A$1753,0)),"Unmapped"))</f>
        <v/>
      </c>
      <c r="N338" s="33" t="str">
        <f aca="false">IF($F338="","",$F338)</f>
        <v/>
      </c>
    </row>
    <row r="339" customFormat="false" ht="15" hidden="false" customHeight="false" outlineLevel="0" collapsed="false">
      <c r="L339" s="33" t="str">
        <f aca="false">IF($B339="","",IFERROR(INDEX('Code Mapping'!$D$5:$D$1753,MATCH($B339,'Code Mapping'!$A$5:$A$1753,0)),"Unmapped"))</f>
        <v/>
      </c>
      <c r="M339" s="33" t="str">
        <f aca="false">IF($B339="","",IFERROR(INDEX('Code Mapping'!$E$5:$E$1753,MATCH($B339,'Code Mapping'!$A$5:$A$1753,0)),"Unmapped"))</f>
        <v/>
      </c>
      <c r="N339" s="33" t="str">
        <f aca="false">IF($F339="","",$F339)</f>
        <v/>
      </c>
    </row>
    <row r="340" customFormat="false" ht="15" hidden="false" customHeight="false" outlineLevel="0" collapsed="false">
      <c r="L340" s="33" t="str">
        <f aca="false">IF($B340="","",IFERROR(INDEX('Code Mapping'!$D$5:$D$1753,MATCH($B340,'Code Mapping'!$A$5:$A$1753,0)),"Unmapped"))</f>
        <v/>
      </c>
      <c r="M340" s="33" t="str">
        <f aca="false">IF($B340="","",IFERROR(INDEX('Code Mapping'!$E$5:$E$1753,MATCH($B340,'Code Mapping'!$A$5:$A$1753,0)),"Unmapped"))</f>
        <v/>
      </c>
      <c r="N340" s="33" t="str">
        <f aca="false">IF($F340="","",$F340)</f>
        <v/>
      </c>
    </row>
    <row r="341" customFormat="false" ht="15" hidden="false" customHeight="false" outlineLevel="0" collapsed="false">
      <c r="L341" s="33" t="str">
        <f aca="false">IF($B341="","",IFERROR(INDEX('Code Mapping'!$D$5:$D$1753,MATCH($B341,'Code Mapping'!$A$5:$A$1753,0)),"Unmapped"))</f>
        <v/>
      </c>
      <c r="M341" s="33" t="str">
        <f aca="false">IF($B341="","",IFERROR(INDEX('Code Mapping'!$E$5:$E$1753,MATCH($B341,'Code Mapping'!$A$5:$A$1753,0)),"Unmapped"))</f>
        <v/>
      </c>
      <c r="N341" s="33" t="str">
        <f aca="false">IF($F341="","",$F341)</f>
        <v/>
      </c>
    </row>
    <row r="342" customFormat="false" ht="15" hidden="false" customHeight="false" outlineLevel="0" collapsed="false">
      <c r="L342" s="33" t="str">
        <f aca="false">IF($B342="","",IFERROR(INDEX('Code Mapping'!$D$5:$D$1753,MATCH($B342,'Code Mapping'!$A$5:$A$1753,0)),"Unmapped"))</f>
        <v/>
      </c>
      <c r="M342" s="33" t="str">
        <f aca="false">IF($B342="","",IFERROR(INDEX('Code Mapping'!$E$5:$E$1753,MATCH($B342,'Code Mapping'!$A$5:$A$1753,0)),"Unmapped"))</f>
        <v/>
      </c>
      <c r="N342" s="33" t="str">
        <f aca="false">IF($F342="","",$F342)</f>
        <v/>
      </c>
    </row>
    <row r="343" customFormat="false" ht="15" hidden="false" customHeight="false" outlineLevel="0" collapsed="false">
      <c r="L343" s="33" t="str">
        <f aca="false">IF($B343="","",IFERROR(INDEX('Code Mapping'!$D$5:$D$1753,MATCH($B343,'Code Mapping'!$A$5:$A$1753,0)),"Unmapped"))</f>
        <v/>
      </c>
      <c r="M343" s="33" t="str">
        <f aca="false">IF($B343="","",IFERROR(INDEX('Code Mapping'!$E$5:$E$1753,MATCH($B343,'Code Mapping'!$A$5:$A$1753,0)),"Unmapped"))</f>
        <v/>
      </c>
      <c r="N343" s="33" t="str">
        <f aca="false">IF($F343="","",$F343)</f>
        <v/>
      </c>
    </row>
    <row r="344" customFormat="false" ht="15" hidden="false" customHeight="false" outlineLevel="0" collapsed="false">
      <c r="L344" s="33" t="str">
        <f aca="false">IF($B344="","",IFERROR(INDEX('Code Mapping'!$D$5:$D$1753,MATCH($B344,'Code Mapping'!$A$5:$A$1753,0)),"Unmapped"))</f>
        <v/>
      </c>
      <c r="M344" s="33" t="str">
        <f aca="false">IF($B344="","",IFERROR(INDEX('Code Mapping'!$E$5:$E$1753,MATCH($B344,'Code Mapping'!$A$5:$A$1753,0)),"Unmapped"))</f>
        <v/>
      </c>
      <c r="N344" s="33" t="str">
        <f aca="false">IF($F344="","",$F344)</f>
        <v/>
      </c>
    </row>
    <row r="345" customFormat="false" ht="15" hidden="false" customHeight="false" outlineLevel="0" collapsed="false">
      <c r="L345" s="33" t="str">
        <f aca="false">IF($B345="","",IFERROR(INDEX('Code Mapping'!$D$5:$D$1753,MATCH($B345,'Code Mapping'!$A$5:$A$1753,0)),"Unmapped"))</f>
        <v/>
      </c>
      <c r="M345" s="33" t="str">
        <f aca="false">IF($B345="","",IFERROR(INDEX('Code Mapping'!$E$5:$E$1753,MATCH($B345,'Code Mapping'!$A$5:$A$1753,0)),"Unmapped"))</f>
        <v/>
      </c>
      <c r="N345" s="33" t="str">
        <f aca="false">IF($F345="","",$F345)</f>
        <v/>
      </c>
    </row>
    <row r="346" customFormat="false" ht="15" hidden="false" customHeight="false" outlineLevel="0" collapsed="false">
      <c r="L346" s="33" t="str">
        <f aca="false">IF($B346="","",IFERROR(INDEX('Code Mapping'!$D$5:$D$1753,MATCH($B346,'Code Mapping'!$A$5:$A$1753,0)),"Unmapped"))</f>
        <v/>
      </c>
      <c r="M346" s="33" t="str">
        <f aca="false">IF($B346="","",IFERROR(INDEX('Code Mapping'!$E$5:$E$1753,MATCH($B346,'Code Mapping'!$A$5:$A$1753,0)),"Unmapped"))</f>
        <v/>
      </c>
      <c r="N346" s="33" t="str">
        <f aca="false">IF($F346="","",$F346)</f>
        <v/>
      </c>
    </row>
    <row r="347" customFormat="false" ht="15" hidden="false" customHeight="false" outlineLevel="0" collapsed="false">
      <c r="L347" s="33" t="str">
        <f aca="false">IF($B347="","",IFERROR(INDEX('Code Mapping'!$D$5:$D$1753,MATCH($B347,'Code Mapping'!$A$5:$A$1753,0)),"Unmapped"))</f>
        <v/>
      </c>
      <c r="M347" s="33" t="str">
        <f aca="false">IF($B347="","",IFERROR(INDEX('Code Mapping'!$E$5:$E$1753,MATCH($B347,'Code Mapping'!$A$5:$A$1753,0)),"Unmapped"))</f>
        <v/>
      </c>
      <c r="N347" s="33" t="str">
        <f aca="false">IF($F347="","",$F347)</f>
        <v/>
      </c>
    </row>
    <row r="348" customFormat="false" ht="15" hidden="false" customHeight="false" outlineLevel="0" collapsed="false">
      <c r="L348" s="33" t="str">
        <f aca="false">IF($B348="","",IFERROR(INDEX('Code Mapping'!$D$5:$D$1753,MATCH($B348,'Code Mapping'!$A$5:$A$1753,0)),"Unmapped"))</f>
        <v/>
      </c>
      <c r="M348" s="33" t="str">
        <f aca="false">IF($B348="","",IFERROR(INDEX('Code Mapping'!$E$5:$E$1753,MATCH($B348,'Code Mapping'!$A$5:$A$1753,0)),"Unmapped"))</f>
        <v/>
      </c>
      <c r="N348" s="33" t="str">
        <f aca="false">IF($F348="","",$F348)</f>
        <v/>
      </c>
    </row>
    <row r="349" customFormat="false" ht="15" hidden="false" customHeight="false" outlineLevel="0" collapsed="false">
      <c r="L349" s="33" t="str">
        <f aca="false">IF($B349="","",IFERROR(INDEX('Code Mapping'!$D$5:$D$1753,MATCH($B349,'Code Mapping'!$A$5:$A$1753,0)),"Unmapped"))</f>
        <v/>
      </c>
      <c r="M349" s="33" t="str">
        <f aca="false">IF($B349="","",IFERROR(INDEX('Code Mapping'!$E$5:$E$1753,MATCH($B349,'Code Mapping'!$A$5:$A$1753,0)),"Unmapped"))</f>
        <v/>
      </c>
      <c r="N349" s="33" t="str">
        <f aca="false">IF($F349="","",$F349)</f>
        <v/>
      </c>
    </row>
    <row r="350" customFormat="false" ht="15" hidden="false" customHeight="false" outlineLevel="0" collapsed="false">
      <c r="L350" s="33" t="str">
        <f aca="false">IF($B350="","",IFERROR(INDEX('Code Mapping'!$D$5:$D$1753,MATCH($B350,'Code Mapping'!$A$5:$A$1753,0)),"Unmapped"))</f>
        <v/>
      </c>
      <c r="M350" s="33" t="str">
        <f aca="false">IF($B350="","",IFERROR(INDEX('Code Mapping'!$E$5:$E$1753,MATCH($B350,'Code Mapping'!$A$5:$A$1753,0)),"Unmapped"))</f>
        <v/>
      </c>
      <c r="N350" s="33" t="str">
        <f aca="false">IF($F350="","",$F350)</f>
        <v/>
      </c>
    </row>
    <row r="351" customFormat="false" ht="15" hidden="false" customHeight="false" outlineLevel="0" collapsed="false">
      <c r="L351" s="33" t="str">
        <f aca="false">IF($B351="","",IFERROR(INDEX('Code Mapping'!$D$5:$D$1753,MATCH($B351,'Code Mapping'!$A$5:$A$1753,0)),"Unmapped"))</f>
        <v/>
      </c>
      <c r="M351" s="33" t="str">
        <f aca="false">IF($B351="","",IFERROR(INDEX('Code Mapping'!$E$5:$E$1753,MATCH($B351,'Code Mapping'!$A$5:$A$1753,0)),"Unmapped"))</f>
        <v/>
      </c>
      <c r="N351" s="33" t="str">
        <f aca="false">IF($F351="","",$F351)</f>
        <v/>
      </c>
    </row>
    <row r="352" customFormat="false" ht="15" hidden="false" customHeight="false" outlineLevel="0" collapsed="false">
      <c r="L352" s="33" t="str">
        <f aca="false">IF($B352="","",IFERROR(INDEX('Code Mapping'!$D$5:$D$1753,MATCH($B352,'Code Mapping'!$A$5:$A$1753,0)),"Unmapped"))</f>
        <v/>
      </c>
      <c r="M352" s="33" t="str">
        <f aca="false">IF($B352="","",IFERROR(INDEX('Code Mapping'!$E$5:$E$1753,MATCH($B352,'Code Mapping'!$A$5:$A$1753,0)),"Unmapped"))</f>
        <v/>
      </c>
      <c r="N352" s="33" t="str">
        <f aca="false">IF($F352="","",$F352)</f>
        <v/>
      </c>
    </row>
    <row r="353" customFormat="false" ht="15" hidden="false" customHeight="false" outlineLevel="0" collapsed="false">
      <c r="L353" s="33" t="str">
        <f aca="false">IF($B353="","",IFERROR(INDEX('Code Mapping'!$D$5:$D$1753,MATCH($B353,'Code Mapping'!$A$5:$A$1753,0)),"Unmapped"))</f>
        <v/>
      </c>
      <c r="M353" s="33" t="str">
        <f aca="false">IF($B353="","",IFERROR(INDEX('Code Mapping'!$E$5:$E$1753,MATCH($B353,'Code Mapping'!$A$5:$A$1753,0)),"Unmapped"))</f>
        <v/>
      </c>
      <c r="N353" s="33" t="str">
        <f aca="false">IF($F353="","",$F353)</f>
        <v/>
      </c>
    </row>
    <row r="354" customFormat="false" ht="15" hidden="false" customHeight="false" outlineLevel="0" collapsed="false">
      <c r="L354" s="33" t="str">
        <f aca="false">IF($B354="","",IFERROR(INDEX('Code Mapping'!$D$5:$D$1753,MATCH($B354,'Code Mapping'!$A$5:$A$1753,0)),"Unmapped"))</f>
        <v/>
      </c>
      <c r="M354" s="33" t="str">
        <f aca="false">IF($B354="","",IFERROR(INDEX('Code Mapping'!$E$5:$E$1753,MATCH($B354,'Code Mapping'!$A$5:$A$1753,0)),"Unmapped"))</f>
        <v/>
      </c>
      <c r="N354" s="33" t="str">
        <f aca="false">IF($F354="","",$F354)</f>
        <v/>
      </c>
    </row>
    <row r="355" customFormat="false" ht="15" hidden="false" customHeight="false" outlineLevel="0" collapsed="false">
      <c r="L355" s="33" t="str">
        <f aca="false">IF($B355="","",IFERROR(INDEX('Code Mapping'!$D$5:$D$1753,MATCH($B355,'Code Mapping'!$A$5:$A$1753,0)),"Unmapped"))</f>
        <v/>
      </c>
      <c r="M355" s="33" t="str">
        <f aca="false">IF($B355="","",IFERROR(INDEX('Code Mapping'!$E$5:$E$1753,MATCH($B355,'Code Mapping'!$A$5:$A$1753,0)),"Unmapped"))</f>
        <v/>
      </c>
      <c r="N355" s="33" t="str">
        <f aca="false">IF($F355="","",$F355)</f>
        <v/>
      </c>
    </row>
    <row r="356" customFormat="false" ht="15" hidden="false" customHeight="false" outlineLevel="0" collapsed="false">
      <c r="L356" s="33" t="str">
        <f aca="false">IF($B356="","",IFERROR(INDEX('Code Mapping'!$D$5:$D$1753,MATCH($B356,'Code Mapping'!$A$5:$A$1753,0)),"Unmapped"))</f>
        <v/>
      </c>
      <c r="M356" s="33" t="str">
        <f aca="false">IF($B356="","",IFERROR(INDEX('Code Mapping'!$E$5:$E$1753,MATCH($B356,'Code Mapping'!$A$5:$A$1753,0)),"Unmapped"))</f>
        <v/>
      </c>
      <c r="N356" s="33" t="str">
        <f aca="false">IF($F356="","",$F356)</f>
        <v/>
      </c>
    </row>
    <row r="357" customFormat="false" ht="15" hidden="false" customHeight="false" outlineLevel="0" collapsed="false">
      <c r="L357" s="33" t="str">
        <f aca="false">IF($B357="","",IFERROR(INDEX('Code Mapping'!$D$5:$D$1753,MATCH($B357,'Code Mapping'!$A$5:$A$1753,0)),"Unmapped"))</f>
        <v/>
      </c>
      <c r="M357" s="33" t="str">
        <f aca="false">IF($B357="","",IFERROR(INDEX('Code Mapping'!$E$5:$E$1753,MATCH($B357,'Code Mapping'!$A$5:$A$1753,0)),"Unmapped"))</f>
        <v/>
      </c>
      <c r="N357" s="33" t="str">
        <f aca="false">IF($F357="","",$F357)</f>
        <v/>
      </c>
    </row>
    <row r="358" customFormat="false" ht="15" hidden="false" customHeight="false" outlineLevel="0" collapsed="false">
      <c r="L358" s="33" t="str">
        <f aca="false">IF($B358="","",IFERROR(INDEX('Code Mapping'!$D$5:$D$1753,MATCH($B358,'Code Mapping'!$A$5:$A$1753,0)),"Unmapped"))</f>
        <v/>
      </c>
      <c r="M358" s="33" t="str">
        <f aca="false">IF($B358="","",IFERROR(INDEX('Code Mapping'!$E$5:$E$1753,MATCH($B358,'Code Mapping'!$A$5:$A$1753,0)),"Unmapped"))</f>
        <v/>
      </c>
      <c r="N358" s="33" t="str">
        <f aca="false">IF($F358="","",$F358)</f>
        <v/>
      </c>
    </row>
    <row r="359" customFormat="false" ht="15" hidden="false" customHeight="false" outlineLevel="0" collapsed="false">
      <c r="L359" s="33" t="str">
        <f aca="false">IF($B359="","",IFERROR(INDEX('Code Mapping'!$D$5:$D$1753,MATCH($B359,'Code Mapping'!$A$5:$A$1753,0)),"Unmapped"))</f>
        <v/>
      </c>
      <c r="M359" s="33" t="str">
        <f aca="false">IF($B359="","",IFERROR(INDEX('Code Mapping'!$E$5:$E$1753,MATCH($B359,'Code Mapping'!$A$5:$A$1753,0)),"Unmapped"))</f>
        <v/>
      </c>
      <c r="N359" s="33" t="str">
        <f aca="false">IF($F359="","",$F359)</f>
        <v/>
      </c>
    </row>
    <row r="360" customFormat="false" ht="15" hidden="false" customHeight="false" outlineLevel="0" collapsed="false">
      <c r="L360" s="33" t="str">
        <f aca="false">IF($B360="","",IFERROR(INDEX('Code Mapping'!$D$5:$D$1753,MATCH($B360,'Code Mapping'!$A$5:$A$1753,0)),"Unmapped"))</f>
        <v/>
      </c>
      <c r="M360" s="33" t="str">
        <f aca="false">IF($B360="","",IFERROR(INDEX('Code Mapping'!$E$5:$E$1753,MATCH($B360,'Code Mapping'!$A$5:$A$1753,0)),"Unmapped"))</f>
        <v/>
      </c>
      <c r="N360" s="33" t="str">
        <f aca="false">IF($F360="","",$F360)</f>
        <v/>
      </c>
    </row>
    <row r="361" customFormat="false" ht="15" hidden="false" customHeight="false" outlineLevel="0" collapsed="false">
      <c r="L361" s="33" t="str">
        <f aca="false">IF($B361="","",IFERROR(INDEX('Code Mapping'!$D$5:$D$1753,MATCH($B361,'Code Mapping'!$A$5:$A$1753,0)),"Unmapped"))</f>
        <v/>
      </c>
      <c r="M361" s="33" t="str">
        <f aca="false">IF($B361="","",IFERROR(INDEX('Code Mapping'!$E$5:$E$1753,MATCH($B361,'Code Mapping'!$A$5:$A$1753,0)),"Unmapped"))</f>
        <v/>
      </c>
      <c r="N361" s="33" t="str">
        <f aca="false">IF($F361="","",$F361)</f>
        <v/>
      </c>
    </row>
    <row r="362" customFormat="false" ht="15" hidden="false" customHeight="false" outlineLevel="0" collapsed="false">
      <c r="L362" s="33" t="str">
        <f aca="false">IF($B362="","",IFERROR(INDEX('Code Mapping'!$D$5:$D$1753,MATCH($B362,'Code Mapping'!$A$5:$A$1753,0)),"Unmapped"))</f>
        <v/>
      </c>
      <c r="M362" s="33" t="str">
        <f aca="false">IF($B362="","",IFERROR(INDEX('Code Mapping'!$E$5:$E$1753,MATCH($B362,'Code Mapping'!$A$5:$A$1753,0)),"Unmapped"))</f>
        <v/>
      </c>
      <c r="N362" s="33" t="str">
        <f aca="false">IF($F362="","",$F362)</f>
        <v/>
      </c>
    </row>
    <row r="363" customFormat="false" ht="15" hidden="false" customHeight="false" outlineLevel="0" collapsed="false">
      <c r="L363" s="33" t="str">
        <f aca="false">IF($B363="","",IFERROR(INDEX('Code Mapping'!$D$5:$D$1753,MATCH($B363,'Code Mapping'!$A$5:$A$1753,0)),"Unmapped"))</f>
        <v/>
      </c>
      <c r="M363" s="33" t="str">
        <f aca="false">IF($B363="","",IFERROR(INDEX('Code Mapping'!$E$5:$E$1753,MATCH($B363,'Code Mapping'!$A$5:$A$1753,0)),"Unmapped"))</f>
        <v/>
      </c>
      <c r="N363" s="33" t="str">
        <f aca="false">IF($F363="","",$F363)</f>
        <v/>
      </c>
    </row>
    <row r="364" customFormat="false" ht="15" hidden="false" customHeight="false" outlineLevel="0" collapsed="false">
      <c r="L364" s="33" t="str">
        <f aca="false">IF($B364="","",IFERROR(INDEX('Code Mapping'!$D$5:$D$1753,MATCH($B364,'Code Mapping'!$A$5:$A$1753,0)),"Unmapped"))</f>
        <v/>
      </c>
      <c r="M364" s="33" t="str">
        <f aca="false">IF($B364="","",IFERROR(INDEX('Code Mapping'!$E$5:$E$1753,MATCH($B364,'Code Mapping'!$A$5:$A$1753,0)),"Unmapped"))</f>
        <v/>
      </c>
      <c r="N364" s="33" t="str">
        <f aca="false">IF($F364="","",$F364)</f>
        <v/>
      </c>
    </row>
    <row r="365" customFormat="false" ht="15" hidden="false" customHeight="false" outlineLevel="0" collapsed="false">
      <c r="L365" s="33" t="str">
        <f aca="false">IF($B365="","",IFERROR(INDEX('Code Mapping'!$D$5:$D$1753,MATCH($B365,'Code Mapping'!$A$5:$A$1753,0)),"Unmapped"))</f>
        <v/>
      </c>
      <c r="M365" s="33" t="str">
        <f aca="false">IF($B365="","",IFERROR(INDEX('Code Mapping'!$E$5:$E$1753,MATCH($B365,'Code Mapping'!$A$5:$A$1753,0)),"Unmapped"))</f>
        <v/>
      </c>
      <c r="N365" s="33" t="str">
        <f aca="false">IF($F365="","",$F365)</f>
        <v/>
      </c>
    </row>
    <row r="366" customFormat="false" ht="15" hidden="false" customHeight="false" outlineLevel="0" collapsed="false">
      <c r="L366" s="33" t="str">
        <f aca="false">IF($B366="","",IFERROR(INDEX('Code Mapping'!$D$5:$D$1753,MATCH($B366,'Code Mapping'!$A$5:$A$1753,0)),"Unmapped"))</f>
        <v/>
      </c>
      <c r="M366" s="33" t="str">
        <f aca="false">IF($B366="","",IFERROR(INDEX('Code Mapping'!$E$5:$E$1753,MATCH($B366,'Code Mapping'!$A$5:$A$1753,0)),"Unmapped"))</f>
        <v/>
      </c>
      <c r="N366" s="33" t="str">
        <f aca="false">IF($F366="","",$F366)</f>
        <v/>
      </c>
    </row>
    <row r="367" customFormat="false" ht="15" hidden="false" customHeight="false" outlineLevel="0" collapsed="false">
      <c r="L367" s="33" t="str">
        <f aca="false">IF($B367="","",IFERROR(INDEX('Code Mapping'!$D$5:$D$1753,MATCH($B367,'Code Mapping'!$A$5:$A$1753,0)),"Unmapped"))</f>
        <v/>
      </c>
      <c r="M367" s="33" t="str">
        <f aca="false">IF($B367="","",IFERROR(INDEX('Code Mapping'!$E$5:$E$1753,MATCH($B367,'Code Mapping'!$A$5:$A$1753,0)),"Unmapped"))</f>
        <v/>
      </c>
      <c r="N367" s="33" t="str">
        <f aca="false">IF($F367="","",$F367)</f>
        <v/>
      </c>
    </row>
    <row r="368" customFormat="false" ht="15" hidden="false" customHeight="false" outlineLevel="0" collapsed="false">
      <c r="L368" s="33" t="str">
        <f aca="false">IF($B368="","",IFERROR(INDEX('Code Mapping'!$D$5:$D$1753,MATCH($B368,'Code Mapping'!$A$5:$A$1753,0)),"Unmapped"))</f>
        <v/>
      </c>
      <c r="M368" s="33" t="str">
        <f aca="false">IF($B368="","",IFERROR(INDEX('Code Mapping'!$E$5:$E$1753,MATCH($B368,'Code Mapping'!$A$5:$A$1753,0)),"Unmapped"))</f>
        <v/>
      </c>
      <c r="N368" s="33" t="str">
        <f aca="false">IF($F368="","",$F368)</f>
        <v/>
      </c>
    </row>
    <row r="369" customFormat="false" ht="15" hidden="false" customHeight="false" outlineLevel="0" collapsed="false">
      <c r="L369" s="33" t="str">
        <f aca="false">IF($B369="","",IFERROR(INDEX('Code Mapping'!$D$5:$D$1753,MATCH($B369,'Code Mapping'!$A$5:$A$1753,0)),"Unmapped"))</f>
        <v/>
      </c>
      <c r="M369" s="33" t="str">
        <f aca="false">IF($B369="","",IFERROR(INDEX('Code Mapping'!$E$5:$E$1753,MATCH($B369,'Code Mapping'!$A$5:$A$1753,0)),"Unmapped"))</f>
        <v/>
      </c>
      <c r="N369" s="33" t="str">
        <f aca="false">IF($F369="","",$F369)</f>
        <v/>
      </c>
    </row>
    <row r="370" customFormat="false" ht="15" hidden="false" customHeight="false" outlineLevel="0" collapsed="false">
      <c r="L370" s="33" t="str">
        <f aca="false">IF($B370="","",IFERROR(INDEX('Code Mapping'!$D$5:$D$1753,MATCH($B370,'Code Mapping'!$A$5:$A$1753,0)),"Unmapped"))</f>
        <v/>
      </c>
      <c r="M370" s="33" t="str">
        <f aca="false">IF($B370="","",IFERROR(INDEX('Code Mapping'!$E$5:$E$1753,MATCH($B370,'Code Mapping'!$A$5:$A$1753,0)),"Unmapped"))</f>
        <v/>
      </c>
      <c r="N370" s="33" t="str">
        <f aca="false">IF($F370="","",$F370)</f>
        <v/>
      </c>
    </row>
    <row r="371" customFormat="false" ht="15" hidden="false" customHeight="false" outlineLevel="0" collapsed="false">
      <c r="L371" s="33" t="str">
        <f aca="false">IF($B371="","",IFERROR(INDEX('Code Mapping'!$D$5:$D$1753,MATCH($B371,'Code Mapping'!$A$5:$A$1753,0)),"Unmapped"))</f>
        <v/>
      </c>
      <c r="M371" s="33" t="str">
        <f aca="false">IF($B371="","",IFERROR(INDEX('Code Mapping'!$E$5:$E$1753,MATCH($B371,'Code Mapping'!$A$5:$A$1753,0)),"Unmapped"))</f>
        <v/>
      </c>
      <c r="N371" s="33" t="str">
        <f aca="false">IF($F371="","",$F371)</f>
        <v/>
      </c>
    </row>
    <row r="372" customFormat="false" ht="15" hidden="false" customHeight="false" outlineLevel="0" collapsed="false">
      <c r="L372" s="33" t="str">
        <f aca="false">IF($B372="","",IFERROR(INDEX('Code Mapping'!$D$5:$D$1753,MATCH($B372,'Code Mapping'!$A$5:$A$1753,0)),"Unmapped"))</f>
        <v/>
      </c>
      <c r="M372" s="33" t="str">
        <f aca="false">IF($B372="","",IFERROR(INDEX('Code Mapping'!$E$5:$E$1753,MATCH($B372,'Code Mapping'!$A$5:$A$1753,0)),"Unmapped"))</f>
        <v/>
      </c>
      <c r="N372" s="33" t="str">
        <f aca="false">IF($F372="","",$F372)</f>
        <v/>
      </c>
    </row>
    <row r="373" customFormat="false" ht="15" hidden="false" customHeight="false" outlineLevel="0" collapsed="false">
      <c r="L373" s="33" t="str">
        <f aca="false">IF($B373="","",IFERROR(INDEX('Code Mapping'!$D$5:$D$1753,MATCH($B373,'Code Mapping'!$A$5:$A$1753,0)),"Unmapped"))</f>
        <v/>
      </c>
      <c r="M373" s="33" t="str">
        <f aca="false">IF($B373="","",IFERROR(INDEX('Code Mapping'!$E$5:$E$1753,MATCH($B373,'Code Mapping'!$A$5:$A$1753,0)),"Unmapped"))</f>
        <v/>
      </c>
      <c r="N373" s="33" t="str">
        <f aca="false">IF($F373="","",$F373)</f>
        <v/>
      </c>
    </row>
    <row r="374" customFormat="false" ht="15" hidden="false" customHeight="false" outlineLevel="0" collapsed="false">
      <c r="L374" s="33" t="str">
        <f aca="false">IF($B374="","",IFERROR(INDEX('Code Mapping'!$D$5:$D$1753,MATCH($B374,'Code Mapping'!$A$5:$A$1753,0)),"Unmapped"))</f>
        <v/>
      </c>
      <c r="M374" s="33" t="str">
        <f aca="false">IF($B374="","",IFERROR(INDEX('Code Mapping'!$E$5:$E$1753,MATCH($B374,'Code Mapping'!$A$5:$A$1753,0)),"Unmapped"))</f>
        <v/>
      </c>
      <c r="N374" s="33" t="str">
        <f aca="false">IF($F374="","",$F374)</f>
        <v/>
      </c>
    </row>
    <row r="375" customFormat="false" ht="15" hidden="false" customHeight="false" outlineLevel="0" collapsed="false">
      <c r="L375" s="33" t="str">
        <f aca="false">IF($B375="","",IFERROR(INDEX('Code Mapping'!$D$5:$D$1753,MATCH($B375,'Code Mapping'!$A$5:$A$1753,0)),"Unmapped"))</f>
        <v/>
      </c>
      <c r="M375" s="33" t="str">
        <f aca="false">IF($B375="","",IFERROR(INDEX('Code Mapping'!$E$5:$E$1753,MATCH($B375,'Code Mapping'!$A$5:$A$1753,0)),"Unmapped"))</f>
        <v/>
      </c>
      <c r="N375" s="33" t="str">
        <f aca="false">IF($F375="","",$F375)</f>
        <v/>
      </c>
    </row>
    <row r="376" customFormat="false" ht="15" hidden="false" customHeight="false" outlineLevel="0" collapsed="false">
      <c r="L376" s="33" t="str">
        <f aca="false">IF($B376="","",IFERROR(INDEX('Code Mapping'!$D$5:$D$1753,MATCH($B376,'Code Mapping'!$A$5:$A$1753,0)),"Unmapped"))</f>
        <v/>
      </c>
      <c r="M376" s="33" t="str">
        <f aca="false">IF($B376="","",IFERROR(INDEX('Code Mapping'!$E$5:$E$1753,MATCH($B376,'Code Mapping'!$A$5:$A$1753,0)),"Unmapped"))</f>
        <v/>
      </c>
      <c r="N376" s="33" t="str">
        <f aca="false">IF($F376="","",$F376)</f>
        <v/>
      </c>
    </row>
    <row r="377" customFormat="false" ht="15" hidden="false" customHeight="false" outlineLevel="0" collapsed="false">
      <c r="L377" s="33" t="str">
        <f aca="false">IF($B377="","",IFERROR(INDEX('Code Mapping'!$D$5:$D$1753,MATCH($B377,'Code Mapping'!$A$5:$A$1753,0)),"Unmapped"))</f>
        <v/>
      </c>
      <c r="M377" s="33" t="str">
        <f aca="false">IF($B377="","",IFERROR(INDEX('Code Mapping'!$E$5:$E$1753,MATCH($B377,'Code Mapping'!$A$5:$A$1753,0)),"Unmapped"))</f>
        <v/>
      </c>
      <c r="N377" s="33" t="str">
        <f aca="false">IF($F377="","",$F377)</f>
        <v/>
      </c>
    </row>
    <row r="378" customFormat="false" ht="15" hidden="false" customHeight="false" outlineLevel="0" collapsed="false">
      <c r="L378" s="33" t="str">
        <f aca="false">IF($B378="","",IFERROR(INDEX('Code Mapping'!$D$5:$D$1753,MATCH($B378,'Code Mapping'!$A$5:$A$1753,0)),"Unmapped"))</f>
        <v/>
      </c>
      <c r="M378" s="33" t="str">
        <f aca="false">IF($B378="","",IFERROR(INDEX('Code Mapping'!$E$5:$E$1753,MATCH($B378,'Code Mapping'!$A$5:$A$1753,0)),"Unmapped"))</f>
        <v/>
      </c>
      <c r="N378" s="33" t="str">
        <f aca="false">IF($F378="","",$F378)</f>
        <v/>
      </c>
    </row>
    <row r="379" customFormat="false" ht="15" hidden="false" customHeight="false" outlineLevel="0" collapsed="false">
      <c r="L379" s="33" t="str">
        <f aca="false">IF($B379="","",IFERROR(INDEX('Code Mapping'!$D$5:$D$1753,MATCH($B379,'Code Mapping'!$A$5:$A$1753,0)),"Unmapped"))</f>
        <v/>
      </c>
      <c r="M379" s="33" t="str">
        <f aca="false">IF($B379="","",IFERROR(INDEX('Code Mapping'!$E$5:$E$1753,MATCH($B379,'Code Mapping'!$A$5:$A$1753,0)),"Unmapped"))</f>
        <v/>
      </c>
      <c r="N379" s="33" t="str">
        <f aca="false">IF($F379="","",$F379)</f>
        <v/>
      </c>
    </row>
    <row r="380" customFormat="false" ht="15" hidden="false" customHeight="false" outlineLevel="0" collapsed="false">
      <c r="L380" s="33" t="str">
        <f aca="false">IF($B380="","",IFERROR(INDEX('Code Mapping'!$D$5:$D$1753,MATCH($B380,'Code Mapping'!$A$5:$A$1753,0)),"Unmapped"))</f>
        <v/>
      </c>
      <c r="M380" s="33" t="str">
        <f aca="false">IF($B380="","",IFERROR(INDEX('Code Mapping'!$E$5:$E$1753,MATCH($B380,'Code Mapping'!$A$5:$A$1753,0)),"Unmapped"))</f>
        <v/>
      </c>
      <c r="N380" s="33" t="str">
        <f aca="false">IF($F380="","",$F380)</f>
        <v/>
      </c>
    </row>
    <row r="381" customFormat="false" ht="15" hidden="false" customHeight="false" outlineLevel="0" collapsed="false">
      <c r="L381" s="33" t="str">
        <f aca="false">IF($B381="","",IFERROR(INDEX('Code Mapping'!$D$5:$D$1753,MATCH($B381,'Code Mapping'!$A$5:$A$1753,0)),"Unmapped"))</f>
        <v/>
      </c>
      <c r="M381" s="33" t="str">
        <f aca="false">IF($B381="","",IFERROR(INDEX('Code Mapping'!$E$5:$E$1753,MATCH($B381,'Code Mapping'!$A$5:$A$1753,0)),"Unmapped"))</f>
        <v/>
      </c>
      <c r="N381" s="33" t="str">
        <f aca="false">IF($F381="","",$F381)</f>
        <v/>
      </c>
    </row>
    <row r="382" customFormat="false" ht="15" hidden="false" customHeight="false" outlineLevel="0" collapsed="false">
      <c r="L382" s="33" t="str">
        <f aca="false">IF($B382="","",IFERROR(INDEX('Code Mapping'!$D$5:$D$1753,MATCH($B382,'Code Mapping'!$A$5:$A$1753,0)),"Unmapped"))</f>
        <v/>
      </c>
      <c r="M382" s="33" t="str">
        <f aca="false">IF($B382="","",IFERROR(INDEX('Code Mapping'!$E$5:$E$1753,MATCH($B382,'Code Mapping'!$A$5:$A$1753,0)),"Unmapped"))</f>
        <v/>
      </c>
      <c r="N382" s="33" t="str">
        <f aca="false">IF($F382="","",$F382)</f>
        <v/>
      </c>
    </row>
    <row r="383" customFormat="false" ht="15" hidden="false" customHeight="false" outlineLevel="0" collapsed="false">
      <c r="L383" s="33" t="str">
        <f aca="false">IF($B383="","",IFERROR(INDEX('Code Mapping'!$D$5:$D$1753,MATCH($B383,'Code Mapping'!$A$5:$A$1753,0)),"Unmapped"))</f>
        <v/>
      </c>
      <c r="M383" s="33" t="str">
        <f aca="false">IF($B383="","",IFERROR(INDEX('Code Mapping'!$E$5:$E$1753,MATCH($B383,'Code Mapping'!$A$5:$A$1753,0)),"Unmapped"))</f>
        <v/>
      </c>
      <c r="N383" s="33" t="str">
        <f aca="false">IF($F383="","",$F383)</f>
        <v/>
      </c>
    </row>
    <row r="384" customFormat="false" ht="15" hidden="false" customHeight="false" outlineLevel="0" collapsed="false">
      <c r="L384" s="33" t="str">
        <f aca="false">IF($B384="","",IFERROR(INDEX('Code Mapping'!$D$5:$D$1753,MATCH($B384,'Code Mapping'!$A$5:$A$1753,0)),"Unmapped"))</f>
        <v/>
      </c>
      <c r="M384" s="33" t="str">
        <f aca="false">IF($B384="","",IFERROR(INDEX('Code Mapping'!$E$5:$E$1753,MATCH($B384,'Code Mapping'!$A$5:$A$1753,0)),"Unmapped"))</f>
        <v/>
      </c>
      <c r="N384" s="33" t="str">
        <f aca="false">IF($F384="","",$F384)</f>
        <v/>
      </c>
    </row>
    <row r="385" customFormat="false" ht="15" hidden="false" customHeight="false" outlineLevel="0" collapsed="false">
      <c r="L385" s="33" t="str">
        <f aca="false">IF($B385="","",IFERROR(INDEX('Code Mapping'!$D$5:$D$1753,MATCH($B385,'Code Mapping'!$A$5:$A$1753,0)),"Unmapped"))</f>
        <v/>
      </c>
      <c r="M385" s="33" t="str">
        <f aca="false">IF($B385="","",IFERROR(INDEX('Code Mapping'!$E$5:$E$1753,MATCH($B385,'Code Mapping'!$A$5:$A$1753,0)),"Unmapped"))</f>
        <v/>
      </c>
      <c r="N385" s="33" t="str">
        <f aca="false">IF($F385="","",$F385)</f>
        <v/>
      </c>
    </row>
    <row r="386" customFormat="false" ht="15" hidden="false" customHeight="false" outlineLevel="0" collapsed="false">
      <c r="L386" s="33" t="str">
        <f aca="false">IF($B386="","",IFERROR(INDEX('Code Mapping'!$D$5:$D$1753,MATCH($B386,'Code Mapping'!$A$5:$A$1753,0)),"Unmapped"))</f>
        <v/>
      </c>
      <c r="M386" s="33" t="str">
        <f aca="false">IF($B386="","",IFERROR(INDEX('Code Mapping'!$E$5:$E$1753,MATCH($B386,'Code Mapping'!$A$5:$A$1753,0)),"Unmapped"))</f>
        <v/>
      </c>
      <c r="N386" s="33" t="str">
        <f aca="false">IF($F386="","",$F386)</f>
        <v/>
      </c>
    </row>
    <row r="387" customFormat="false" ht="15" hidden="false" customHeight="false" outlineLevel="0" collapsed="false">
      <c r="L387" s="33" t="str">
        <f aca="false">IF($B387="","",IFERROR(INDEX('Code Mapping'!$D$5:$D$1753,MATCH($B387,'Code Mapping'!$A$5:$A$1753,0)),"Unmapped"))</f>
        <v/>
      </c>
      <c r="M387" s="33" t="str">
        <f aca="false">IF($B387="","",IFERROR(INDEX('Code Mapping'!$E$5:$E$1753,MATCH($B387,'Code Mapping'!$A$5:$A$1753,0)),"Unmapped"))</f>
        <v/>
      </c>
      <c r="N387" s="33" t="str">
        <f aca="false">IF($F387="","",$F387)</f>
        <v/>
      </c>
    </row>
    <row r="388" customFormat="false" ht="15" hidden="false" customHeight="false" outlineLevel="0" collapsed="false">
      <c r="L388" s="33" t="str">
        <f aca="false">IF($B388="","",IFERROR(INDEX('Code Mapping'!$D$5:$D$1753,MATCH($B388,'Code Mapping'!$A$5:$A$1753,0)),"Unmapped"))</f>
        <v/>
      </c>
      <c r="M388" s="33" t="str">
        <f aca="false">IF($B388="","",IFERROR(INDEX('Code Mapping'!$E$5:$E$1753,MATCH($B388,'Code Mapping'!$A$5:$A$1753,0)),"Unmapped"))</f>
        <v/>
      </c>
      <c r="N388" s="33" t="str">
        <f aca="false">IF($F388="","",$F388)</f>
        <v/>
      </c>
    </row>
    <row r="389" customFormat="false" ht="15" hidden="false" customHeight="false" outlineLevel="0" collapsed="false">
      <c r="L389" s="33" t="str">
        <f aca="false">IF($B389="","",IFERROR(INDEX('Code Mapping'!$D$5:$D$1753,MATCH($B389,'Code Mapping'!$A$5:$A$1753,0)),"Unmapped"))</f>
        <v/>
      </c>
      <c r="M389" s="33" t="str">
        <f aca="false">IF($B389="","",IFERROR(INDEX('Code Mapping'!$E$5:$E$1753,MATCH($B389,'Code Mapping'!$A$5:$A$1753,0)),"Unmapped"))</f>
        <v/>
      </c>
      <c r="N389" s="33" t="str">
        <f aca="false">IF($F389="","",$F389)</f>
        <v/>
      </c>
    </row>
    <row r="390" customFormat="false" ht="15" hidden="false" customHeight="false" outlineLevel="0" collapsed="false">
      <c r="L390" s="33" t="str">
        <f aca="false">IF($B390="","",IFERROR(INDEX('Code Mapping'!$D$5:$D$1753,MATCH($B390,'Code Mapping'!$A$5:$A$1753,0)),"Unmapped"))</f>
        <v/>
      </c>
      <c r="M390" s="33" t="str">
        <f aca="false">IF($B390="","",IFERROR(INDEX('Code Mapping'!$E$5:$E$1753,MATCH($B390,'Code Mapping'!$A$5:$A$1753,0)),"Unmapped"))</f>
        <v/>
      </c>
      <c r="N390" s="33" t="str">
        <f aca="false">IF($F390="","",$F390)</f>
        <v/>
      </c>
    </row>
    <row r="391" customFormat="false" ht="15" hidden="false" customHeight="false" outlineLevel="0" collapsed="false">
      <c r="L391" s="33" t="str">
        <f aca="false">IF($B391="","",IFERROR(INDEX('Code Mapping'!$D$5:$D$1753,MATCH($B391,'Code Mapping'!$A$5:$A$1753,0)),"Unmapped"))</f>
        <v/>
      </c>
      <c r="M391" s="33" t="str">
        <f aca="false">IF($B391="","",IFERROR(INDEX('Code Mapping'!$E$5:$E$1753,MATCH($B391,'Code Mapping'!$A$5:$A$1753,0)),"Unmapped"))</f>
        <v/>
      </c>
      <c r="N391" s="33" t="str">
        <f aca="false">IF($F391="","",$F391)</f>
        <v/>
      </c>
    </row>
    <row r="392" customFormat="false" ht="15" hidden="false" customHeight="false" outlineLevel="0" collapsed="false">
      <c r="L392" s="33" t="str">
        <f aca="false">IF($B392="","",IFERROR(INDEX('Code Mapping'!$D$5:$D$1753,MATCH($B392,'Code Mapping'!$A$5:$A$1753,0)),"Unmapped"))</f>
        <v/>
      </c>
      <c r="M392" s="33" t="str">
        <f aca="false">IF($B392="","",IFERROR(INDEX('Code Mapping'!$E$5:$E$1753,MATCH($B392,'Code Mapping'!$A$5:$A$1753,0)),"Unmapped"))</f>
        <v/>
      </c>
      <c r="N392" s="33" t="str">
        <f aca="false">IF($F392="","",$F392)</f>
        <v/>
      </c>
    </row>
    <row r="393" customFormat="false" ht="15" hidden="false" customHeight="false" outlineLevel="0" collapsed="false">
      <c r="L393" s="33" t="str">
        <f aca="false">IF($B393="","",IFERROR(INDEX('Code Mapping'!$D$5:$D$1753,MATCH($B393,'Code Mapping'!$A$5:$A$1753,0)),"Unmapped"))</f>
        <v/>
      </c>
      <c r="M393" s="33" t="str">
        <f aca="false">IF($B393="","",IFERROR(INDEX('Code Mapping'!$E$5:$E$1753,MATCH($B393,'Code Mapping'!$A$5:$A$1753,0)),"Unmapped"))</f>
        <v/>
      </c>
      <c r="N393" s="33" t="str">
        <f aca="false">IF($F393="","",$F393)</f>
        <v/>
      </c>
    </row>
    <row r="394" customFormat="false" ht="15" hidden="false" customHeight="false" outlineLevel="0" collapsed="false">
      <c r="L394" s="33" t="str">
        <f aca="false">IF($B394="","",IFERROR(INDEX('Code Mapping'!$D$5:$D$1753,MATCH($B394,'Code Mapping'!$A$5:$A$1753,0)),"Unmapped"))</f>
        <v/>
      </c>
      <c r="M394" s="33" t="str">
        <f aca="false">IF($B394="","",IFERROR(INDEX('Code Mapping'!$E$5:$E$1753,MATCH($B394,'Code Mapping'!$A$5:$A$1753,0)),"Unmapped"))</f>
        <v/>
      </c>
      <c r="N394" s="33" t="str">
        <f aca="false">IF($F394="","",$F394)</f>
        <v/>
      </c>
    </row>
    <row r="395" customFormat="false" ht="15" hidden="false" customHeight="false" outlineLevel="0" collapsed="false">
      <c r="L395" s="33" t="str">
        <f aca="false">IF($B395="","",IFERROR(INDEX('Code Mapping'!$D$5:$D$1753,MATCH($B395,'Code Mapping'!$A$5:$A$1753,0)),"Unmapped"))</f>
        <v/>
      </c>
      <c r="M395" s="33" t="str">
        <f aca="false">IF($B395="","",IFERROR(INDEX('Code Mapping'!$E$5:$E$1753,MATCH($B395,'Code Mapping'!$A$5:$A$1753,0)),"Unmapped"))</f>
        <v/>
      </c>
      <c r="N395" s="33" t="str">
        <f aca="false">IF($F395="","",$F395)</f>
        <v/>
      </c>
    </row>
    <row r="396" customFormat="false" ht="15" hidden="false" customHeight="false" outlineLevel="0" collapsed="false">
      <c r="L396" s="33" t="str">
        <f aca="false">IF($B396="","",IFERROR(INDEX('Code Mapping'!$D$5:$D$1753,MATCH($B396,'Code Mapping'!$A$5:$A$1753,0)),"Unmapped"))</f>
        <v/>
      </c>
      <c r="M396" s="33" t="str">
        <f aca="false">IF($B396="","",IFERROR(INDEX('Code Mapping'!$E$5:$E$1753,MATCH($B396,'Code Mapping'!$A$5:$A$1753,0)),"Unmapped"))</f>
        <v/>
      </c>
      <c r="N396" s="33" t="str">
        <f aca="false">IF($F396="","",$F396)</f>
        <v/>
      </c>
    </row>
    <row r="397" customFormat="false" ht="15" hidden="false" customHeight="false" outlineLevel="0" collapsed="false">
      <c r="L397" s="33" t="str">
        <f aca="false">IF($B397="","",IFERROR(INDEX('Code Mapping'!$D$5:$D$1753,MATCH($B397,'Code Mapping'!$A$5:$A$1753,0)),"Unmapped"))</f>
        <v/>
      </c>
      <c r="M397" s="33" t="str">
        <f aca="false">IF($B397="","",IFERROR(INDEX('Code Mapping'!$E$5:$E$1753,MATCH($B397,'Code Mapping'!$A$5:$A$1753,0)),"Unmapped"))</f>
        <v/>
      </c>
      <c r="N397" s="33" t="str">
        <f aca="false">IF($F397="","",$F397)</f>
        <v/>
      </c>
    </row>
    <row r="398" customFormat="false" ht="15" hidden="false" customHeight="false" outlineLevel="0" collapsed="false">
      <c r="L398" s="33" t="str">
        <f aca="false">IF($B398="","",IFERROR(INDEX('Code Mapping'!$D$5:$D$1753,MATCH($B398,'Code Mapping'!$A$5:$A$1753,0)),"Unmapped"))</f>
        <v/>
      </c>
      <c r="M398" s="33" t="str">
        <f aca="false">IF($B398="","",IFERROR(INDEX('Code Mapping'!$E$5:$E$1753,MATCH($B398,'Code Mapping'!$A$5:$A$1753,0)),"Unmapped"))</f>
        <v/>
      </c>
      <c r="N398" s="33" t="str">
        <f aca="false">IF($F398="","",$F398)</f>
        <v/>
      </c>
    </row>
    <row r="399" customFormat="false" ht="15" hidden="false" customHeight="false" outlineLevel="0" collapsed="false">
      <c r="L399" s="33" t="str">
        <f aca="false">IF($B399="","",IFERROR(INDEX('Code Mapping'!$D$5:$D$1753,MATCH($B399,'Code Mapping'!$A$5:$A$1753,0)),"Unmapped"))</f>
        <v/>
      </c>
      <c r="M399" s="33" t="str">
        <f aca="false">IF($B399="","",IFERROR(INDEX('Code Mapping'!$E$5:$E$1753,MATCH($B399,'Code Mapping'!$A$5:$A$1753,0)),"Unmapped"))</f>
        <v/>
      </c>
      <c r="N399" s="33" t="str">
        <f aca="false">IF($F399="","",$F399)</f>
        <v/>
      </c>
    </row>
    <row r="400" customFormat="false" ht="15" hidden="false" customHeight="false" outlineLevel="0" collapsed="false">
      <c r="L400" s="33" t="str">
        <f aca="false">IF($B400="","",IFERROR(INDEX('Code Mapping'!$D$5:$D$1753,MATCH($B400,'Code Mapping'!$A$5:$A$1753,0)),"Unmapped"))</f>
        <v/>
      </c>
      <c r="M400" s="33" t="str">
        <f aca="false">IF($B400="","",IFERROR(INDEX('Code Mapping'!$E$5:$E$1753,MATCH($B400,'Code Mapping'!$A$5:$A$1753,0)),"Unmapped"))</f>
        <v/>
      </c>
      <c r="N400" s="33" t="str">
        <f aca="false">IF($F400="","",$F400)</f>
        <v/>
      </c>
    </row>
    <row r="401" customFormat="false" ht="15" hidden="false" customHeight="false" outlineLevel="0" collapsed="false">
      <c r="L401" s="33" t="str">
        <f aca="false">IF($B401="","",IFERROR(INDEX('Code Mapping'!$D$5:$D$1753,MATCH($B401,'Code Mapping'!$A$5:$A$1753,0)),"Unmapped"))</f>
        <v/>
      </c>
      <c r="M401" s="33" t="str">
        <f aca="false">IF($B401="","",IFERROR(INDEX('Code Mapping'!$E$5:$E$1753,MATCH($B401,'Code Mapping'!$A$5:$A$1753,0)),"Unmapped"))</f>
        <v/>
      </c>
      <c r="N401" s="33" t="str">
        <f aca="false">IF($F401="","",$F401)</f>
        <v/>
      </c>
    </row>
    <row r="402" customFormat="false" ht="15" hidden="false" customHeight="false" outlineLevel="0" collapsed="false">
      <c r="L402" s="33" t="str">
        <f aca="false">IF($B402="","",IFERROR(INDEX('Code Mapping'!$D$5:$D$1753,MATCH($B402,'Code Mapping'!$A$5:$A$1753,0)),"Unmapped"))</f>
        <v/>
      </c>
      <c r="M402" s="33" t="str">
        <f aca="false">IF($B402="","",IFERROR(INDEX('Code Mapping'!$E$5:$E$1753,MATCH($B402,'Code Mapping'!$A$5:$A$1753,0)),"Unmapped"))</f>
        <v/>
      </c>
      <c r="N402" s="33" t="str">
        <f aca="false">IF($F402="","",$F402)</f>
        <v/>
      </c>
    </row>
    <row r="403" customFormat="false" ht="15" hidden="false" customHeight="false" outlineLevel="0" collapsed="false">
      <c r="L403" s="33" t="str">
        <f aca="false">IF($B403="","",IFERROR(INDEX('Code Mapping'!$D$5:$D$1753,MATCH($B403,'Code Mapping'!$A$5:$A$1753,0)),"Unmapped"))</f>
        <v/>
      </c>
      <c r="M403" s="33" t="str">
        <f aca="false">IF($B403="","",IFERROR(INDEX('Code Mapping'!$E$5:$E$1753,MATCH($B403,'Code Mapping'!$A$5:$A$1753,0)),"Unmapped"))</f>
        <v/>
      </c>
      <c r="N403" s="33" t="str">
        <f aca="false">IF($F403="","",$F403)</f>
        <v/>
      </c>
    </row>
    <row r="404" customFormat="false" ht="15" hidden="false" customHeight="false" outlineLevel="0" collapsed="false">
      <c r="L404" s="33" t="str">
        <f aca="false">IF($B404="","",IFERROR(INDEX('Code Mapping'!$D$5:$D$1753,MATCH($B404,'Code Mapping'!$A$5:$A$1753,0)),"Unmapped"))</f>
        <v/>
      </c>
      <c r="M404" s="33" t="str">
        <f aca="false">IF($B404="","",IFERROR(INDEX('Code Mapping'!$E$5:$E$1753,MATCH($B404,'Code Mapping'!$A$5:$A$1753,0)),"Unmapped"))</f>
        <v/>
      </c>
      <c r="N404" s="33" t="str">
        <f aca="false">IF($F404="","",$F404)</f>
        <v/>
      </c>
    </row>
    <row r="405" customFormat="false" ht="15" hidden="false" customHeight="false" outlineLevel="0" collapsed="false">
      <c r="L405" s="33" t="str">
        <f aca="false">IF($B405="","",IFERROR(INDEX('Code Mapping'!$D$5:$D$1753,MATCH($B405,'Code Mapping'!$A$5:$A$1753,0)),"Unmapped"))</f>
        <v/>
      </c>
      <c r="M405" s="33" t="str">
        <f aca="false">IF($B405="","",IFERROR(INDEX('Code Mapping'!$E$5:$E$1753,MATCH($B405,'Code Mapping'!$A$5:$A$1753,0)),"Unmapped"))</f>
        <v/>
      </c>
      <c r="N405" s="33" t="str">
        <f aca="false">IF($F405="","",$F405)</f>
        <v/>
      </c>
    </row>
    <row r="406" customFormat="false" ht="15" hidden="false" customHeight="false" outlineLevel="0" collapsed="false">
      <c r="L406" s="33" t="str">
        <f aca="false">IF($B406="","",IFERROR(INDEX('Code Mapping'!$D$5:$D$1753,MATCH($B406,'Code Mapping'!$A$5:$A$1753,0)),"Unmapped"))</f>
        <v/>
      </c>
      <c r="M406" s="33" t="str">
        <f aca="false">IF($B406="","",IFERROR(INDEX('Code Mapping'!$E$5:$E$1753,MATCH($B406,'Code Mapping'!$A$5:$A$1753,0)),"Unmapped"))</f>
        <v/>
      </c>
      <c r="N406" s="33" t="str">
        <f aca="false">IF($F406="","",$F406)</f>
        <v/>
      </c>
    </row>
    <row r="407" customFormat="false" ht="15" hidden="false" customHeight="false" outlineLevel="0" collapsed="false">
      <c r="L407" s="33" t="str">
        <f aca="false">IF($B407="","",IFERROR(INDEX('Code Mapping'!$D$5:$D$1753,MATCH($B407,'Code Mapping'!$A$5:$A$1753,0)),"Unmapped"))</f>
        <v/>
      </c>
      <c r="M407" s="33" t="str">
        <f aca="false">IF($B407="","",IFERROR(INDEX('Code Mapping'!$E$5:$E$1753,MATCH($B407,'Code Mapping'!$A$5:$A$1753,0)),"Unmapped"))</f>
        <v/>
      </c>
      <c r="N407" s="33" t="str">
        <f aca="false">IF($F407="","",$F407)</f>
        <v/>
      </c>
    </row>
    <row r="408" customFormat="false" ht="15" hidden="false" customHeight="false" outlineLevel="0" collapsed="false">
      <c r="L408" s="33" t="str">
        <f aca="false">IF($B408="","",IFERROR(INDEX('Code Mapping'!$D$5:$D$1753,MATCH($B408,'Code Mapping'!$A$5:$A$1753,0)),"Unmapped"))</f>
        <v/>
      </c>
      <c r="M408" s="33" t="str">
        <f aca="false">IF($B408="","",IFERROR(INDEX('Code Mapping'!$E$5:$E$1753,MATCH($B408,'Code Mapping'!$A$5:$A$1753,0)),"Unmapped"))</f>
        <v/>
      </c>
      <c r="N408" s="33" t="str">
        <f aca="false">IF($F408="","",$F408)</f>
        <v/>
      </c>
    </row>
    <row r="409" customFormat="false" ht="15" hidden="false" customHeight="false" outlineLevel="0" collapsed="false">
      <c r="L409" s="33" t="str">
        <f aca="false">IF($B409="","",IFERROR(INDEX('Code Mapping'!$D$5:$D$1753,MATCH($B409,'Code Mapping'!$A$5:$A$1753,0)),"Unmapped"))</f>
        <v/>
      </c>
      <c r="M409" s="33" t="str">
        <f aca="false">IF($B409="","",IFERROR(INDEX('Code Mapping'!$E$5:$E$1753,MATCH($B409,'Code Mapping'!$A$5:$A$1753,0)),"Unmapped"))</f>
        <v/>
      </c>
      <c r="N409" s="33" t="str">
        <f aca="false">IF($F409="","",$F409)</f>
        <v/>
      </c>
    </row>
    <row r="410" customFormat="false" ht="15" hidden="false" customHeight="false" outlineLevel="0" collapsed="false">
      <c r="L410" s="33" t="str">
        <f aca="false">IF($B410="","",IFERROR(INDEX('Code Mapping'!$D$5:$D$1753,MATCH($B410,'Code Mapping'!$A$5:$A$1753,0)),"Unmapped"))</f>
        <v/>
      </c>
      <c r="M410" s="33" t="str">
        <f aca="false">IF($B410="","",IFERROR(INDEX('Code Mapping'!$E$5:$E$1753,MATCH($B410,'Code Mapping'!$A$5:$A$1753,0)),"Unmapped"))</f>
        <v/>
      </c>
      <c r="N410" s="33" t="str">
        <f aca="false">IF($F410="","",$F410)</f>
        <v/>
      </c>
    </row>
    <row r="411" customFormat="false" ht="15" hidden="false" customHeight="false" outlineLevel="0" collapsed="false">
      <c r="L411" s="33" t="str">
        <f aca="false">IF($B411="","",IFERROR(INDEX('Code Mapping'!$D$5:$D$1753,MATCH($B411,'Code Mapping'!$A$5:$A$1753,0)),"Unmapped"))</f>
        <v/>
      </c>
      <c r="M411" s="33" t="str">
        <f aca="false">IF($B411="","",IFERROR(INDEX('Code Mapping'!$E$5:$E$1753,MATCH($B411,'Code Mapping'!$A$5:$A$1753,0)),"Unmapped"))</f>
        <v/>
      </c>
      <c r="N411" s="33" t="str">
        <f aca="false">IF($F411="","",$F411)</f>
        <v/>
      </c>
    </row>
    <row r="412" customFormat="false" ht="15" hidden="false" customHeight="false" outlineLevel="0" collapsed="false">
      <c r="L412" s="33" t="str">
        <f aca="false">IF($B412="","",IFERROR(INDEX('Code Mapping'!$D$5:$D$1753,MATCH($B412,'Code Mapping'!$A$5:$A$1753,0)),"Unmapped"))</f>
        <v/>
      </c>
      <c r="M412" s="33" t="str">
        <f aca="false">IF($B412="","",IFERROR(INDEX('Code Mapping'!$E$5:$E$1753,MATCH($B412,'Code Mapping'!$A$5:$A$1753,0)),"Unmapped"))</f>
        <v/>
      </c>
      <c r="N412" s="33" t="str">
        <f aca="false">IF($F412="","",$F412)</f>
        <v/>
      </c>
    </row>
    <row r="413" customFormat="false" ht="15" hidden="false" customHeight="false" outlineLevel="0" collapsed="false">
      <c r="L413" s="33" t="str">
        <f aca="false">IF($B413="","",IFERROR(INDEX('Code Mapping'!$D$5:$D$1753,MATCH($B413,'Code Mapping'!$A$5:$A$1753,0)),"Unmapped"))</f>
        <v/>
      </c>
      <c r="M413" s="33" t="str">
        <f aca="false">IF($B413="","",IFERROR(INDEX('Code Mapping'!$E$5:$E$1753,MATCH($B413,'Code Mapping'!$A$5:$A$1753,0)),"Unmapped"))</f>
        <v/>
      </c>
      <c r="N413" s="33" t="str">
        <f aca="false">IF($F413="","",$F413)</f>
        <v/>
      </c>
    </row>
    <row r="414" customFormat="false" ht="15" hidden="false" customHeight="false" outlineLevel="0" collapsed="false">
      <c r="L414" s="33" t="str">
        <f aca="false">IF($B414="","",IFERROR(INDEX('Code Mapping'!$D$5:$D$1753,MATCH($B414,'Code Mapping'!$A$5:$A$1753,0)),"Unmapped"))</f>
        <v/>
      </c>
      <c r="M414" s="33" t="str">
        <f aca="false">IF($B414="","",IFERROR(INDEX('Code Mapping'!$E$5:$E$1753,MATCH($B414,'Code Mapping'!$A$5:$A$1753,0)),"Unmapped"))</f>
        <v/>
      </c>
      <c r="N414" s="33" t="str">
        <f aca="false">IF($F414="","",$F414)</f>
        <v/>
      </c>
    </row>
    <row r="415" customFormat="false" ht="15" hidden="false" customHeight="false" outlineLevel="0" collapsed="false">
      <c r="L415" s="33" t="str">
        <f aca="false">IF($B415="","",IFERROR(INDEX('Code Mapping'!$D$5:$D$1753,MATCH($B415,'Code Mapping'!$A$5:$A$1753,0)),"Unmapped"))</f>
        <v/>
      </c>
      <c r="M415" s="33" t="str">
        <f aca="false">IF($B415="","",IFERROR(INDEX('Code Mapping'!$E$5:$E$1753,MATCH($B415,'Code Mapping'!$A$5:$A$1753,0)),"Unmapped"))</f>
        <v/>
      </c>
      <c r="N415" s="33" t="str">
        <f aca="false">IF($F415="","",$F415)</f>
        <v/>
      </c>
    </row>
    <row r="416" customFormat="false" ht="15" hidden="false" customHeight="false" outlineLevel="0" collapsed="false">
      <c r="L416" s="33" t="str">
        <f aca="false">IF($B416="","",IFERROR(INDEX('Code Mapping'!$D$5:$D$1753,MATCH($B416,'Code Mapping'!$A$5:$A$1753,0)),"Unmapped"))</f>
        <v/>
      </c>
      <c r="M416" s="33" t="str">
        <f aca="false">IF($B416="","",IFERROR(INDEX('Code Mapping'!$E$5:$E$1753,MATCH($B416,'Code Mapping'!$A$5:$A$1753,0)),"Unmapped"))</f>
        <v/>
      </c>
      <c r="N416" s="33" t="str">
        <f aca="false">IF($F416="","",$F416)</f>
        <v/>
      </c>
    </row>
    <row r="417" customFormat="false" ht="15" hidden="false" customHeight="false" outlineLevel="0" collapsed="false">
      <c r="L417" s="33" t="str">
        <f aca="false">IF($B417="","",IFERROR(INDEX('Code Mapping'!$D$5:$D$1753,MATCH($B417,'Code Mapping'!$A$5:$A$1753,0)),"Unmapped"))</f>
        <v/>
      </c>
      <c r="M417" s="33" t="str">
        <f aca="false">IF($B417="","",IFERROR(INDEX('Code Mapping'!$E$5:$E$1753,MATCH($B417,'Code Mapping'!$A$5:$A$1753,0)),"Unmapped"))</f>
        <v/>
      </c>
      <c r="N417" s="33" t="str">
        <f aca="false">IF($F417="","",$F417)</f>
        <v/>
      </c>
    </row>
    <row r="418" customFormat="false" ht="15" hidden="false" customHeight="false" outlineLevel="0" collapsed="false">
      <c r="L418" s="33" t="str">
        <f aca="false">IF($B418="","",IFERROR(INDEX('Code Mapping'!$D$5:$D$1753,MATCH($B418,'Code Mapping'!$A$5:$A$1753,0)),"Unmapped"))</f>
        <v/>
      </c>
      <c r="M418" s="33" t="str">
        <f aca="false">IF($B418="","",IFERROR(INDEX('Code Mapping'!$E$5:$E$1753,MATCH($B418,'Code Mapping'!$A$5:$A$1753,0)),"Unmapped"))</f>
        <v/>
      </c>
      <c r="N418" s="33" t="str">
        <f aca="false">IF($F418="","",$F418)</f>
        <v/>
      </c>
    </row>
    <row r="419" customFormat="false" ht="15" hidden="false" customHeight="false" outlineLevel="0" collapsed="false">
      <c r="L419" s="33" t="str">
        <f aca="false">IF($B419="","",IFERROR(INDEX('Code Mapping'!$D$5:$D$1753,MATCH($B419,'Code Mapping'!$A$5:$A$1753,0)),"Unmapped"))</f>
        <v/>
      </c>
      <c r="M419" s="33" t="str">
        <f aca="false">IF($B419="","",IFERROR(INDEX('Code Mapping'!$E$5:$E$1753,MATCH($B419,'Code Mapping'!$A$5:$A$1753,0)),"Unmapped"))</f>
        <v/>
      </c>
      <c r="N419" s="33" t="str">
        <f aca="false">IF($F419="","",$F419)</f>
        <v/>
      </c>
    </row>
    <row r="420" customFormat="false" ht="15" hidden="false" customHeight="false" outlineLevel="0" collapsed="false">
      <c r="L420" s="33" t="str">
        <f aca="false">IF($B420="","",IFERROR(INDEX('Code Mapping'!$D$5:$D$1753,MATCH($B420,'Code Mapping'!$A$5:$A$1753,0)),"Unmapped"))</f>
        <v/>
      </c>
      <c r="M420" s="33" t="str">
        <f aca="false">IF($B420="","",IFERROR(INDEX('Code Mapping'!$E$5:$E$1753,MATCH($B420,'Code Mapping'!$A$5:$A$1753,0)),"Unmapped"))</f>
        <v/>
      </c>
      <c r="N420" s="33" t="str">
        <f aca="false">IF($F420="","",$F420)</f>
        <v/>
      </c>
    </row>
    <row r="421" customFormat="false" ht="15" hidden="false" customHeight="false" outlineLevel="0" collapsed="false">
      <c r="L421" s="33" t="str">
        <f aca="false">IF($B421="","",IFERROR(INDEX('Code Mapping'!$D$5:$D$1753,MATCH($B421,'Code Mapping'!$A$5:$A$1753,0)),"Unmapped"))</f>
        <v/>
      </c>
      <c r="M421" s="33" t="str">
        <f aca="false">IF($B421="","",IFERROR(INDEX('Code Mapping'!$E$5:$E$1753,MATCH($B421,'Code Mapping'!$A$5:$A$1753,0)),"Unmapped"))</f>
        <v/>
      </c>
      <c r="N421" s="33" t="str">
        <f aca="false">IF($F421="","",$F421)</f>
        <v/>
      </c>
    </row>
    <row r="422" customFormat="false" ht="15" hidden="false" customHeight="false" outlineLevel="0" collapsed="false">
      <c r="L422" s="33" t="str">
        <f aca="false">IF($B422="","",IFERROR(INDEX('Code Mapping'!$D$5:$D$1753,MATCH($B422,'Code Mapping'!$A$5:$A$1753,0)),"Unmapped"))</f>
        <v/>
      </c>
      <c r="M422" s="33" t="str">
        <f aca="false">IF($B422="","",IFERROR(INDEX('Code Mapping'!$E$5:$E$1753,MATCH($B422,'Code Mapping'!$A$5:$A$1753,0)),"Unmapped"))</f>
        <v/>
      </c>
      <c r="N422" s="33" t="str">
        <f aca="false">IF($F422="","",$F422)</f>
        <v/>
      </c>
    </row>
    <row r="423" customFormat="false" ht="15" hidden="false" customHeight="false" outlineLevel="0" collapsed="false">
      <c r="L423" s="33" t="str">
        <f aca="false">IF($B423="","",IFERROR(INDEX('Code Mapping'!$D$5:$D$1753,MATCH($B423,'Code Mapping'!$A$5:$A$1753,0)),"Unmapped"))</f>
        <v/>
      </c>
      <c r="M423" s="33" t="str">
        <f aca="false">IF($B423="","",IFERROR(INDEX('Code Mapping'!$E$5:$E$1753,MATCH($B423,'Code Mapping'!$A$5:$A$1753,0)),"Unmapped"))</f>
        <v/>
      </c>
      <c r="N423" s="33" t="str">
        <f aca="false">IF($F423="","",$F423)</f>
        <v/>
      </c>
    </row>
    <row r="424" customFormat="false" ht="15" hidden="false" customHeight="false" outlineLevel="0" collapsed="false">
      <c r="L424" s="33" t="str">
        <f aca="false">IF($B424="","",IFERROR(INDEX('Code Mapping'!$D$5:$D$1753,MATCH($B424,'Code Mapping'!$A$5:$A$1753,0)),"Unmapped"))</f>
        <v/>
      </c>
      <c r="M424" s="33" t="str">
        <f aca="false">IF($B424="","",IFERROR(INDEX('Code Mapping'!$E$5:$E$1753,MATCH($B424,'Code Mapping'!$A$5:$A$1753,0)),"Unmapped"))</f>
        <v/>
      </c>
      <c r="N424" s="33" t="str">
        <f aca="false">IF($F424="","",$F424)</f>
        <v/>
      </c>
    </row>
    <row r="425" customFormat="false" ht="15" hidden="false" customHeight="false" outlineLevel="0" collapsed="false">
      <c r="L425" s="33" t="str">
        <f aca="false">IF($B425="","",IFERROR(INDEX('Code Mapping'!$D$5:$D$1753,MATCH($B425,'Code Mapping'!$A$5:$A$1753,0)),"Unmapped"))</f>
        <v/>
      </c>
      <c r="M425" s="33" t="str">
        <f aca="false">IF($B425="","",IFERROR(INDEX('Code Mapping'!$E$5:$E$1753,MATCH($B425,'Code Mapping'!$A$5:$A$1753,0)),"Unmapped"))</f>
        <v/>
      </c>
      <c r="N425" s="33" t="str">
        <f aca="false">IF($F425="","",$F425)</f>
        <v/>
      </c>
    </row>
    <row r="426" customFormat="false" ht="15" hidden="false" customHeight="false" outlineLevel="0" collapsed="false">
      <c r="L426" s="33" t="str">
        <f aca="false">IF($B426="","",IFERROR(INDEX('Code Mapping'!$D$5:$D$1753,MATCH($B426,'Code Mapping'!$A$5:$A$1753,0)),"Unmapped"))</f>
        <v/>
      </c>
      <c r="M426" s="33" t="str">
        <f aca="false">IF($B426="","",IFERROR(INDEX('Code Mapping'!$E$5:$E$1753,MATCH($B426,'Code Mapping'!$A$5:$A$1753,0)),"Unmapped"))</f>
        <v/>
      </c>
      <c r="N426" s="33" t="str">
        <f aca="false">IF($F426="","",$F426)</f>
        <v/>
      </c>
    </row>
    <row r="427" customFormat="false" ht="15" hidden="false" customHeight="false" outlineLevel="0" collapsed="false">
      <c r="L427" s="33" t="str">
        <f aca="false">IF($B427="","",IFERROR(INDEX('Code Mapping'!$D$5:$D$1753,MATCH($B427,'Code Mapping'!$A$5:$A$1753,0)),"Unmapped"))</f>
        <v/>
      </c>
      <c r="M427" s="33" t="str">
        <f aca="false">IF($B427="","",IFERROR(INDEX('Code Mapping'!$E$5:$E$1753,MATCH($B427,'Code Mapping'!$A$5:$A$1753,0)),"Unmapped"))</f>
        <v/>
      </c>
      <c r="N427" s="33" t="str">
        <f aca="false">IF($F427="","",$F427)</f>
        <v/>
      </c>
    </row>
    <row r="428" customFormat="false" ht="15" hidden="false" customHeight="false" outlineLevel="0" collapsed="false">
      <c r="L428" s="33" t="str">
        <f aca="false">IF($B428="","",IFERROR(INDEX('Code Mapping'!$D$5:$D$1753,MATCH($B428,'Code Mapping'!$A$5:$A$1753,0)),"Unmapped"))</f>
        <v/>
      </c>
      <c r="M428" s="33" t="str">
        <f aca="false">IF($B428="","",IFERROR(INDEX('Code Mapping'!$E$5:$E$1753,MATCH($B428,'Code Mapping'!$A$5:$A$1753,0)),"Unmapped"))</f>
        <v/>
      </c>
      <c r="N428" s="33" t="str">
        <f aca="false">IF($F428="","",$F428)</f>
        <v/>
      </c>
    </row>
    <row r="429" customFormat="false" ht="15" hidden="false" customHeight="false" outlineLevel="0" collapsed="false">
      <c r="L429" s="33" t="str">
        <f aca="false">IF($B429="","",IFERROR(INDEX('Code Mapping'!$D$5:$D$1753,MATCH($B429,'Code Mapping'!$A$5:$A$1753,0)),"Unmapped"))</f>
        <v/>
      </c>
      <c r="M429" s="33" t="str">
        <f aca="false">IF($B429="","",IFERROR(INDEX('Code Mapping'!$E$5:$E$1753,MATCH($B429,'Code Mapping'!$A$5:$A$1753,0)),"Unmapped"))</f>
        <v/>
      </c>
      <c r="N429" s="33" t="str">
        <f aca="false">IF($F429="","",$F429)</f>
        <v/>
      </c>
    </row>
    <row r="430" customFormat="false" ht="15" hidden="false" customHeight="false" outlineLevel="0" collapsed="false">
      <c r="L430" s="33" t="str">
        <f aca="false">IF($B430="","",IFERROR(INDEX('Code Mapping'!$D$5:$D$1753,MATCH($B430,'Code Mapping'!$A$5:$A$1753,0)),"Unmapped"))</f>
        <v/>
      </c>
      <c r="M430" s="33" t="str">
        <f aca="false">IF($B430="","",IFERROR(INDEX('Code Mapping'!$E$5:$E$1753,MATCH($B430,'Code Mapping'!$A$5:$A$1753,0)),"Unmapped"))</f>
        <v/>
      </c>
      <c r="N430" s="33" t="str">
        <f aca="false">IF($F430="","",$F430)</f>
        <v/>
      </c>
    </row>
    <row r="431" customFormat="false" ht="15" hidden="false" customHeight="false" outlineLevel="0" collapsed="false">
      <c r="L431" s="33" t="str">
        <f aca="false">IF($B431="","",IFERROR(INDEX('Code Mapping'!$D$5:$D$1753,MATCH($B431,'Code Mapping'!$A$5:$A$1753,0)),"Unmapped"))</f>
        <v/>
      </c>
      <c r="M431" s="33" t="str">
        <f aca="false">IF($B431="","",IFERROR(INDEX('Code Mapping'!$E$5:$E$1753,MATCH($B431,'Code Mapping'!$A$5:$A$1753,0)),"Unmapped"))</f>
        <v/>
      </c>
      <c r="N431" s="33" t="str">
        <f aca="false">IF($F431="","",$F431)</f>
        <v/>
      </c>
    </row>
    <row r="432" customFormat="false" ht="15" hidden="false" customHeight="false" outlineLevel="0" collapsed="false">
      <c r="L432" s="33" t="str">
        <f aca="false">IF($B432="","",IFERROR(INDEX('Code Mapping'!$D$5:$D$1753,MATCH($B432,'Code Mapping'!$A$5:$A$1753,0)),"Unmapped"))</f>
        <v/>
      </c>
      <c r="M432" s="33" t="str">
        <f aca="false">IF($B432="","",IFERROR(INDEX('Code Mapping'!$E$5:$E$1753,MATCH($B432,'Code Mapping'!$A$5:$A$1753,0)),"Unmapped"))</f>
        <v/>
      </c>
      <c r="N432" s="33" t="str">
        <f aca="false">IF($F432="","",$F432)</f>
        <v/>
      </c>
    </row>
    <row r="433" customFormat="false" ht="15" hidden="false" customHeight="false" outlineLevel="0" collapsed="false">
      <c r="L433" s="33" t="str">
        <f aca="false">IF($B433="","",IFERROR(INDEX('Code Mapping'!$D$5:$D$1753,MATCH($B433,'Code Mapping'!$A$5:$A$1753,0)),"Unmapped"))</f>
        <v/>
      </c>
      <c r="M433" s="33" t="str">
        <f aca="false">IF($B433="","",IFERROR(INDEX('Code Mapping'!$E$5:$E$1753,MATCH($B433,'Code Mapping'!$A$5:$A$1753,0)),"Unmapped"))</f>
        <v/>
      </c>
      <c r="N433" s="33" t="str">
        <f aca="false">IF($F433="","",$F433)</f>
        <v/>
      </c>
    </row>
    <row r="434" customFormat="false" ht="15" hidden="false" customHeight="false" outlineLevel="0" collapsed="false">
      <c r="L434" s="33" t="str">
        <f aca="false">IF($B434="","",IFERROR(INDEX('Code Mapping'!$D$5:$D$1753,MATCH($B434,'Code Mapping'!$A$5:$A$1753,0)),"Unmapped"))</f>
        <v/>
      </c>
      <c r="M434" s="33" t="str">
        <f aca="false">IF($B434="","",IFERROR(INDEX('Code Mapping'!$E$5:$E$1753,MATCH($B434,'Code Mapping'!$A$5:$A$1753,0)),"Unmapped"))</f>
        <v/>
      </c>
      <c r="N434" s="33" t="str">
        <f aca="false">IF($F434="","",$F434)</f>
        <v/>
      </c>
    </row>
    <row r="435" customFormat="false" ht="15" hidden="false" customHeight="false" outlineLevel="0" collapsed="false">
      <c r="L435" s="33" t="str">
        <f aca="false">IF($B435="","",IFERROR(INDEX('Code Mapping'!$D$5:$D$1753,MATCH($B435,'Code Mapping'!$A$5:$A$1753,0)),"Unmapped"))</f>
        <v/>
      </c>
      <c r="M435" s="33" t="str">
        <f aca="false">IF($B435="","",IFERROR(INDEX('Code Mapping'!$E$5:$E$1753,MATCH($B435,'Code Mapping'!$A$5:$A$1753,0)),"Unmapped"))</f>
        <v/>
      </c>
      <c r="N435" s="33" t="str">
        <f aca="false">IF($F435="","",$F435)</f>
        <v/>
      </c>
    </row>
    <row r="436" customFormat="false" ht="15" hidden="false" customHeight="false" outlineLevel="0" collapsed="false">
      <c r="L436" s="33" t="str">
        <f aca="false">IF($B436="","",IFERROR(INDEX('Code Mapping'!$D$5:$D$1753,MATCH($B436,'Code Mapping'!$A$5:$A$1753,0)),"Unmapped"))</f>
        <v/>
      </c>
      <c r="M436" s="33" t="str">
        <f aca="false">IF($B436="","",IFERROR(INDEX('Code Mapping'!$E$5:$E$1753,MATCH($B436,'Code Mapping'!$A$5:$A$1753,0)),"Unmapped"))</f>
        <v/>
      </c>
      <c r="N436" s="33" t="str">
        <f aca="false">IF($F436="","",$F436)</f>
        <v/>
      </c>
    </row>
    <row r="437" customFormat="false" ht="15" hidden="false" customHeight="false" outlineLevel="0" collapsed="false">
      <c r="L437" s="33" t="str">
        <f aca="false">IF($B437="","",IFERROR(INDEX('Code Mapping'!$D$5:$D$1753,MATCH($B437,'Code Mapping'!$A$5:$A$1753,0)),"Unmapped"))</f>
        <v/>
      </c>
      <c r="M437" s="33" t="str">
        <f aca="false">IF($B437="","",IFERROR(INDEX('Code Mapping'!$E$5:$E$1753,MATCH($B437,'Code Mapping'!$A$5:$A$1753,0)),"Unmapped"))</f>
        <v/>
      </c>
      <c r="N437" s="33" t="str">
        <f aca="false">IF($F437="","",$F437)</f>
        <v/>
      </c>
    </row>
    <row r="438" customFormat="false" ht="15" hidden="false" customHeight="false" outlineLevel="0" collapsed="false">
      <c r="L438" s="33" t="str">
        <f aca="false">IF($B438="","",IFERROR(INDEX('Code Mapping'!$D$5:$D$1753,MATCH($B438,'Code Mapping'!$A$5:$A$1753,0)),"Unmapped"))</f>
        <v/>
      </c>
      <c r="M438" s="33" t="str">
        <f aca="false">IF($B438="","",IFERROR(INDEX('Code Mapping'!$E$5:$E$1753,MATCH($B438,'Code Mapping'!$A$5:$A$1753,0)),"Unmapped"))</f>
        <v/>
      </c>
      <c r="N438" s="33" t="str">
        <f aca="false">IF($F438="","",$F438)</f>
        <v/>
      </c>
    </row>
    <row r="439" customFormat="false" ht="15" hidden="false" customHeight="false" outlineLevel="0" collapsed="false">
      <c r="L439" s="33" t="str">
        <f aca="false">IF($B439="","",IFERROR(INDEX('Code Mapping'!$D$5:$D$1753,MATCH($B439,'Code Mapping'!$A$5:$A$1753,0)),"Unmapped"))</f>
        <v/>
      </c>
      <c r="M439" s="33" t="str">
        <f aca="false">IF($B439="","",IFERROR(INDEX('Code Mapping'!$E$5:$E$1753,MATCH($B439,'Code Mapping'!$A$5:$A$1753,0)),"Unmapped"))</f>
        <v/>
      </c>
      <c r="N439" s="33" t="str">
        <f aca="false">IF($F439="","",$F439)</f>
        <v/>
      </c>
    </row>
    <row r="440" customFormat="false" ht="15" hidden="false" customHeight="false" outlineLevel="0" collapsed="false">
      <c r="L440" s="33" t="str">
        <f aca="false">IF($B440="","",IFERROR(INDEX('Code Mapping'!$D$5:$D$1753,MATCH($B440,'Code Mapping'!$A$5:$A$1753,0)),"Unmapped"))</f>
        <v/>
      </c>
      <c r="M440" s="33" t="str">
        <f aca="false">IF($B440="","",IFERROR(INDEX('Code Mapping'!$E$5:$E$1753,MATCH($B440,'Code Mapping'!$A$5:$A$1753,0)),"Unmapped"))</f>
        <v/>
      </c>
      <c r="N440" s="33" t="str">
        <f aca="false">IF($F440="","",$F440)</f>
        <v/>
      </c>
    </row>
    <row r="441" customFormat="false" ht="15" hidden="false" customHeight="false" outlineLevel="0" collapsed="false">
      <c r="L441" s="33" t="str">
        <f aca="false">IF($B441="","",IFERROR(INDEX('Code Mapping'!$D$5:$D$1753,MATCH($B441,'Code Mapping'!$A$5:$A$1753,0)),"Unmapped"))</f>
        <v/>
      </c>
      <c r="M441" s="33" t="str">
        <f aca="false">IF($B441="","",IFERROR(INDEX('Code Mapping'!$E$5:$E$1753,MATCH($B441,'Code Mapping'!$A$5:$A$1753,0)),"Unmapped"))</f>
        <v/>
      </c>
      <c r="N441" s="33" t="str">
        <f aca="false">IF($F441="","",$F441)</f>
        <v/>
      </c>
    </row>
    <row r="442" customFormat="false" ht="15" hidden="false" customHeight="false" outlineLevel="0" collapsed="false">
      <c r="L442" s="33" t="str">
        <f aca="false">IF($B442="","",IFERROR(INDEX('Code Mapping'!$D$5:$D$1753,MATCH($B442,'Code Mapping'!$A$5:$A$1753,0)),"Unmapped"))</f>
        <v/>
      </c>
      <c r="M442" s="33" t="str">
        <f aca="false">IF($B442="","",IFERROR(INDEX('Code Mapping'!$E$5:$E$1753,MATCH($B442,'Code Mapping'!$A$5:$A$1753,0)),"Unmapped"))</f>
        <v/>
      </c>
      <c r="N442" s="33" t="str">
        <f aca="false">IF($F442="","",$F442)</f>
        <v/>
      </c>
    </row>
    <row r="443" customFormat="false" ht="15" hidden="false" customHeight="false" outlineLevel="0" collapsed="false">
      <c r="L443" s="33" t="str">
        <f aca="false">IF($B443="","",IFERROR(INDEX('Code Mapping'!$D$5:$D$1753,MATCH($B443,'Code Mapping'!$A$5:$A$1753,0)),"Unmapped"))</f>
        <v/>
      </c>
      <c r="M443" s="33" t="str">
        <f aca="false">IF($B443="","",IFERROR(INDEX('Code Mapping'!$E$5:$E$1753,MATCH($B443,'Code Mapping'!$A$5:$A$1753,0)),"Unmapped"))</f>
        <v/>
      </c>
      <c r="N443" s="33" t="str">
        <f aca="false">IF($F443="","",$F443)</f>
        <v/>
      </c>
    </row>
    <row r="444" customFormat="false" ht="15" hidden="false" customHeight="false" outlineLevel="0" collapsed="false">
      <c r="L444" s="33" t="str">
        <f aca="false">IF($B444="","",IFERROR(INDEX('Code Mapping'!$D$5:$D$1753,MATCH($B444,'Code Mapping'!$A$5:$A$1753,0)),"Unmapped"))</f>
        <v/>
      </c>
      <c r="M444" s="33" t="str">
        <f aca="false">IF($B444="","",IFERROR(INDEX('Code Mapping'!$E$5:$E$1753,MATCH($B444,'Code Mapping'!$A$5:$A$1753,0)),"Unmapped"))</f>
        <v/>
      </c>
      <c r="N444" s="33" t="str">
        <f aca="false">IF($F444="","",$F444)</f>
        <v/>
      </c>
    </row>
    <row r="445" customFormat="false" ht="15" hidden="false" customHeight="false" outlineLevel="0" collapsed="false">
      <c r="L445" s="33" t="str">
        <f aca="false">IF($B445="","",IFERROR(INDEX('Code Mapping'!$D$5:$D$1753,MATCH($B445,'Code Mapping'!$A$5:$A$1753,0)),"Unmapped"))</f>
        <v/>
      </c>
      <c r="M445" s="33" t="str">
        <f aca="false">IF($B445="","",IFERROR(INDEX('Code Mapping'!$E$5:$E$1753,MATCH($B445,'Code Mapping'!$A$5:$A$1753,0)),"Unmapped"))</f>
        <v/>
      </c>
      <c r="N445" s="33" t="str">
        <f aca="false">IF($F445="","",$F445)</f>
        <v/>
      </c>
    </row>
    <row r="446" customFormat="false" ht="15" hidden="false" customHeight="false" outlineLevel="0" collapsed="false">
      <c r="L446" s="33" t="str">
        <f aca="false">IF($B446="","",IFERROR(INDEX('Code Mapping'!$D$5:$D$1753,MATCH($B446,'Code Mapping'!$A$5:$A$1753,0)),"Unmapped"))</f>
        <v/>
      </c>
      <c r="M446" s="33" t="str">
        <f aca="false">IF($B446="","",IFERROR(INDEX('Code Mapping'!$E$5:$E$1753,MATCH($B446,'Code Mapping'!$A$5:$A$1753,0)),"Unmapped"))</f>
        <v/>
      </c>
      <c r="N446" s="33" t="str">
        <f aca="false">IF($F446="","",$F446)</f>
        <v/>
      </c>
    </row>
    <row r="447" customFormat="false" ht="15" hidden="false" customHeight="false" outlineLevel="0" collapsed="false">
      <c r="L447" s="33" t="str">
        <f aca="false">IF($B447="","",IFERROR(INDEX('Code Mapping'!$D$5:$D$1753,MATCH($B447,'Code Mapping'!$A$5:$A$1753,0)),"Unmapped"))</f>
        <v/>
      </c>
      <c r="M447" s="33" t="str">
        <f aca="false">IF($B447="","",IFERROR(INDEX('Code Mapping'!$E$5:$E$1753,MATCH($B447,'Code Mapping'!$A$5:$A$1753,0)),"Unmapped"))</f>
        <v/>
      </c>
      <c r="N447" s="33" t="str">
        <f aca="false">IF($F447="","",$F447)</f>
        <v/>
      </c>
    </row>
    <row r="448" customFormat="false" ht="15" hidden="false" customHeight="false" outlineLevel="0" collapsed="false">
      <c r="L448" s="33" t="str">
        <f aca="false">IF($B448="","",IFERROR(INDEX('Code Mapping'!$D$5:$D$1753,MATCH($B448,'Code Mapping'!$A$5:$A$1753,0)),"Unmapped"))</f>
        <v/>
      </c>
      <c r="M448" s="33" t="str">
        <f aca="false">IF($B448="","",IFERROR(INDEX('Code Mapping'!$E$5:$E$1753,MATCH($B448,'Code Mapping'!$A$5:$A$1753,0)),"Unmapped"))</f>
        <v/>
      </c>
      <c r="N448" s="33" t="str">
        <f aca="false">IF($F448="","",$F448)</f>
        <v/>
      </c>
    </row>
    <row r="449" customFormat="false" ht="15" hidden="false" customHeight="false" outlineLevel="0" collapsed="false">
      <c r="L449" s="33" t="str">
        <f aca="false">IF($B449="","",IFERROR(INDEX('Code Mapping'!$D$5:$D$1753,MATCH($B449,'Code Mapping'!$A$5:$A$1753,0)),"Unmapped"))</f>
        <v/>
      </c>
      <c r="M449" s="33" t="str">
        <f aca="false">IF($B449="","",IFERROR(INDEX('Code Mapping'!$E$5:$E$1753,MATCH($B449,'Code Mapping'!$A$5:$A$1753,0)),"Unmapped"))</f>
        <v/>
      </c>
      <c r="N449" s="33" t="str">
        <f aca="false">IF($F449="","",$F449)</f>
        <v/>
      </c>
    </row>
    <row r="450" customFormat="false" ht="15" hidden="false" customHeight="false" outlineLevel="0" collapsed="false">
      <c r="L450" s="33" t="str">
        <f aca="false">IF($B450="","",IFERROR(INDEX('Code Mapping'!$D$5:$D$1753,MATCH($B450,'Code Mapping'!$A$5:$A$1753,0)),"Unmapped"))</f>
        <v/>
      </c>
      <c r="M450" s="33" t="str">
        <f aca="false">IF($B450="","",IFERROR(INDEX('Code Mapping'!$E$5:$E$1753,MATCH($B450,'Code Mapping'!$A$5:$A$1753,0)),"Unmapped"))</f>
        <v/>
      </c>
      <c r="N450" s="33" t="str">
        <f aca="false">IF($F450="","",$F450)</f>
        <v/>
      </c>
    </row>
    <row r="451" customFormat="false" ht="15" hidden="false" customHeight="false" outlineLevel="0" collapsed="false">
      <c r="L451" s="33" t="str">
        <f aca="false">IF($B451="","",IFERROR(INDEX('Code Mapping'!$D$5:$D$1753,MATCH($B451,'Code Mapping'!$A$5:$A$1753,0)),"Unmapped"))</f>
        <v/>
      </c>
      <c r="M451" s="33" t="str">
        <f aca="false">IF($B451="","",IFERROR(INDEX('Code Mapping'!$E$5:$E$1753,MATCH($B451,'Code Mapping'!$A$5:$A$1753,0)),"Unmapped"))</f>
        <v/>
      </c>
      <c r="N451" s="33" t="str">
        <f aca="false">IF($F451="","",$F451)</f>
        <v/>
      </c>
    </row>
    <row r="452" customFormat="false" ht="15" hidden="false" customHeight="false" outlineLevel="0" collapsed="false">
      <c r="L452" s="33" t="str">
        <f aca="false">IF($B452="","",IFERROR(INDEX('Code Mapping'!$D$5:$D$1753,MATCH($B452,'Code Mapping'!$A$5:$A$1753,0)),"Unmapped"))</f>
        <v/>
      </c>
      <c r="M452" s="33" t="str">
        <f aca="false">IF($B452="","",IFERROR(INDEX('Code Mapping'!$E$5:$E$1753,MATCH($B452,'Code Mapping'!$A$5:$A$1753,0)),"Unmapped"))</f>
        <v/>
      </c>
      <c r="N452" s="33" t="str">
        <f aca="false">IF($F452="","",$F452)</f>
        <v/>
      </c>
    </row>
    <row r="453" customFormat="false" ht="15" hidden="false" customHeight="false" outlineLevel="0" collapsed="false">
      <c r="L453" s="33" t="str">
        <f aca="false">IF($B453="","",IFERROR(INDEX('Code Mapping'!$D$5:$D$1753,MATCH($B453,'Code Mapping'!$A$5:$A$1753,0)),"Unmapped"))</f>
        <v/>
      </c>
      <c r="M453" s="33" t="str">
        <f aca="false">IF($B453="","",IFERROR(INDEX('Code Mapping'!$E$5:$E$1753,MATCH($B453,'Code Mapping'!$A$5:$A$1753,0)),"Unmapped"))</f>
        <v/>
      </c>
      <c r="N453" s="33" t="str">
        <f aca="false">IF($F453="","",$F453)</f>
        <v/>
      </c>
    </row>
    <row r="454" customFormat="false" ht="15" hidden="false" customHeight="false" outlineLevel="0" collapsed="false">
      <c r="L454" s="33" t="str">
        <f aca="false">IF($B454="","",IFERROR(INDEX('Code Mapping'!$D$5:$D$1753,MATCH($B454,'Code Mapping'!$A$5:$A$1753,0)),"Unmapped"))</f>
        <v/>
      </c>
      <c r="M454" s="33" t="str">
        <f aca="false">IF($B454="","",IFERROR(INDEX('Code Mapping'!$E$5:$E$1753,MATCH($B454,'Code Mapping'!$A$5:$A$1753,0)),"Unmapped"))</f>
        <v/>
      </c>
      <c r="N454" s="33" t="str">
        <f aca="false">IF($F454="","",$F454)</f>
        <v/>
      </c>
    </row>
    <row r="455" customFormat="false" ht="15" hidden="false" customHeight="false" outlineLevel="0" collapsed="false">
      <c r="L455" s="33" t="str">
        <f aca="false">IF($B455="","",IFERROR(INDEX('Code Mapping'!$D$5:$D$1753,MATCH($B455,'Code Mapping'!$A$5:$A$1753,0)),"Unmapped"))</f>
        <v/>
      </c>
      <c r="M455" s="33" t="str">
        <f aca="false">IF($B455="","",IFERROR(INDEX('Code Mapping'!$E$5:$E$1753,MATCH($B455,'Code Mapping'!$A$5:$A$1753,0)),"Unmapped"))</f>
        <v/>
      </c>
      <c r="N455" s="33" t="str">
        <f aca="false">IF($F455="","",$F455)</f>
        <v/>
      </c>
    </row>
    <row r="456" customFormat="false" ht="15" hidden="false" customHeight="false" outlineLevel="0" collapsed="false">
      <c r="L456" s="33" t="str">
        <f aca="false">IF($B456="","",IFERROR(INDEX('Code Mapping'!$D$5:$D$1753,MATCH($B456,'Code Mapping'!$A$5:$A$1753,0)),"Unmapped"))</f>
        <v/>
      </c>
      <c r="M456" s="33" t="str">
        <f aca="false">IF($B456="","",IFERROR(INDEX('Code Mapping'!$E$5:$E$1753,MATCH($B456,'Code Mapping'!$A$5:$A$1753,0)),"Unmapped"))</f>
        <v/>
      </c>
      <c r="N456" s="33" t="str">
        <f aca="false">IF($F456="","",$F456)</f>
        <v/>
      </c>
    </row>
    <row r="457" customFormat="false" ht="15" hidden="false" customHeight="false" outlineLevel="0" collapsed="false">
      <c r="L457" s="33" t="str">
        <f aca="false">IF($B457="","",IFERROR(INDEX('Code Mapping'!$D$5:$D$1753,MATCH($B457,'Code Mapping'!$A$5:$A$1753,0)),"Unmapped"))</f>
        <v/>
      </c>
      <c r="M457" s="33" t="str">
        <f aca="false">IF($B457="","",IFERROR(INDEX('Code Mapping'!$E$5:$E$1753,MATCH($B457,'Code Mapping'!$A$5:$A$1753,0)),"Unmapped"))</f>
        <v/>
      </c>
      <c r="N457" s="33" t="str">
        <f aca="false">IF($F457="","",$F457)</f>
        <v/>
      </c>
    </row>
    <row r="458" customFormat="false" ht="15" hidden="false" customHeight="false" outlineLevel="0" collapsed="false">
      <c r="L458" s="33" t="str">
        <f aca="false">IF($B458="","",IFERROR(INDEX('Code Mapping'!$D$5:$D$1753,MATCH($B458,'Code Mapping'!$A$5:$A$1753,0)),"Unmapped"))</f>
        <v/>
      </c>
      <c r="M458" s="33" t="str">
        <f aca="false">IF($B458="","",IFERROR(INDEX('Code Mapping'!$E$5:$E$1753,MATCH($B458,'Code Mapping'!$A$5:$A$1753,0)),"Unmapped"))</f>
        <v/>
      </c>
      <c r="N458" s="33" t="str">
        <f aca="false">IF($F458="","",$F458)</f>
        <v/>
      </c>
    </row>
    <row r="459" customFormat="false" ht="15" hidden="false" customHeight="false" outlineLevel="0" collapsed="false">
      <c r="L459" s="33" t="str">
        <f aca="false">IF($B459="","",IFERROR(INDEX('Code Mapping'!$D$5:$D$1753,MATCH($B459,'Code Mapping'!$A$5:$A$1753,0)),"Unmapped"))</f>
        <v/>
      </c>
      <c r="M459" s="33" t="str">
        <f aca="false">IF($B459="","",IFERROR(INDEX('Code Mapping'!$E$5:$E$1753,MATCH($B459,'Code Mapping'!$A$5:$A$1753,0)),"Unmapped"))</f>
        <v/>
      </c>
      <c r="N459" s="33" t="str">
        <f aca="false">IF($F459="","",$F459)</f>
        <v/>
      </c>
    </row>
    <row r="460" customFormat="false" ht="15" hidden="false" customHeight="false" outlineLevel="0" collapsed="false">
      <c r="L460" s="33" t="str">
        <f aca="false">IF($B460="","",IFERROR(INDEX('Code Mapping'!$D$5:$D$1753,MATCH($B460,'Code Mapping'!$A$5:$A$1753,0)),"Unmapped"))</f>
        <v/>
      </c>
      <c r="M460" s="33" t="str">
        <f aca="false">IF($B460="","",IFERROR(INDEX('Code Mapping'!$E$5:$E$1753,MATCH($B460,'Code Mapping'!$A$5:$A$1753,0)),"Unmapped"))</f>
        <v/>
      </c>
      <c r="N460" s="33" t="str">
        <f aca="false">IF($F460="","",$F460)</f>
        <v/>
      </c>
    </row>
    <row r="461" customFormat="false" ht="15" hidden="false" customHeight="false" outlineLevel="0" collapsed="false">
      <c r="L461" s="33" t="str">
        <f aca="false">IF($B461="","",IFERROR(INDEX('Code Mapping'!$D$5:$D$1753,MATCH($B461,'Code Mapping'!$A$5:$A$1753,0)),"Unmapped"))</f>
        <v/>
      </c>
      <c r="M461" s="33" t="str">
        <f aca="false">IF($B461="","",IFERROR(INDEX('Code Mapping'!$E$5:$E$1753,MATCH($B461,'Code Mapping'!$A$5:$A$1753,0)),"Unmapped"))</f>
        <v/>
      </c>
      <c r="N461" s="33" t="str">
        <f aca="false">IF($F461="","",$F461)</f>
        <v/>
      </c>
    </row>
    <row r="462" customFormat="false" ht="15" hidden="false" customHeight="false" outlineLevel="0" collapsed="false">
      <c r="L462" s="33" t="str">
        <f aca="false">IF($B462="","",IFERROR(INDEX('Code Mapping'!$D$5:$D$1753,MATCH($B462,'Code Mapping'!$A$5:$A$1753,0)),"Unmapped"))</f>
        <v/>
      </c>
      <c r="M462" s="33" t="str">
        <f aca="false">IF($B462="","",IFERROR(INDEX('Code Mapping'!$E$5:$E$1753,MATCH($B462,'Code Mapping'!$A$5:$A$1753,0)),"Unmapped"))</f>
        <v/>
      </c>
      <c r="N462" s="33" t="str">
        <f aca="false">IF($F462="","",$F462)</f>
        <v/>
      </c>
    </row>
    <row r="463" customFormat="false" ht="15" hidden="false" customHeight="false" outlineLevel="0" collapsed="false">
      <c r="L463" s="33" t="str">
        <f aca="false">IF($B463="","",IFERROR(INDEX('Code Mapping'!$D$5:$D$1753,MATCH($B463,'Code Mapping'!$A$5:$A$1753,0)),"Unmapped"))</f>
        <v/>
      </c>
      <c r="M463" s="33" t="str">
        <f aca="false">IF($B463="","",IFERROR(INDEX('Code Mapping'!$E$5:$E$1753,MATCH($B463,'Code Mapping'!$A$5:$A$1753,0)),"Unmapped"))</f>
        <v/>
      </c>
      <c r="N463" s="33" t="str">
        <f aca="false">IF($F463="","",$F463)</f>
        <v/>
      </c>
    </row>
    <row r="464" customFormat="false" ht="15" hidden="false" customHeight="false" outlineLevel="0" collapsed="false">
      <c r="L464" s="33" t="str">
        <f aca="false">IF($B464="","",IFERROR(INDEX('Code Mapping'!$D$5:$D$1753,MATCH($B464,'Code Mapping'!$A$5:$A$1753,0)),"Unmapped"))</f>
        <v/>
      </c>
      <c r="M464" s="33" t="str">
        <f aca="false">IF($B464="","",IFERROR(INDEX('Code Mapping'!$E$5:$E$1753,MATCH($B464,'Code Mapping'!$A$5:$A$1753,0)),"Unmapped"))</f>
        <v/>
      </c>
      <c r="N464" s="33" t="str">
        <f aca="false">IF($F464="","",$F464)</f>
        <v/>
      </c>
    </row>
    <row r="465" customFormat="false" ht="15" hidden="false" customHeight="false" outlineLevel="0" collapsed="false">
      <c r="L465" s="33" t="str">
        <f aca="false">IF($B465="","",IFERROR(INDEX('Code Mapping'!$D$5:$D$1753,MATCH($B465,'Code Mapping'!$A$5:$A$1753,0)),"Unmapped"))</f>
        <v/>
      </c>
      <c r="M465" s="33" t="str">
        <f aca="false">IF($B465="","",IFERROR(INDEX('Code Mapping'!$E$5:$E$1753,MATCH($B465,'Code Mapping'!$A$5:$A$1753,0)),"Unmapped"))</f>
        <v/>
      </c>
      <c r="N465" s="33" t="str">
        <f aca="false">IF($F465="","",$F465)</f>
        <v/>
      </c>
    </row>
    <row r="466" customFormat="false" ht="15" hidden="false" customHeight="false" outlineLevel="0" collapsed="false">
      <c r="L466" s="33" t="str">
        <f aca="false">IF($B466="","",IFERROR(INDEX('Code Mapping'!$D$5:$D$1753,MATCH($B466,'Code Mapping'!$A$5:$A$1753,0)),"Unmapped"))</f>
        <v/>
      </c>
      <c r="M466" s="33" t="str">
        <f aca="false">IF($B466="","",IFERROR(INDEX('Code Mapping'!$E$5:$E$1753,MATCH($B466,'Code Mapping'!$A$5:$A$1753,0)),"Unmapped"))</f>
        <v/>
      </c>
      <c r="N466" s="33" t="str">
        <f aca="false">IF($F466="","",$F466)</f>
        <v/>
      </c>
    </row>
    <row r="467" customFormat="false" ht="15" hidden="false" customHeight="false" outlineLevel="0" collapsed="false">
      <c r="L467" s="33" t="str">
        <f aca="false">IF($B467="","",IFERROR(INDEX('Code Mapping'!$D$5:$D$1753,MATCH($B467,'Code Mapping'!$A$5:$A$1753,0)),"Unmapped"))</f>
        <v/>
      </c>
      <c r="M467" s="33" t="str">
        <f aca="false">IF($B467="","",IFERROR(INDEX('Code Mapping'!$E$5:$E$1753,MATCH($B467,'Code Mapping'!$A$5:$A$1753,0)),"Unmapped"))</f>
        <v/>
      </c>
      <c r="N467" s="33" t="str">
        <f aca="false">IF($F467="","",$F467)</f>
        <v/>
      </c>
    </row>
    <row r="468" customFormat="false" ht="15" hidden="false" customHeight="false" outlineLevel="0" collapsed="false">
      <c r="L468" s="33" t="str">
        <f aca="false">IF($B468="","",IFERROR(INDEX('Code Mapping'!$D$5:$D$1753,MATCH($B468,'Code Mapping'!$A$5:$A$1753,0)),"Unmapped"))</f>
        <v/>
      </c>
      <c r="M468" s="33" t="str">
        <f aca="false">IF($B468="","",IFERROR(INDEX('Code Mapping'!$E$5:$E$1753,MATCH($B468,'Code Mapping'!$A$5:$A$1753,0)),"Unmapped"))</f>
        <v/>
      </c>
      <c r="N468" s="33" t="str">
        <f aca="false">IF($F468="","",$F468)</f>
        <v/>
      </c>
    </row>
    <row r="469" customFormat="false" ht="15" hidden="false" customHeight="false" outlineLevel="0" collapsed="false">
      <c r="L469" s="33" t="str">
        <f aca="false">IF($B469="","",IFERROR(INDEX('Code Mapping'!$D$5:$D$1753,MATCH($B469,'Code Mapping'!$A$5:$A$1753,0)),"Unmapped"))</f>
        <v/>
      </c>
      <c r="M469" s="33" t="str">
        <f aca="false">IF($B469="","",IFERROR(INDEX('Code Mapping'!$E$5:$E$1753,MATCH($B469,'Code Mapping'!$A$5:$A$1753,0)),"Unmapped"))</f>
        <v/>
      </c>
      <c r="N469" s="33" t="str">
        <f aca="false">IF($F469="","",$F469)</f>
        <v/>
      </c>
    </row>
    <row r="470" customFormat="false" ht="15" hidden="false" customHeight="false" outlineLevel="0" collapsed="false">
      <c r="L470" s="33" t="str">
        <f aca="false">IF($B470="","",IFERROR(INDEX('Code Mapping'!$D$5:$D$1753,MATCH($B470,'Code Mapping'!$A$5:$A$1753,0)),"Unmapped"))</f>
        <v/>
      </c>
      <c r="M470" s="33" t="str">
        <f aca="false">IF($B470="","",IFERROR(INDEX('Code Mapping'!$E$5:$E$1753,MATCH($B470,'Code Mapping'!$A$5:$A$1753,0)),"Unmapped"))</f>
        <v/>
      </c>
      <c r="N470" s="33" t="str">
        <f aca="false">IF($F470="","",$F470)</f>
        <v/>
      </c>
    </row>
    <row r="471" customFormat="false" ht="15" hidden="false" customHeight="false" outlineLevel="0" collapsed="false">
      <c r="L471" s="33" t="str">
        <f aca="false">IF($B471="","",IFERROR(INDEX('Code Mapping'!$D$5:$D$1753,MATCH($B471,'Code Mapping'!$A$5:$A$1753,0)),"Unmapped"))</f>
        <v/>
      </c>
      <c r="M471" s="33" t="str">
        <f aca="false">IF($B471="","",IFERROR(INDEX('Code Mapping'!$E$5:$E$1753,MATCH($B471,'Code Mapping'!$A$5:$A$1753,0)),"Unmapped"))</f>
        <v/>
      </c>
      <c r="N471" s="33" t="str">
        <f aca="false">IF($F471="","",$F471)</f>
        <v/>
      </c>
    </row>
    <row r="472" customFormat="false" ht="15" hidden="false" customHeight="false" outlineLevel="0" collapsed="false">
      <c r="L472" s="33" t="str">
        <f aca="false">IF($B472="","",IFERROR(INDEX('Code Mapping'!$D$5:$D$1753,MATCH($B472,'Code Mapping'!$A$5:$A$1753,0)),"Unmapped"))</f>
        <v/>
      </c>
      <c r="M472" s="33" t="str">
        <f aca="false">IF($B472="","",IFERROR(INDEX('Code Mapping'!$E$5:$E$1753,MATCH($B472,'Code Mapping'!$A$5:$A$1753,0)),"Unmapped"))</f>
        <v/>
      </c>
      <c r="N472" s="33" t="str">
        <f aca="false">IF($F472="","",$F472)</f>
        <v/>
      </c>
    </row>
    <row r="473" customFormat="false" ht="15" hidden="false" customHeight="false" outlineLevel="0" collapsed="false">
      <c r="L473" s="33" t="str">
        <f aca="false">IF($B473="","",IFERROR(INDEX('Code Mapping'!$D$5:$D$1753,MATCH($B473,'Code Mapping'!$A$5:$A$1753,0)),"Unmapped"))</f>
        <v/>
      </c>
      <c r="M473" s="33" t="str">
        <f aca="false">IF($B473="","",IFERROR(INDEX('Code Mapping'!$E$5:$E$1753,MATCH($B473,'Code Mapping'!$A$5:$A$1753,0)),"Unmapped"))</f>
        <v/>
      </c>
      <c r="N473" s="33" t="str">
        <f aca="false">IF($F473="","",$F473)</f>
        <v/>
      </c>
    </row>
    <row r="474" customFormat="false" ht="15" hidden="false" customHeight="false" outlineLevel="0" collapsed="false">
      <c r="L474" s="33" t="str">
        <f aca="false">IF($B474="","",IFERROR(INDEX('Code Mapping'!$D$5:$D$1753,MATCH($B474,'Code Mapping'!$A$5:$A$1753,0)),"Unmapped"))</f>
        <v/>
      </c>
      <c r="M474" s="33" t="str">
        <f aca="false">IF($B474="","",IFERROR(INDEX('Code Mapping'!$E$5:$E$1753,MATCH($B474,'Code Mapping'!$A$5:$A$1753,0)),"Unmapped"))</f>
        <v/>
      </c>
      <c r="N474" s="33" t="str">
        <f aca="false">IF($F474="","",$F474)</f>
        <v/>
      </c>
    </row>
    <row r="475" customFormat="false" ht="15" hidden="false" customHeight="false" outlineLevel="0" collapsed="false">
      <c r="L475" s="33" t="str">
        <f aca="false">IF($B475="","",IFERROR(INDEX('Code Mapping'!$D$5:$D$1753,MATCH($B475,'Code Mapping'!$A$5:$A$1753,0)),"Unmapped"))</f>
        <v/>
      </c>
      <c r="M475" s="33" t="str">
        <f aca="false">IF($B475="","",IFERROR(INDEX('Code Mapping'!$E$5:$E$1753,MATCH($B475,'Code Mapping'!$A$5:$A$1753,0)),"Unmapped"))</f>
        <v/>
      </c>
      <c r="N475" s="33" t="str">
        <f aca="false">IF($F475="","",$F475)</f>
        <v/>
      </c>
    </row>
    <row r="476" customFormat="false" ht="15" hidden="false" customHeight="false" outlineLevel="0" collapsed="false">
      <c r="L476" s="33" t="str">
        <f aca="false">IF($B476="","",IFERROR(INDEX('Code Mapping'!$D$5:$D$1753,MATCH($B476,'Code Mapping'!$A$5:$A$1753,0)),"Unmapped"))</f>
        <v/>
      </c>
      <c r="M476" s="33" t="str">
        <f aca="false">IF($B476="","",IFERROR(INDEX('Code Mapping'!$E$5:$E$1753,MATCH($B476,'Code Mapping'!$A$5:$A$1753,0)),"Unmapped"))</f>
        <v/>
      </c>
      <c r="N476" s="33" t="str">
        <f aca="false">IF($F476="","",$F476)</f>
        <v/>
      </c>
    </row>
    <row r="477" customFormat="false" ht="15" hidden="false" customHeight="false" outlineLevel="0" collapsed="false">
      <c r="L477" s="33" t="str">
        <f aca="false">IF($B477="","",IFERROR(INDEX('Code Mapping'!$D$5:$D$1753,MATCH($B477,'Code Mapping'!$A$5:$A$1753,0)),"Unmapped"))</f>
        <v/>
      </c>
      <c r="M477" s="33" t="str">
        <f aca="false">IF($B477="","",IFERROR(INDEX('Code Mapping'!$E$5:$E$1753,MATCH($B477,'Code Mapping'!$A$5:$A$1753,0)),"Unmapped"))</f>
        <v/>
      </c>
      <c r="N477" s="33" t="str">
        <f aca="false">IF($F477="","",$F477)</f>
        <v/>
      </c>
    </row>
    <row r="478" customFormat="false" ht="15" hidden="false" customHeight="false" outlineLevel="0" collapsed="false">
      <c r="L478" s="33" t="str">
        <f aca="false">IF($B478="","",IFERROR(INDEX('Code Mapping'!$D$5:$D$1753,MATCH($B478,'Code Mapping'!$A$5:$A$1753,0)),"Unmapped"))</f>
        <v/>
      </c>
      <c r="M478" s="33" t="str">
        <f aca="false">IF($B478="","",IFERROR(INDEX('Code Mapping'!$E$5:$E$1753,MATCH($B478,'Code Mapping'!$A$5:$A$1753,0)),"Unmapped"))</f>
        <v/>
      </c>
      <c r="N478" s="33" t="str">
        <f aca="false">IF($F478="","",$F478)</f>
        <v/>
      </c>
    </row>
    <row r="479" customFormat="false" ht="15" hidden="false" customHeight="false" outlineLevel="0" collapsed="false">
      <c r="L479" s="33" t="str">
        <f aca="false">IF($B479="","",IFERROR(INDEX('Code Mapping'!$D$5:$D$1753,MATCH($B479,'Code Mapping'!$A$5:$A$1753,0)),"Unmapped"))</f>
        <v/>
      </c>
      <c r="M479" s="33" t="str">
        <f aca="false">IF($B479="","",IFERROR(INDEX('Code Mapping'!$E$5:$E$1753,MATCH($B479,'Code Mapping'!$A$5:$A$1753,0)),"Unmapped"))</f>
        <v/>
      </c>
      <c r="N479" s="33" t="str">
        <f aca="false">IF($F479="","",$F479)</f>
        <v/>
      </c>
    </row>
    <row r="480" customFormat="false" ht="15" hidden="false" customHeight="false" outlineLevel="0" collapsed="false">
      <c r="L480" s="33" t="str">
        <f aca="false">IF($B480="","",IFERROR(INDEX('Code Mapping'!$D$5:$D$1753,MATCH($B480,'Code Mapping'!$A$5:$A$1753,0)),"Unmapped"))</f>
        <v/>
      </c>
      <c r="M480" s="33" t="str">
        <f aca="false">IF($B480="","",IFERROR(INDEX('Code Mapping'!$E$5:$E$1753,MATCH($B480,'Code Mapping'!$A$5:$A$1753,0)),"Unmapped"))</f>
        <v/>
      </c>
      <c r="N480" s="33" t="str">
        <f aca="false">IF($F480="","",$F480)</f>
        <v/>
      </c>
    </row>
    <row r="481" customFormat="false" ht="15" hidden="false" customHeight="false" outlineLevel="0" collapsed="false">
      <c r="L481" s="33" t="str">
        <f aca="false">IF($B481="","",IFERROR(INDEX('Code Mapping'!$D$5:$D$1753,MATCH($B481,'Code Mapping'!$A$5:$A$1753,0)),"Unmapped"))</f>
        <v/>
      </c>
      <c r="M481" s="33" t="str">
        <f aca="false">IF($B481="","",IFERROR(INDEX('Code Mapping'!$E$5:$E$1753,MATCH($B481,'Code Mapping'!$A$5:$A$1753,0)),"Unmapped"))</f>
        <v/>
      </c>
      <c r="N481" s="33" t="str">
        <f aca="false">IF($F481="","",$F481)</f>
        <v/>
      </c>
    </row>
    <row r="482" customFormat="false" ht="15" hidden="false" customHeight="false" outlineLevel="0" collapsed="false">
      <c r="L482" s="33" t="str">
        <f aca="false">IF($B482="","",IFERROR(INDEX('Code Mapping'!$D$5:$D$1753,MATCH($B482,'Code Mapping'!$A$5:$A$1753,0)),"Unmapped"))</f>
        <v/>
      </c>
      <c r="M482" s="33" t="str">
        <f aca="false">IF($B482="","",IFERROR(INDEX('Code Mapping'!$E$5:$E$1753,MATCH($B482,'Code Mapping'!$A$5:$A$1753,0)),"Unmapped"))</f>
        <v/>
      </c>
      <c r="N482" s="33" t="str">
        <f aca="false">IF($F482="","",$F482)</f>
        <v/>
      </c>
    </row>
    <row r="483" customFormat="false" ht="15" hidden="false" customHeight="false" outlineLevel="0" collapsed="false">
      <c r="L483" s="33" t="str">
        <f aca="false">IF($B483="","",IFERROR(INDEX('Code Mapping'!$D$5:$D$1753,MATCH($B483,'Code Mapping'!$A$5:$A$1753,0)),"Unmapped"))</f>
        <v/>
      </c>
      <c r="M483" s="33" t="str">
        <f aca="false">IF($B483="","",IFERROR(INDEX('Code Mapping'!$E$5:$E$1753,MATCH($B483,'Code Mapping'!$A$5:$A$1753,0)),"Unmapped"))</f>
        <v/>
      </c>
      <c r="N483" s="33" t="str">
        <f aca="false">IF($F483="","",$F483)</f>
        <v/>
      </c>
    </row>
    <row r="484" customFormat="false" ht="15" hidden="false" customHeight="false" outlineLevel="0" collapsed="false">
      <c r="L484" s="33" t="str">
        <f aca="false">IF($B484="","",IFERROR(INDEX('Code Mapping'!$D$5:$D$1753,MATCH($B484,'Code Mapping'!$A$5:$A$1753,0)),"Unmapped"))</f>
        <v/>
      </c>
      <c r="M484" s="33" t="str">
        <f aca="false">IF($B484="","",IFERROR(INDEX('Code Mapping'!$E$5:$E$1753,MATCH($B484,'Code Mapping'!$A$5:$A$1753,0)),"Unmapped"))</f>
        <v/>
      </c>
      <c r="N484" s="33" t="str">
        <f aca="false">IF($F484="","",$F484)</f>
        <v/>
      </c>
    </row>
    <row r="485" customFormat="false" ht="15" hidden="false" customHeight="false" outlineLevel="0" collapsed="false">
      <c r="L485" s="33" t="str">
        <f aca="false">IF($B485="","",IFERROR(INDEX('Code Mapping'!$D$5:$D$1753,MATCH($B485,'Code Mapping'!$A$5:$A$1753,0)),"Unmapped"))</f>
        <v/>
      </c>
      <c r="M485" s="33" t="str">
        <f aca="false">IF($B485="","",IFERROR(INDEX('Code Mapping'!$E$5:$E$1753,MATCH($B485,'Code Mapping'!$A$5:$A$1753,0)),"Unmapped"))</f>
        <v/>
      </c>
      <c r="N485" s="33" t="str">
        <f aca="false">IF($F485="","",$F485)</f>
        <v/>
      </c>
    </row>
    <row r="486" customFormat="false" ht="15" hidden="false" customHeight="false" outlineLevel="0" collapsed="false">
      <c r="L486" s="33" t="str">
        <f aca="false">IF($B486="","",IFERROR(INDEX('Code Mapping'!$D$5:$D$1753,MATCH($B486,'Code Mapping'!$A$5:$A$1753,0)),"Unmapped"))</f>
        <v/>
      </c>
      <c r="M486" s="33" t="str">
        <f aca="false">IF($B486="","",IFERROR(INDEX('Code Mapping'!$E$5:$E$1753,MATCH($B486,'Code Mapping'!$A$5:$A$1753,0)),"Unmapped"))</f>
        <v/>
      </c>
      <c r="N486" s="33" t="str">
        <f aca="false">IF($F486="","",$F486)</f>
        <v/>
      </c>
    </row>
    <row r="487" customFormat="false" ht="15" hidden="false" customHeight="false" outlineLevel="0" collapsed="false">
      <c r="L487" s="33" t="str">
        <f aca="false">IF($B487="","",IFERROR(INDEX('Code Mapping'!$D$5:$D$1753,MATCH($B487,'Code Mapping'!$A$5:$A$1753,0)),"Unmapped"))</f>
        <v/>
      </c>
      <c r="M487" s="33" t="str">
        <f aca="false">IF($B487="","",IFERROR(INDEX('Code Mapping'!$E$5:$E$1753,MATCH($B487,'Code Mapping'!$A$5:$A$1753,0)),"Unmapped"))</f>
        <v/>
      </c>
      <c r="N487" s="33" t="str">
        <f aca="false">IF($F487="","",$F487)</f>
        <v/>
      </c>
    </row>
    <row r="488" customFormat="false" ht="15" hidden="false" customHeight="false" outlineLevel="0" collapsed="false">
      <c r="L488" s="33" t="str">
        <f aca="false">IF($B488="","",IFERROR(INDEX('Code Mapping'!$D$5:$D$1753,MATCH($B488,'Code Mapping'!$A$5:$A$1753,0)),"Unmapped"))</f>
        <v/>
      </c>
      <c r="M488" s="33" t="str">
        <f aca="false">IF($B488="","",IFERROR(INDEX('Code Mapping'!$E$5:$E$1753,MATCH($B488,'Code Mapping'!$A$5:$A$1753,0)),"Unmapped"))</f>
        <v/>
      </c>
      <c r="N488" s="33" t="str">
        <f aca="false">IF($F488="","",$F488)</f>
        <v/>
      </c>
    </row>
    <row r="489" customFormat="false" ht="15" hidden="false" customHeight="false" outlineLevel="0" collapsed="false">
      <c r="L489" s="33" t="str">
        <f aca="false">IF($B489="","",IFERROR(INDEX('Code Mapping'!$D$5:$D$1753,MATCH($B489,'Code Mapping'!$A$5:$A$1753,0)),"Unmapped"))</f>
        <v/>
      </c>
      <c r="M489" s="33" t="str">
        <f aca="false">IF($B489="","",IFERROR(INDEX('Code Mapping'!$E$5:$E$1753,MATCH($B489,'Code Mapping'!$A$5:$A$1753,0)),"Unmapped"))</f>
        <v/>
      </c>
      <c r="N489" s="33" t="str">
        <f aca="false">IF($F489="","",$F489)</f>
        <v/>
      </c>
    </row>
    <row r="490" customFormat="false" ht="15" hidden="false" customHeight="false" outlineLevel="0" collapsed="false">
      <c r="L490" s="33" t="str">
        <f aca="false">IF($B490="","",IFERROR(INDEX('Code Mapping'!$D$5:$D$1753,MATCH($B490,'Code Mapping'!$A$5:$A$1753,0)),"Unmapped"))</f>
        <v/>
      </c>
      <c r="M490" s="33" t="str">
        <f aca="false">IF($B490="","",IFERROR(INDEX('Code Mapping'!$E$5:$E$1753,MATCH($B490,'Code Mapping'!$A$5:$A$1753,0)),"Unmapped"))</f>
        <v/>
      </c>
      <c r="N490" s="33" t="str">
        <f aca="false">IF($F490="","",$F490)</f>
        <v/>
      </c>
    </row>
    <row r="491" customFormat="false" ht="15" hidden="false" customHeight="false" outlineLevel="0" collapsed="false">
      <c r="L491" s="33" t="str">
        <f aca="false">IF($B491="","",IFERROR(INDEX('Code Mapping'!$D$5:$D$1753,MATCH($B491,'Code Mapping'!$A$5:$A$1753,0)),"Unmapped"))</f>
        <v/>
      </c>
      <c r="M491" s="33" t="str">
        <f aca="false">IF($B491="","",IFERROR(INDEX('Code Mapping'!$E$5:$E$1753,MATCH($B491,'Code Mapping'!$A$5:$A$1753,0)),"Unmapped"))</f>
        <v/>
      </c>
      <c r="N491" s="33" t="str">
        <f aca="false">IF($F491="","",$F491)</f>
        <v/>
      </c>
    </row>
    <row r="492" customFormat="false" ht="15" hidden="false" customHeight="false" outlineLevel="0" collapsed="false">
      <c r="L492" s="33" t="str">
        <f aca="false">IF($B492="","",IFERROR(INDEX('Code Mapping'!$D$5:$D$1753,MATCH($B492,'Code Mapping'!$A$5:$A$1753,0)),"Unmapped"))</f>
        <v/>
      </c>
      <c r="M492" s="33" t="str">
        <f aca="false">IF($B492="","",IFERROR(INDEX('Code Mapping'!$E$5:$E$1753,MATCH($B492,'Code Mapping'!$A$5:$A$1753,0)),"Unmapped"))</f>
        <v/>
      </c>
      <c r="N492" s="33" t="str">
        <f aca="false">IF($F492="","",$F492)</f>
        <v/>
      </c>
    </row>
    <row r="493" customFormat="false" ht="15" hidden="false" customHeight="false" outlineLevel="0" collapsed="false">
      <c r="L493" s="33" t="str">
        <f aca="false">IF($B493="","",IFERROR(INDEX('Code Mapping'!$D$5:$D$1753,MATCH($B493,'Code Mapping'!$A$5:$A$1753,0)),"Unmapped"))</f>
        <v/>
      </c>
      <c r="M493" s="33" t="str">
        <f aca="false">IF($B493="","",IFERROR(INDEX('Code Mapping'!$E$5:$E$1753,MATCH($B493,'Code Mapping'!$A$5:$A$1753,0)),"Unmapped"))</f>
        <v/>
      </c>
      <c r="N493" s="33" t="str">
        <f aca="false">IF($F493="","",$F493)</f>
        <v/>
      </c>
    </row>
    <row r="494" customFormat="false" ht="15" hidden="false" customHeight="false" outlineLevel="0" collapsed="false">
      <c r="L494" s="33" t="str">
        <f aca="false">IF($B494="","",IFERROR(INDEX('Code Mapping'!$D$5:$D$1753,MATCH($B494,'Code Mapping'!$A$5:$A$1753,0)),"Unmapped"))</f>
        <v/>
      </c>
      <c r="M494" s="33" t="str">
        <f aca="false">IF($B494="","",IFERROR(INDEX('Code Mapping'!$E$5:$E$1753,MATCH($B494,'Code Mapping'!$A$5:$A$1753,0)),"Unmapped"))</f>
        <v/>
      </c>
      <c r="N494" s="33" t="str">
        <f aca="false">IF($F494="","",$F494)</f>
        <v/>
      </c>
    </row>
    <row r="495" customFormat="false" ht="15" hidden="false" customHeight="false" outlineLevel="0" collapsed="false">
      <c r="L495" s="33" t="str">
        <f aca="false">IF($B495="","",IFERROR(INDEX('Code Mapping'!$D$5:$D$1753,MATCH($B495,'Code Mapping'!$A$5:$A$1753,0)),"Unmapped"))</f>
        <v/>
      </c>
      <c r="M495" s="33" t="str">
        <f aca="false">IF($B495="","",IFERROR(INDEX('Code Mapping'!$E$5:$E$1753,MATCH($B495,'Code Mapping'!$A$5:$A$1753,0)),"Unmapped"))</f>
        <v/>
      </c>
      <c r="N495" s="33" t="str">
        <f aca="false">IF($F495="","",$F495)</f>
        <v/>
      </c>
    </row>
    <row r="496" customFormat="false" ht="15" hidden="false" customHeight="false" outlineLevel="0" collapsed="false">
      <c r="L496" s="33" t="str">
        <f aca="false">IF($B496="","",IFERROR(INDEX('Code Mapping'!$D$5:$D$1753,MATCH($B496,'Code Mapping'!$A$5:$A$1753,0)),"Unmapped"))</f>
        <v/>
      </c>
      <c r="M496" s="33" t="str">
        <f aca="false">IF($B496="","",IFERROR(INDEX('Code Mapping'!$E$5:$E$1753,MATCH($B496,'Code Mapping'!$A$5:$A$1753,0)),"Unmapped"))</f>
        <v/>
      </c>
      <c r="N496" s="33" t="str">
        <f aca="false">IF($F496="","",$F496)</f>
        <v/>
      </c>
    </row>
    <row r="497" customFormat="false" ht="15" hidden="false" customHeight="false" outlineLevel="0" collapsed="false">
      <c r="L497" s="33" t="str">
        <f aca="false">IF($B497="","",IFERROR(INDEX('Code Mapping'!$D$5:$D$1753,MATCH($B497,'Code Mapping'!$A$5:$A$1753,0)),"Unmapped"))</f>
        <v/>
      </c>
      <c r="M497" s="33" t="str">
        <f aca="false">IF($B497="","",IFERROR(INDEX('Code Mapping'!$E$5:$E$1753,MATCH($B497,'Code Mapping'!$A$5:$A$1753,0)),"Unmapped"))</f>
        <v/>
      </c>
      <c r="N497" s="33" t="str">
        <f aca="false">IF($F497="","",$F497)</f>
        <v/>
      </c>
    </row>
    <row r="498" customFormat="false" ht="15" hidden="false" customHeight="false" outlineLevel="0" collapsed="false">
      <c r="L498" s="33" t="str">
        <f aca="false">IF($B498="","",IFERROR(INDEX('Code Mapping'!$D$5:$D$1753,MATCH($B498,'Code Mapping'!$A$5:$A$1753,0)),"Unmapped"))</f>
        <v/>
      </c>
      <c r="M498" s="33" t="str">
        <f aca="false">IF($B498="","",IFERROR(INDEX('Code Mapping'!$E$5:$E$1753,MATCH($B498,'Code Mapping'!$A$5:$A$1753,0)),"Unmapped"))</f>
        <v/>
      </c>
      <c r="N498" s="33" t="str">
        <f aca="false">IF($F498="","",$F498)</f>
        <v/>
      </c>
    </row>
    <row r="499" customFormat="false" ht="15" hidden="false" customHeight="false" outlineLevel="0" collapsed="false">
      <c r="L499" s="33" t="str">
        <f aca="false">IF($B499="","",IFERROR(INDEX('Code Mapping'!$D$5:$D$1753,MATCH($B499,'Code Mapping'!$A$5:$A$1753,0)),"Unmapped"))</f>
        <v/>
      </c>
      <c r="M499" s="33" t="str">
        <f aca="false">IF($B499="","",IFERROR(INDEX('Code Mapping'!$E$5:$E$1753,MATCH($B499,'Code Mapping'!$A$5:$A$1753,0)),"Unmapped"))</f>
        <v/>
      </c>
      <c r="N499" s="33" t="str">
        <f aca="false">IF($F499="","",$F499)</f>
        <v/>
      </c>
    </row>
    <row r="500" customFormat="false" ht="15" hidden="false" customHeight="false" outlineLevel="0" collapsed="false">
      <c r="L500" s="33" t="str">
        <f aca="false">IF($B500="","",IFERROR(INDEX('Code Mapping'!$D$5:$D$1753,MATCH($B500,'Code Mapping'!$A$5:$A$1753,0)),"Unmapped"))</f>
        <v/>
      </c>
      <c r="M500" s="33" t="str">
        <f aca="false">IF($B500="","",IFERROR(INDEX('Code Mapping'!$E$5:$E$1753,MATCH($B500,'Code Mapping'!$A$5:$A$1753,0)),"Unmapped"))</f>
        <v/>
      </c>
      <c r="N500" s="33" t="str">
        <f aca="false">IF($F500="","",$F500)</f>
        <v/>
      </c>
    </row>
    <row r="501" customFormat="false" ht="15" hidden="false" customHeight="false" outlineLevel="0" collapsed="false">
      <c r="L501" s="33" t="str">
        <f aca="false">IF($B501="","",IFERROR(INDEX('Code Mapping'!$D$5:$D$1753,MATCH($B501,'Code Mapping'!$A$5:$A$1753,0)),"Unmapped"))</f>
        <v/>
      </c>
      <c r="M501" s="33" t="str">
        <f aca="false">IF($B501="","",IFERROR(INDEX('Code Mapping'!$E$5:$E$1753,MATCH($B501,'Code Mapping'!$A$5:$A$1753,0)),"Unmapped"))</f>
        <v/>
      </c>
      <c r="N501" s="33" t="str">
        <f aca="false">IF($F501="","",$F501)</f>
        <v/>
      </c>
    </row>
    <row r="502" customFormat="false" ht="15" hidden="false" customHeight="false" outlineLevel="0" collapsed="false">
      <c r="L502" s="33" t="str">
        <f aca="false">IF($B502="","",IFERROR(INDEX('Code Mapping'!$D$5:$D$1753,MATCH($B502,'Code Mapping'!$A$5:$A$1753,0)),"Unmapped"))</f>
        <v/>
      </c>
      <c r="M502" s="33" t="str">
        <f aca="false">IF($B502="","",IFERROR(INDEX('Code Mapping'!$E$5:$E$1753,MATCH($B502,'Code Mapping'!$A$5:$A$1753,0)),"Unmapped"))</f>
        <v/>
      </c>
      <c r="N502" s="33" t="str">
        <f aca="false">IF($F502="","",$F502)</f>
        <v/>
      </c>
    </row>
    <row r="503" customFormat="false" ht="15" hidden="false" customHeight="false" outlineLevel="0" collapsed="false">
      <c r="L503" s="33" t="str">
        <f aca="false">IF($B503="","",IFERROR(INDEX('Code Mapping'!$D$5:$D$1753,MATCH($B503,'Code Mapping'!$A$5:$A$1753,0)),"Unmapped"))</f>
        <v/>
      </c>
      <c r="M503" s="33" t="str">
        <f aca="false">IF($B503="","",IFERROR(INDEX('Code Mapping'!$E$5:$E$1753,MATCH($B503,'Code Mapping'!$A$5:$A$1753,0)),"Unmapped"))</f>
        <v/>
      </c>
      <c r="N503" s="33" t="str">
        <f aca="false">IF($F503="","",$F503)</f>
        <v/>
      </c>
    </row>
    <row r="504" customFormat="false" ht="15" hidden="false" customHeight="false" outlineLevel="0" collapsed="false">
      <c r="L504" s="33" t="str">
        <f aca="false">IF($B504="","",IFERROR(INDEX('Code Mapping'!$D$5:$D$1753,MATCH($B504,'Code Mapping'!$A$5:$A$1753,0)),"Unmapped"))</f>
        <v/>
      </c>
      <c r="M504" s="33" t="str">
        <f aca="false">IF($B504="","",IFERROR(INDEX('Code Mapping'!$E$5:$E$1753,MATCH($B504,'Code Mapping'!$A$5:$A$1753,0)),"Unmapped"))</f>
        <v/>
      </c>
      <c r="N504" s="33" t="str">
        <f aca="false">IF($F504="","",$F504)</f>
        <v/>
      </c>
    </row>
    <row r="505" customFormat="false" ht="15" hidden="false" customHeight="false" outlineLevel="0" collapsed="false">
      <c r="L505" s="33" t="str">
        <f aca="false">IF($B505="","",IFERROR(INDEX('Code Mapping'!$D$5:$D$1753,MATCH($B505,'Code Mapping'!$A$5:$A$1753,0)),"Unmapped"))</f>
        <v/>
      </c>
      <c r="M505" s="33" t="str">
        <f aca="false">IF($B505="","",IFERROR(INDEX('Code Mapping'!$E$5:$E$1753,MATCH($B505,'Code Mapping'!$A$5:$A$1753,0)),"Unmapped"))</f>
        <v/>
      </c>
      <c r="N505" s="33" t="str">
        <f aca="false">IF($F505="","",$F505)</f>
        <v/>
      </c>
    </row>
    <row r="506" customFormat="false" ht="15" hidden="false" customHeight="false" outlineLevel="0" collapsed="false">
      <c r="L506" s="33" t="str">
        <f aca="false">IF($B506="","",IFERROR(INDEX('Code Mapping'!$D$5:$D$1753,MATCH($B506,'Code Mapping'!$A$5:$A$1753,0)),"Unmapped"))</f>
        <v/>
      </c>
      <c r="M506" s="33" t="str">
        <f aca="false">IF($B506="","",IFERROR(INDEX('Code Mapping'!$E$5:$E$1753,MATCH($B506,'Code Mapping'!$A$5:$A$1753,0)),"Unmapped"))</f>
        <v/>
      </c>
      <c r="N506" s="33" t="str">
        <f aca="false">IF($F506="","",$F506)</f>
        <v/>
      </c>
    </row>
    <row r="507" customFormat="false" ht="15" hidden="false" customHeight="false" outlineLevel="0" collapsed="false">
      <c r="L507" s="33" t="str">
        <f aca="false">IF($B507="","",IFERROR(INDEX('Code Mapping'!$D$5:$D$1753,MATCH($B507,'Code Mapping'!$A$5:$A$1753,0)),"Unmapped"))</f>
        <v/>
      </c>
      <c r="M507" s="33" t="str">
        <f aca="false">IF($B507="","",IFERROR(INDEX('Code Mapping'!$E$5:$E$1753,MATCH($B507,'Code Mapping'!$A$5:$A$1753,0)),"Unmapped"))</f>
        <v/>
      </c>
      <c r="N507" s="33" t="str">
        <f aca="false">IF($F507="","",$F507)</f>
        <v/>
      </c>
    </row>
    <row r="508" customFormat="false" ht="15" hidden="false" customHeight="false" outlineLevel="0" collapsed="false">
      <c r="L508" s="33" t="str">
        <f aca="false">IF($B508="","",IFERROR(INDEX('Code Mapping'!$D$5:$D$1753,MATCH($B508,'Code Mapping'!$A$5:$A$1753,0)),"Unmapped"))</f>
        <v/>
      </c>
      <c r="M508" s="33" t="str">
        <f aca="false">IF($B508="","",IFERROR(INDEX('Code Mapping'!$E$5:$E$1753,MATCH($B508,'Code Mapping'!$A$5:$A$1753,0)),"Unmapped"))</f>
        <v/>
      </c>
      <c r="N508" s="33" t="str">
        <f aca="false">IF($F508="","",$F508)</f>
        <v/>
      </c>
    </row>
    <row r="509" customFormat="false" ht="15" hidden="false" customHeight="false" outlineLevel="0" collapsed="false">
      <c r="L509" s="33" t="str">
        <f aca="false">IF($B509="","",IFERROR(INDEX('Code Mapping'!$D$5:$D$1753,MATCH($B509,'Code Mapping'!$A$5:$A$1753,0)),"Unmapped"))</f>
        <v/>
      </c>
      <c r="M509" s="33" t="str">
        <f aca="false">IF($B509="","",IFERROR(INDEX('Code Mapping'!$E$5:$E$1753,MATCH($B509,'Code Mapping'!$A$5:$A$1753,0)),"Unmapped"))</f>
        <v/>
      </c>
      <c r="N509" s="33" t="str">
        <f aca="false">IF($F509="","",$F509)</f>
        <v/>
      </c>
    </row>
    <row r="510" customFormat="false" ht="15" hidden="false" customHeight="false" outlineLevel="0" collapsed="false">
      <c r="L510" s="33" t="str">
        <f aca="false">IF($B510="","",IFERROR(INDEX('Code Mapping'!$D$5:$D$1753,MATCH($B510,'Code Mapping'!$A$5:$A$1753,0)),"Unmapped"))</f>
        <v/>
      </c>
      <c r="M510" s="33" t="str">
        <f aca="false">IF($B510="","",IFERROR(INDEX('Code Mapping'!$E$5:$E$1753,MATCH($B510,'Code Mapping'!$A$5:$A$1753,0)),"Unmapped"))</f>
        <v/>
      </c>
      <c r="N510" s="33" t="str">
        <f aca="false">IF($F510="","",$F510)</f>
        <v/>
      </c>
    </row>
    <row r="511" customFormat="false" ht="15" hidden="false" customHeight="false" outlineLevel="0" collapsed="false">
      <c r="L511" s="33" t="str">
        <f aca="false">IF($B511="","",IFERROR(INDEX('Code Mapping'!$D$5:$D$1753,MATCH($B511,'Code Mapping'!$A$5:$A$1753,0)),"Unmapped"))</f>
        <v/>
      </c>
      <c r="M511" s="33" t="str">
        <f aca="false">IF($B511="","",IFERROR(INDEX('Code Mapping'!$E$5:$E$1753,MATCH($B511,'Code Mapping'!$A$5:$A$1753,0)),"Unmapped"))</f>
        <v/>
      </c>
      <c r="N511" s="33" t="str">
        <f aca="false">IF($F511="","",$F511)</f>
        <v/>
      </c>
    </row>
    <row r="512" customFormat="false" ht="15" hidden="false" customHeight="false" outlineLevel="0" collapsed="false">
      <c r="L512" s="33" t="str">
        <f aca="false">IF($B512="","",IFERROR(INDEX('Code Mapping'!$D$5:$D$1753,MATCH($B512,'Code Mapping'!$A$5:$A$1753,0)),"Unmapped"))</f>
        <v/>
      </c>
      <c r="M512" s="33" t="str">
        <f aca="false">IF($B512="","",IFERROR(INDEX('Code Mapping'!$E$5:$E$1753,MATCH($B512,'Code Mapping'!$A$5:$A$1753,0)),"Unmapped"))</f>
        <v/>
      </c>
      <c r="N512" s="33" t="str">
        <f aca="false">IF($F512="","",$F512)</f>
        <v/>
      </c>
    </row>
    <row r="513" customFormat="false" ht="15" hidden="false" customHeight="false" outlineLevel="0" collapsed="false">
      <c r="L513" s="33" t="str">
        <f aca="false">IF($B513="","",IFERROR(INDEX('Code Mapping'!$D$5:$D$1753,MATCH($B513,'Code Mapping'!$A$5:$A$1753,0)),"Unmapped"))</f>
        <v/>
      </c>
      <c r="M513" s="33" t="str">
        <f aca="false">IF($B513="","",IFERROR(INDEX('Code Mapping'!$E$5:$E$1753,MATCH($B513,'Code Mapping'!$A$5:$A$1753,0)),"Unmapped"))</f>
        <v/>
      </c>
      <c r="N513" s="33" t="str">
        <f aca="false">IF($F513="","",$F513)</f>
        <v/>
      </c>
    </row>
    <row r="514" customFormat="false" ht="15" hidden="false" customHeight="false" outlineLevel="0" collapsed="false">
      <c r="L514" s="33" t="str">
        <f aca="false">IF($B514="","",IFERROR(INDEX('Code Mapping'!$D$5:$D$1753,MATCH($B514,'Code Mapping'!$A$5:$A$1753,0)),"Unmapped"))</f>
        <v/>
      </c>
      <c r="M514" s="33" t="str">
        <f aca="false">IF($B514="","",IFERROR(INDEX('Code Mapping'!$E$5:$E$1753,MATCH($B514,'Code Mapping'!$A$5:$A$1753,0)),"Unmapped"))</f>
        <v/>
      </c>
      <c r="N514" s="33" t="str">
        <f aca="false">IF($F514="","",$F514)</f>
        <v/>
      </c>
    </row>
    <row r="515" customFormat="false" ht="15" hidden="false" customHeight="false" outlineLevel="0" collapsed="false">
      <c r="L515" s="33" t="str">
        <f aca="false">IF($B515="","",IFERROR(INDEX('Code Mapping'!$D$5:$D$1753,MATCH($B515,'Code Mapping'!$A$5:$A$1753,0)),"Unmapped"))</f>
        <v/>
      </c>
      <c r="M515" s="33" t="str">
        <f aca="false">IF($B515="","",IFERROR(INDEX('Code Mapping'!$E$5:$E$1753,MATCH($B515,'Code Mapping'!$A$5:$A$1753,0)),"Unmapped"))</f>
        <v/>
      </c>
      <c r="N515" s="33" t="str">
        <f aca="false">IF($F515="","",$F515)</f>
        <v/>
      </c>
    </row>
    <row r="516" customFormat="false" ht="15" hidden="false" customHeight="false" outlineLevel="0" collapsed="false">
      <c r="L516" s="33" t="str">
        <f aca="false">IF($B516="","",IFERROR(INDEX('Code Mapping'!$D$5:$D$1753,MATCH($B516,'Code Mapping'!$A$5:$A$1753,0)),"Unmapped"))</f>
        <v/>
      </c>
      <c r="M516" s="33" t="str">
        <f aca="false">IF($B516="","",IFERROR(INDEX('Code Mapping'!$E$5:$E$1753,MATCH($B516,'Code Mapping'!$A$5:$A$1753,0)),"Unmapped"))</f>
        <v/>
      </c>
      <c r="N516" s="33" t="str">
        <f aca="false">IF($F516="","",$F516)</f>
        <v/>
      </c>
    </row>
    <row r="517" customFormat="false" ht="15" hidden="false" customHeight="false" outlineLevel="0" collapsed="false">
      <c r="L517" s="33" t="str">
        <f aca="false">IF($B517="","",IFERROR(INDEX('Code Mapping'!$D$5:$D$1753,MATCH($B517,'Code Mapping'!$A$5:$A$1753,0)),"Unmapped"))</f>
        <v/>
      </c>
      <c r="M517" s="33" t="str">
        <f aca="false">IF($B517="","",IFERROR(INDEX('Code Mapping'!$E$5:$E$1753,MATCH($B517,'Code Mapping'!$A$5:$A$1753,0)),"Unmapped"))</f>
        <v/>
      </c>
      <c r="N517" s="33" t="str">
        <f aca="false">IF($F517="","",$F517)</f>
        <v/>
      </c>
    </row>
    <row r="518" customFormat="false" ht="15" hidden="false" customHeight="false" outlineLevel="0" collapsed="false">
      <c r="L518" s="33" t="str">
        <f aca="false">IF($B518="","",IFERROR(INDEX('Code Mapping'!$D$5:$D$1753,MATCH($B518,'Code Mapping'!$A$5:$A$1753,0)),"Unmapped"))</f>
        <v/>
      </c>
      <c r="M518" s="33" t="str">
        <f aca="false">IF($B518="","",IFERROR(INDEX('Code Mapping'!$E$5:$E$1753,MATCH($B518,'Code Mapping'!$A$5:$A$1753,0)),"Unmapped"))</f>
        <v/>
      </c>
      <c r="N518" s="33" t="str">
        <f aca="false">IF($F518="","",$F518)</f>
        <v/>
      </c>
    </row>
    <row r="519" customFormat="false" ht="15" hidden="false" customHeight="false" outlineLevel="0" collapsed="false">
      <c r="L519" s="33" t="str">
        <f aca="false">IF($B519="","",IFERROR(INDEX('Code Mapping'!$D$5:$D$1753,MATCH($B519,'Code Mapping'!$A$5:$A$1753,0)),"Unmapped"))</f>
        <v/>
      </c>
      <c r="M519" s="33" t="str">
        <f aca="false">IF($B519="","",IFERROR(INDEX('Code Mapping'!$E$5:$E$1753,MATCH($B519,'Code Mapping'!$A$5:$A$1753,0)),"Unmapped"))</f>
        <v/>
      </c>
      <c r="N519" s="33" t="str">
        <f aca="false">IF($F519="","",$F519)</f>
        <v/>
      </c>
    </row>
    <row r="520" customFormat="false" ht="15" hidden="false" customHeight="false" outlineLevel="0" collapsed="false">
      <c r="L520" s="33" t="str">
        <f aca="false">IF($B520="","",IFERROR(INDEX('Code Mapping'!$D$5:$D$1753,MATCH($B520,'Code Mapping'!$A$5:$A$1753,0)),"Unmapped"))</f>
        <v/>
      </c>
      <c r="M520" s="33" t="str">
        <f aca="false">IF($B520="","",IFERROR(INDEX('Code Mapping'!$E$5:$E$1753,MATCH($B520,'Code Mapping'!$A$5:$A$1753,0)),"Unmapped"))</f>
        <v/>
      </c>
      <c r="N520" s="33" t="str">
        <f aca="false">IF($F520="","",$F520)</f>
        <v/>
      </c>
    </row>
    <row r="521" customFormat="false" ht="15" hidden="false" customHeight="false" outlineLevel="0" collapsed="false">
      <c r="L521" s="33" t="str">
        <f aca="false">IF($B521="","",IFERROR(INDEX('Code Mapping'!$D$5:$D$1753,MATCH($B521,'Code Mapping'!$A$5:$A$1753,0)),"Unmapped"))</f>
        <v/>
      </c>
      <c r="M521" s="33" t="str">
        <f aca="false">IF($B521="","",IFERROR(INDEX('Code Mapping'!$E$5:$E$1753,MATCH($B521,'Code Mapping'!$A$5:$A$1753,0)),"Unmapped"))</f>
        <v/>
      </c>
      <c r="N521" s="33" t="str">
        <f aca="false">IF($F521="","",$F521)</f>
        <v/>
      </c>
    </row>
    <row r="522" customFormat="false" ht="15" hidden="false" customHeight="false" outlineLevel="0" collapsed="false">
      <c r="L522" s="33" t="str">
        <f aca="false">IF($B522="","",IFERROR(INDEX('Code Mapping'!$D$5:$D$1753,MATCH($B522,'Code Mapping'!$A$5:$A$1753,0)),"Unmapped"))</f>
        <v/>
      </c>
      <c r="M522" s="33" t="str">
        <f aca="false">IF($B522="","",IFERROR(INDEX('Code Mapping'!$E$5:$E$1753,MATCH($B522,'Code Mapping'!$A$5:$A$1753,0)),"Unmapped"))</f>
        <v/>
      </c>
      <c r="N522" s="33" t="str">
        <f aca="false">IF($F522="","",$F522)</f>
        <v/>
      </c>
    </row>
    <row r="523" customFormat="false" ht="15" hidden="false" customHeight="false" outlineLevel="0" collapsed="false">
      <c r="L523" s="33" t="str">
        <f aca="false">IF($B523="","",IFERROR(INDEX('Code Mapping'!$D$5:$D$1753,MATCH($B523,'Code Mapping'!$A$5:$A$1753,0)),"Unmapped"))</f>
        <v/>
      </c>
      <c r="M523" s="33" t="str">
        <f aca="false">IF($B523="","",IFERROR(INDEX('Code Mapping'!$E$5:$E$1753,MATCH($B523,'Code Mapping'!$A$5:$A$1753,0)),"Unmapped"))</f>
        <v/>
      </c>
      <c r="N523" s="33" t="str">
        <f aca="false">IF($F523="","",$F523)</f>
        <v/>
      </c>
    </row>
    <row r="524" customFormat="false" ht="15" hidden="false" customHeight="false" outlineLevel="0" collapsed="false">
      <c r="L524" s="33" t="str">
        <f aca="false">IF($B524="","",IFERROR(INDEX('Code Mapping'!$D$5:$D$1753,MATCH($B524,'Code Mapping'!$A$5:$A$1753,0)),"Unmapped"))</f>
        <v/>
      </c>
      <c r="M524" s="33" t="str">
        <f aca="false">IF($B524="","",IFERROR(INDEX('Code Mapping'!$E$5:$E$1753,MATCH($B524,'Code Mapping'!$A$5:$A$1753,0)),"Unmapped"))</f>
        <v/>
      </c>
      <c r="N524" s="33" t="str">
        <f aca="false">IF($F524="","",$F524)</f>
        <v/>
      </c>
    </row>
    <row r="525" customFormat="false" ht="15" hidden="false" customHeight="false" outlineLevel="0" collapsed="false">
      <c r="L525" s="33" t="str">
        <f aca="false">IF($B525="","",IFERROR(INDEX('Code Mapping'!$D$5:$D$1753,MATCH($B525,'Code Mapping'!$A$5:$A$1753,0)),"Unmapped"))</f>
        <v/>
      </c>
      <c r="M525" s="33" t="str">
        <f aca="false">IF($B525="","",IFERROR(INDEX('Code Mapping'!$E$5:$E$1753,MATCH($B525,'Code Mapping'!$A$5:$A$1753,0)),"Unmapped"))</f>
        <v/>
      </c>
      <c r="N525" s="33" t="str">
        <f aca="false">IF($F525="","",$F525)</f>
        <v/>
      </c>
    </row>
    <row r="526" customFormat="false" ht="15" hidden="false" customHeight="false" outlineLevel="0" collapsed="false">
      <c r="L526" s="33" t="str">
        <f aca="false">IF($B526="","",IFERROR(INDEX('Code Mapping'!$D$5:$D$1753,MATCH($B526,'Code Mapping'!$A$5:$A$1753,0)),"Unmapped"))</f>
        <v/>
      </c>
      <c r="M526" s="33" t="str">
        <f aca="false">IF($B526="","",IFERROR(INDEX('Code Mapping'!$E$5:$E$1753,MATCH($B526,'Code Mapping'!$A$5:$A$1753,0)),"Unmapped"))</f>
        <v/>
      </c>
      <c r="N526" s="33" t="str">
        <f aca="false">IF($F526="","",$F526)</f>
        <v/>
      </c>
    </row>
    <row r="527" customFormat="false" ht="15" hidden="false" customHeight="false" outlineLevel="0" collapsed="false">
      <c r="L527" s="33" t="str">
        <f aca="false">IF($B527="","",IFERROR(INDEX('Code Mapping'!$D$5:$D$1753,MATCH($B527,'Code Mapping'!$A$5:$A$1753,0)),"Unmapped"))</f>
        <v/>
      </c>
      <c r="M527" s="33" t="str">
        <f aca="false">IF($B527="","",IFERROR(INDEX('Code Mapping'!$E$5:$E$1753,MATCH($B527,'Code Mapping'!$A$5:$A$1753,0)),"Unmapped"))</f>
        <v/>
      </c>
      <c r="N527" s="33" t="str">
        <f aca="false">IF($F527="","",$F527)</f>
        <v/>
      </c>
    </row>
    <row r="528" customFormat="false" ht="15" hidden="false" customHeight="false" outlineLevel="0" collapsed="false">
      <c r="L528" s="33" t="str">
        <f aca="false">IF($B528="","",IFERROR(INDEX('Code Mapping'!$D$5:$D$1753,MATCH($B528,'Code Mapping'!$A$5:$A$1753,0)),"Unmapped"))</f>
        <v/>
      </c>
      <c r="M528" s="33" t="str">
        <f aca="false">IF($B528="","",IFERROR(INDEX('Code Mapping'!$E$5:$E$1753,MATCH($B528,'Code Mapping'!$A$5:$A$1753,0)),"Unmapped"))</f>
        <v/>
      </c>
      <c r="N528" s="33" t="str">
        <f aca="false">IF($F528="","",$F528)</f>
        <v/>
      </c>
    </row>
    <row r="529" customFormat="false" ht="15" hidden="false" customHeight="false" outlineLevel="0" collapsed="false">
      <c r="L529" s="33" t="str">
        <f aca="false">IF($B529="","",IFERROR(INDEX('Code Mapping'!$D$5:$D$1753,MATCH($B529,'Code Mapping'!$A$5:$A$1753,0)),"Unmapped"))</f>
        <v/>
      </c>
      <c r="M529" s="33" t="str">
        <f aca="false">IF($B529="","",IFERROR(INDEX('Code Mapping'!$E$5:$E$1753,MATCH($B529,'Code Mapping'!$A$5:$A$1753,0)),"Unmapped"))</f>
        <v/>
      </c>
      <c r="N529" s="33" t="str">
        <f aca="false">IF($F529="","",$F529)</f>
        <v/>
      </c>
    </row>
    <row r="530" customFormat="false" ht="15" hidden="false" customHeight="false" outlineLevel="0" collapsed="false">
      <c r="L530" s="33" t="str">
        <f aca="false">IF($B530="","",IFERROR(INDEX('Code Mapping'!$D$5:$D$1753,MATCH($B530,'Code Mapping'!$A$5:$A$1753,0)),"Unmapped"))</f>
        <v/>
      </c>
      <c r="M530" s="33" t="str">
        <f aca="false">IF($B530="","",IFERROR(INDEX('Code Mapping'!$E$5:$E$1753,MATCH($B530,'Code Mapping'!$A$5:$A$1753,0)),"Unmapped"))</f>
        <v/>
      </c>
      <c r="N530" s="33" t="str">
        <f aca="false">IF($F530="","",$F530)</f>
        <v/>
      </c>
    </row>
    <row r="531" customFormat="false" ht="15" hidden="false" customHeight="false" outlineLevel="0" collapsed="false">
      <c r="L531" s="33" t="str">
        <f aca="false">IF($B531="","",IFERROR(INDEX('Code Mapping'!$D$5:$D$1753,MATCH($B531,'Code Mapping'!$A$5:$A$1753,0)),"Unmapped"))</f>
        <v/>
      </c>
      <c r="M531" s="33" t="str">
        <f aca="false">IF($B531="","",IFERROR(INDEX('Code Mapping'!$E$5:$E$1753,MATCH($B531,'Code Mapping'!$A$5:$A$1753,0)),"Unmapped"))</f>
        <v/>
      </c>
      <c r="N531" s="33" t="str">
        <f aca="false">IF($F531="","",$F531)</f>
        <v/>
      </c>
    </row>
    <row r="532" customFormat="false" ht="15" hidden="false" customHeight="false" outlineLevel="0" collapsed="false">
      <c r="L532" s="33" t="str">
        <f aca="false">IF($B532="","",IFERROR(INDEX('Code Mapping'!$D$5:$D$1753,MATCH($B532,'Code Mapping'!$A$5:$A$1753,0)),"Unmapped"))</f>
        <v/>
      </c>
      <c r="M532" s="33" t="str">
        <f aca="false">IF($B532="","",IFERROR(INDEX('Code Mapping'!$E$5:$E$1753,MATCH($B532,'Code Mapping'!$A$5:$A$1753,0)),"Unmapped"))</f>
        <v/>
      </c>
      <c r="N532" s="33" t="str">
        <f aca="false">IF($F532="","",$F532)</f>
        <v/>
      </c>
    </row>
    <row r="533" customFormat="false" ht="15" hidden="false" customHeight="false" outlineLevel="0" collapsed="false">
      <c r="L533" s="33" t="str">
        <f aca="false">IF($B533="","",IFERROR(INDEX('Code Mapping'!$D$5:$D$1753,MATCH($B533,'Code Mapping'!$A$5:$A$1753,0)),"Unmapped"))</f>
        <v/>
      </c>
      <c r="M533" s="33" t="str">
        <f aca="false">IF($B533="","",IFERROR(INDEX('Code Mapping'!$E$5:$E$1753,MATCH($B533,'Code Mapping'!$A$5:$A$1753,0)),"Unmapped"))</f>
        <v/>
      </c>
      <c r="N533" s="33" t="str">
        <f aca="false">IF($F533="","",$F533)</f>
        <v/>
      </c>
    </row>
    <row r="534" customFormat="false" ht="15" hidden="false" customHeight="false" outlineLevel="0" collapsed="false">
      <c r="L534" s="33" t="str">
        <f aca="false">IF($B534="","",IFERROR(INDEX('Code Mapping'!$D$5:$D$1753,MATCH($B534,'Code Mapping'!$A$5:$A$1753,0)),"Unmapped"))</f>
        <v/>
      </c>
      <c r="M534" s="33" t="str">
        <f aca="false">IF($B534="","",IFERROR(INDEX('Code Mapping'!$E$5:$E$1753,MATCH($B534,'Code Mapping'!$A$5:$A$1753,0)),"Unmapped"))</f>
        <v/>
      </c>
      <c r="N534" s="33" t="str">
        <f aca="false">IF($F534="","",$F534)</f>
        <v/>
      </c>
    </row>
    <row r="535" customFormat="false" ht="15" hidden="false" customHeight="false" outlineLevel="0" collapsed="false">
      <c r="L535" s="33" t="str">
        <f aca="false">IF($B535="","",IFERROR(INDEX('Code Mapping'!$D$5:$D$1753,MATCH($B535,'Code Mapping'!$A$5:$A$1753,0)),"Unmapped"))</f>
        <v/>
      </c>
      <c r="M535" s="33" t="str">
        <f aca="false">IF($B535="","",IFERROR(INDEX('Code Mapping'!$E$5:$E$1753,MATCH($B535,'Code Mapping'!$A$5:$A$1753,0)),"Unmapped"))</f>
        <v/>
      </c>
      <c r="N535" s="33" t="str">
        <f aca="false">IF($F535="","",$F535)</f>
        <v/>
      </c>
    </row>
    <row r="536" customFormat="false" ht="15" hidden="false" customHeight="false" outlineLevel="0" collapsed="false">
      <c r="L536" s="33" t="str">
        <f aca="false">IF($B536="","",IFERROR(INDEX('Code Mapping'!$D$5:$D$1753,MATCH($B536,'Code Mapping'!$A$5:$A$1753,0)),"Unmapped"))</f>
        <v/>
      </c>
      <c r="M536" s="33" t="str">
        <f aca="false">IF($B536="","",IFERROR(INDEX('Code Mapping'!$E$5:$E$1753,MATCH($B536,'Code Mapping'!$A$5:$A$1753,0)),"Unmapped"))</f>
        <v/>
      </c>
      <c r="N536" s="33" t="str">
        <f aca="false">IF($F536="","",$F536)</f>
        <v/>
      </c>
    </row>
    <row r="537" customFormat="false" ht="15" hidden="false" customHeight="false" outlineLevel="0" collapsed="false">
      <c r="L537" s="33" t="str">
        <f aca="false">IF($B537="","",IFERROR(INDEX('Code Mapping'!$D$5:$D$1753,MATCH($B537,'Code Mapping'!$A$5:$A$1753,0)),"Unmapped"))</f>
        <v/>
      </c>
      <c r="M537" s="33" t="str">
        <f aca="false">IF($B537="","",IFERROR(INDEX('Code Mapping'!$E$5:$E$1753,MATCH($B537,'Code Mapping'!$A$5:$A$1753,0)),"Unmapped"))</f>
        <v/>
      </c>
      <c r="N537" s="33" t="str">
        <f aca="false">IF($F537="","",$F537)</f>
        <v/>
      </c>
    </row>
    <row r="538" customFormat="false" ht="15" hidden="false" customHeight="false" outlineLevel="0" collapsed="false">
      <c r="L538" s="33" t="str">
        <f aca="false">IF($B538="","",IFERROR(INDEX('Code Mapping'!$D$5:$D$1753,MATCH($B538,'Code Mapping'!$A$5:$A$1753,0)),"Unmapped"))</f>
        <v/>
      </c>
      <c r="M538" s="33" t="str">
        <f aca="false">IF($B538="","",IFERROR(INDEX('Code Mapping'!$E$5:$E$1753,MATCH($B538,'Code Mapping'!$A$5:$A$1753,0)),"Unmapped"))</f>
        <v/>
      </c>
      <c r="N538" s="33" t="str">
        <f aca="false">IF($F538="","",$F538)</f>
        <v/>
      </c>
    </row>
    <row r="539" customFormat="false" ht="15" hidden="false" customHeight="false" outlineLevel="0" collapsed="false">
      <c r="L539" s="33" t="str">
        <f aca="false">IF($B539="","",IFERROR(INDEX('Code Mapping'!$D$5:$D$1753,MATCH($B539,'Code Mapping'!$A$5:$A$1753,0)),"Unmapped"))</f>
        <v/>
      </c>
      <c r="M539" s="33" t="str">
        <f aca="false">IF($B539="","",IFERROR(INDEX('Code Mapping'!$E$5:$E$1753,MATCH($B539,'Code Mapping'!$A$5:$A$1753,0)),"Unmapped"))</f>
        <v/>
      </c>
      <c r="N539" s="33" t="str">
        <f aca="false">IF($F539="","",$F539)</f>
        <v/>
      </c>
    </row>
    <row r="540" customFormat="false" ht="15" hidden="false" customHeight="false" outlineLevel="0" collapsed="false">
      <c r="L540" s="33" t="str">
        <f aca="false">IF($B540="","",IFERROR(INDEX('Code Mapping'!$D$5:$D$1753,MATCH($B540,'Code Mapping'!$A$5:$A$1753,0)),"Unmapped"))</f>
        <v/>
      </c>
      <c r="M540" s="33" t="str">
        <f aca="false">IF($B540="","",IFERROR(INDEX('Code Mapping'!$E$5:$E$1753,MATCH($B540,'Code Mapping'!$A$5:$A$1753,0)),"Unmapped"))</f>
        <v/>
      </c>
      <c r="N540" s="33" t="str">
        <f aca="false">IF($F540="","",$F540)</f>
        <v/>
      </c>
    </row>
    <row r="541" customFormat="false" ht="15" hidden="false" customHeight="false" outlineLevel="0" collapsed="false">
      <c r="L541" s="33" t="str">
        <f aca="false">IF($B541="","",IFERROR(INDEX('Code Mapping'!$D$5:$D$1753,MATCH($B541,'Code Mapping'!$A$5:$A$1753,0)),"Unmapped"))</f>
        <v/>
      </c>
      <c r="M541" s="33" t="str">
        <f aca="false">IF($B541="","",IFERROR(INDEX('Code Mapping'!$E$5:$E$1753,MATCH($B541,'Code Mapping'!$A$5:$A$1753,0)),"Unmapped"))</f>
        <v/>
      </c>
      <c r="N541" s="33" t="str">
        <f aca="false">IF($F541="","",$F541)</f>
        <v/>
      </c>
    </row>
    <row r="542" customFormat="false" ht="15" hidden="false" customHeight="false" outlineLevel="0" collapsed="false">
      <c r="L542" s="33" t="str">
        <f aca="false">IF($B542="","",IFERROR(INDEX('Code Mapping'!$D$5:$D$1753,MATCH($B542,'Code Mapping'!$A$5:$A$1753,0)),"Unmapped"))</f>
        <v/>
      </c>
      <c r="M542" s="33" t="str">
        <f aca="false">IF($B542="","",IFERROR(INDEX('Code Mapping'!$E$5:$E$1753,MATCH($B542,'Code Mapping'!$A$5:$A$1753,0)),"Unmapped"))</f>
        <v/>
      </c>
      <c r="N542" s="33" t="str">
        <f aca="false">IF($F542="","",$F542)</f>
        <v/>
      </c>
    </row>
    <row r="543" customFormat="false" ht="15" hidden="false" customHeight="false" outlineLevel="0" collapsed="false">
      <c r="L543" s="33" t="str">
        <f aca="false">IF($B543="","",IFERROR(INDEX('Code Mapping'!$D$5:$D$1753,MATCH($B543,'Code Mapping'!$A$5:$A$1753,0)),"Unmapped"))</f>
        <v/>
      </c>
      <c r="M543" s="33" t="str">
        <f aca="false">IF($B543="","",IFERROR(INDEX('Code Mapping'!$E$5:$E$1753,MATCH($B543,'Code Mapping'!$A$5:$A$1753,0)),"Unmapped"))</f>
        <v/>
      </c>
      <c r="N543" s="33" t="str">
        <f aca="false">IF($F543="","",$F543)</f>
        <v/>
      </c>
    </row>
    <row r="544" customFormat="false" ht="15" hidden="false" customHeight="false" outlineLevel="0" collapsed="false">
      <c r="L544" s="33" t="str">
        <f aca="false">IF($B544="","",IFERROR(INDEX('Code Mapping'!$D$5:$D$1753,MATCH($B544,'Code Mapping'!$A$5:$A$1753,0)),"Unmapped"))</f>
        <v/>
      </c>
      <c r="M544" s="33" t="str">
        <f aca="false">IF($B544="","",IFERROR(INDEX('Code Mapping'!$E$5:$E$1753,MATCH($B544,'Code Mapping'!$A$5:$A$1753,0)),"Unmapped"))</f>
        <v/>
      </c>
      <c r="N544" s="33" t="str">
        <f aca="false">IF($F544="","",$F544)</f>
        <v/>
      </c>
    </row>
    <row r="545" customFormat="false" ht="15" hidden="false" customHeight="false" outlineLevel="0" collapsed="false">
      <c r="L545" s="33" t="str">
        <f aca="false">IF($B545="","",IFERROR(INDEX('Code Mapping'!$D$5:$D$1753,MATCH($B545,'Code Mapping'!$A$5:$A$1753,0)),"Unmapped"))</f>
        <v/>
      </c>
      <c r="M545" s="33" t="str">
        <f aca="false">IF($B545="","",IFERROR(INDEX('Code Mapping'!$E$5:$E$1753,MATCH($B545,'Code Mapping'!$A$5:$A$1753,0)),"Unmapped"))</f>
        <v/>
      </c>
      <c r="N545" s="33" t="str">
        <f aca="false">IF($F545="","",$F545)</f>
        <v/>
      </c>
    </row>
    <row r="546" customFormat="false" ht="15" hidden="false" customHeight="false" outlineLevel="0" collapsed="false">
      <c r="L546" s="33" t="str">
        <f aca="false">IF($B546="","",IFERROR(INDEX('Code Mapping'!$D$5:$D$1753,MATCH($B546,'Code Mapping'!$A$5:$A$1753,0)),"Unmapped"))</f>
        <v/>
      </c>
      <c r="M546" s="33" t="str">
        <f aca="false">IF($B546="","",IFERROR(INDEX('Code Mapping'!$E$5:$E$1753,MATCH($B546,'Code Mapping'!$A$5:$A$1753,0)),"Unmapped"))</f>
        <v/>
      </c>
      <c r="N546" s="33" t="str">
        <f aca="false">IF($F546="","",$F546)</f>
        <v/>
      </c>
    </row>
    <row r="547" customFormat="false" ht="15" hidden="false" customHeight="false" outlineLevel="0" collapsed="false">
      <c r="L547" s="33" t="str">
        <f aca="false">IF($B547="","",IFERROR(INDEX('Code Mapping'!$D$5:$D$1753,MATCH($B547,'Code Mapping'!$A$5:$A$1753,0)),"Unmapped"))</f>
        <v/>
      </c>
      <c r="M547" s="33" t="str">
        <f aca="false">IF($B547="","",IFERROR(INDEX('Code Mapping'!$E$5:$E$1753,MATCH($B547,'Code Mapping'!$A$5:$A$1753,0)),"Unmapped"))</f>
        <v/>
      </c>
      <c r="N547" s="33" t="str">
        <f aca="false">IF($F547="","",$F547)</f>
        <v/>
      </c>
    </row>
    <row r="548" customFormat="false" ht="15" hidden="false" customHeight="false" outlineLevel="0" collapsed="false">
      <c r="L548" s="33" t="str">
        <f aca="false">IF($B548="","",IFERROR(INDEX('Code Mapping'!$D$5:$D$1753,MATCH($B548,'Code Mapping'!$A$5:$A$1753,0)),"Unmapped"))</f>
        <v/>
      </c>
      <c r="M548" s="33" t="str">
        <f aca="false">IF($B548="","",IFERROR(INDEX('Code Mapping'!$E$5:$E$1753,MATCH($B548,'Code Mapping'!$A$5:$A$1753,0)),"Unmapped"))</f>
        <v/>
      </c>
      <c r="N548" s="33" t="str">
        <f aca="false">IF($F548="","",$F548)</f>
        <v/>
      </c>
    </row>
    <row r="549" customFormat="false" ht="15" hidden="false" customHeight="false" outlineLevel="0" collapsed="false">
      <c r="L549" s="33" t="str">
        <f aca="false">IF($B549="","",IFERROR(INDEX('Code Mapping'!$D$5:$D$1753,MATCH($B549,'Code Mapping'!$A$5:$A$1753,0)),"Unmapped"))</f>
        <v/>
      </c>
      <c r="M549" s="33" t="str">
        <f aca="false">IF($B549="","",IFERROR(INDEX('Code Mapping'!$E$5:$E$1753,MATCH($B549,'Code Mapping'!$A$5:$A$1753,0)),"Unmapped"))</f>
        <v/>
      </c>
      <c r="N549" s="33" t="str">
        <f aca="false">IF($F549="","",$F549)</f>
        <v/>
      </c>
    </row>
    <row r="550" customFormat="false" ht="15" hidden="false" customHeight="false" outlineLevel="0" collapsed="false">
      <c r="L550" s="33" t="str">
        <f aca="false">IF($B550="","",IFERROR(INDEX('Code Mapping'!$D$5:$D$1753,MATCH($B550,'Code Mapping'!$A$5:$A$1753,0)),"Unmapped"))</f>
        <v/>
      </c>
      <c r="M550" s="33" t="str">
        <f aca="false">IF($B550="","",IFERROR(INDEX('Code Mapping'!$E$5:$E$1753,MATCH($B550,'Code Mapping'!$A$5:$A$1753,0)),"Unmapped"))</f>
        <v/>
      </c>
      <c r="N550" s="33" t="str">
        <f aca="false">IF($F550="","",$F550)</f>
        <v/>
      </c>
    </row>
    <row r="551" customFormat="false" ht="15" hidden="false" customHeight="false" outlineLevel="0" collapsed="false">
      <c r="L551" s="33" t="str">
        <f aca="false">IF($B551="","",IFERROR(INDEX('Code Mapping'!$D$5:$D$1753,MATCH($B551,'Code Mapping'!$A$5:$A$1753,0)),"Unmapped"))</f>
        <v/>
      </c>
      <c r="M551" s="33" t="str">
        <f aca="false">IF($B551="","",IFERROR(INDEX('Code Mapping'!$E$5:$E$1753,MATCH($B551,'Code Mapping'!$A$5:$A$1753,0)),"Unmapped"))</f>
        <v/>
      </c>
      <c r="N551" s="33" t="str">
        <f aca="false">IF($F551="","",$F551)</f>
        <v/>
      </c>
    </row>
    <row r="552" customFormat="false" ht="15" hidden="false" customHeight="false" outlineLevel="0" collapsed="false">
      <c r="L552" s="33" t="str">
        <f aca="false">IF($B552="","",IFERROR(INDEX('Code Mapping'!$D$5:$D$1753,MATCH($B552,'Code Mapping'!$A$5:$A$1753,0)),"Unmapped"))</f>
        <v/>
      </c>
      <c r="M552" s="33" t="str">
        <f aca="false">IF($B552="","",IFERROR(INDEX('Code Mapping'!$E$5:$E$1753,MATCH($B552,'Code Mapping'!$A$5:$A$1753,0)),"Unmapped"))</f>
        <v/>
      </c>
      <c r="N552" s="33" t="str">
        <f aca="false">IF($F552="","",$F552)</f>
        <v/>
      </c>
    </row>
    <row r="553" customFormat="false" ht="15" hidden="false" customHeight="false" outlineLevel="0" collapsed="false">
      <c r="L553" s="33" t="str">
        <f aca="false">IF($B553="","",IFERROR(INDEX('Code Mapping'!$D$5:$D$1753,MATCH($B553,'Code Mapping'!$A$5:$A$1753,0)),"Unmapped"))</f>
        <v/>
      </c>
      <c r="M553" s="33" t="str">
        <f aca="false">IF($B553="","",IFERROR(INDEX('Code Mapping'!$E$5:$E$1753,MATCH($B553,'Code Mapping'!$A$5:$A$1753,0)),"Unmapped"))</f>
        <v/>
      </c>
      <c r="N553" s="33" t="str">
        <f aca="false">IF($F553="","",$F553)</f>
        <v/>
      </c>
    </row>
    <row r="554" customFormat="false" ht="15" hidden="false" customHeight="false" outlineLevel="0" collapsed="false">
      <c r="L554" s="33" t="str">
        <f aca="false">IF($B554="","",IFERROR(INDEX('Code Mapping'!$D$5:$D$1753,MATCH($B554,'Code Mapping'!$A$5:$A$1753,0)),"Unmapped"))</f>
        <v/>
      </c>
      <c r="M554" s="33" t="str">
        <f aca="false">IF($B554="","",IFERROR(INDEX('Code Mapping'!$E$5:$E$1753,MATCH($B554,'Code Mapping'!$A$5:$A$1753,0)),"Unmapped"))</f>
        <v/>
      </c>
      <c r="N554" s="33" t="str">
        <f aca="false">IF($F554="","",$F554)</f>
        <v/>
      </c>
    </row>
    <row r="555" customFormat="false" ht="15" hidden="false" customHeight="false" outlineLevel="0" collapsed="false">
      <c r="L555" s="33" t="str">
        <f aca="false">IF($B555="","",IFERROR(INDEX('Code Mapping'!$D$5:$D$1753,MATCH($B555,'Code Mapping'!$A$5:$A$1753,0)),"Unmapped"))</f>
        <v/>
      </c>
      <c r="M555" s="33" t="str">
        <f aca="false">IF($B555="","",IFERROR(INDEX('Code Mapping'!$E$5:$E$1753,MATCH($B555,'Code Mapping'!$A$5:$A$1753,0)),"Unmapped"))</f>
        <v/>
      </c>
      <c r="N555" s="33" t="str">
        <f aca="false">IF($F555="","",$F555)</f>
        <v/>
      </c>
    </row>
    <row r="556" customFormat="false" ht="15" hidden="false" customHeight="false" outlineLevel="0" collapsed="false">
      <c r="L556" s="33" t="str">
        <f aca="false">IF($B556="","",IFERROR(INDEX('Code Mapping'!$D$5:$D$1753,MATCH($B556,'Code Mapping'!$A$5:$A$1753,0)),"Unmapped"))</f>
        <v/>
      </c>
      <c r="M556" s="33" t="str">
        <f aca="false">IF($B556="","",IFERROR(INDEX('Code Mapping'!$E$5:$E$1753,MATCH($B556,'Code Mapping'!$A$5:$A$1753,0)),"Unmapped"))</f>
        <v/>
      </c>
      <c r="N556" s="33" t="str">
        <f aca="false">IF($F556="","",$F556)</f>
        <v/>
      </c>
    </row>
    <row r="557" customFormat="false" ht="15" hidden="false" customHeight="false" outlineLevel="0" collapsed="false">
      <c r="L557" s="33" t="str">
        <f aca="false">IF($B557="","",IFERROR(INDEX('Code Mapping'!$D$5:$D$1753,MATCH($B557,'Code Mapping'!$A$5:$A$1753,0)),"Unmapped"))</f>
        <v/>
      </c>
      <c r="M557" s="33" t="str">
        <f aca="false">IF($B557="","",IFERROR(INDEX('Code Mapping'!$E$5:$E$1753,MATCH($B557,'Code Mapping'!$A$5:$A$1753,0)),"Unmapped"))</f>
        <v/>
      </c>
      <c r="N557" s="33" t="str">
        <f aca="false">IF($F557="","",$F557)</f>
        <v/>
      </c>
    </row>
    <row r="558" customFormat="false" ht="15" hidden="false" customHeight="false" outlineLevel="0" collapsed="false">
      <c r="L558" s="33" t="str">
        <f aca="false">IF($B558="","",IFERROR(INDEX('Code Mapping'!$D$5:$D$1753,MATCH($B558,'Code Mapping'!$A$5:$A$1753,0)),"Unmapped"))</f>
        <v/>
      </c>
      <c r="M558" s="33" t="str">
        <f aca="false">IF($B558="","",IFERROR(INDEX('Code Mapping'!$E$5:$E$1753,MATCH($B558,'Code Mapping'!$A$5:$A$1753,0)),"Unmapped"))</f>
        <v/>
      </c>
      <c r="N558" s="33" t="str">
        <f aca="false">IF($F558="","",$F558)</f>
        <v/>
      </c>
    </row>
    <row r="559" customFormat="false" ht="15" hidden="false" customHeight="false" outlineLevel="0" collapsed="false">
      <c r="L559" s="33" t="str">
        <f aca="false">IF($B559="","",IFERROR(INDEX('Code Mapping'!$D$5:$D$1753,MATCH($B559,'Code Mapping'!$A$5:$A$1753,0)),"Unmapped"))</f>
        <v/>
      </c>
      <c r="M559" s="33" t="str">
        <f aca="false">IF($B559="","",IFERROR(INDEX('Code Mapping'!$E$5:$E$1753,MATCH($B559,'Code Mapping'!$A$5:$A$1753,0)),"Unmapped"))</f>
        <v/>
      </c>
      <c r="N559" s="33" t="str">
        <f aca="false">IF($F559="","",$F559)</f>
        <v/>
      </c>
    </row>
    <row r="560" customFormat="false" ht="15" hidden="false" customHeight="false" outlineLevel="0" collapsed="false">
      <c r="L560" s="33" t="str">
        <f aca="false">IF($B560="","",IFERROR(INDEX('Code Mapping'!$D$5:$D$1753,MATCH($B560,'Code Mapping'!$A$5:$A$1753,0)),"Unmapped"))</f>
        <v/>
      </c>
      <c r="M560" s="33" t="str">
        <f aca="false">IF($B560="","",IFERROR(INDEX('Code Mapping'!$E$5:$E$1753,MATCH($B560,'Code Mapping'!$A$5:$A$1753,0)),"Unmapped"))</f>
        <v/>
      </c>
      <c r="N560" s="33" t="str">
        <f aca="false">IF($F560="","",$F560)</f>
        <v/>
      </c>
    </row>
    <row r="561" customFormat="false" ht="15" hidden="false" customHeight="false" outlineLevel="0" collapsed="false">
      <c r="L561" s="33" t="str">
        <f aca="false">IF($B561="","",IFERROR(INDEX('Code Mapping'!$D$5:$D$1753,MATCH($B561,'Code Mapping'!$A$5:$A$1753,0)),"Unmapped"))</f>
        <v/>
      </c>
      <c r="M561" s="33" t="str">
        <f aca="false">IF($B561="","",IFERROR(INDEX('Code Mapping'!$E$5:$E$1753,MATCH($B561,'Code Mapping'!$A$5:$A$1753,0)),"Unmapped"))</f>
        <v/>
      </c>
      <c r="N561" s="33" t="str">
        <f aca="false">IF($F561="","",$F561)</f>
        <v/>
      </c>
    </row>
    <row r="562" customFormat="false" ht="15" hidden="false" customHeight="false" outlineLevel="0" collapsed="false">
      <c r="L562" s="33" t="str">
        <f aca="false">IF($B562="","",IFERROR(INDEX('Code Mapping'!$D$5:$D$1753,MATCH($B562,'Code Mapping'!$A$5:$A$1753,0)),"Unmapped"))</f>
        <v/>
      </c>
      <c r="M562" s="33" t="str">
        <f aca="false">IF($B562="","",IFERROR(INDEX('Code Mapping'!$E$5:$E$1753,MATCH($B562,'Code Mapping'!$A$5:$A$1753,0)),"Unmapped"))</f>
        <v/>
      </c>
      <c r="N562" s="33" t="str">
        <f aca="false">IF($F562="","",$F562)</f>
        <v/>
      </c>
    </row>
    <row r="563" customFormat="false" ht="15" hidden="false" customHeight="false" outlineLevel="0" collapsed="false">
      <c r="L563" s="33" t="str">
        <f aca="false">IF($B563="","",IFERROR(INDEX('Code Mapping'!$D$5:$D$1753,MATCH($B563,'Code Mapping'!$A$5:$A$1753,0)),"Unmapped"))</f>
        <v/>
      </c>
      <c r="M563" s="33" t="str">
        <f aca="false">IF($B563="","",IFERROR(INDEX('Code Mapping'!$E$5:$E$1753,MATCH($B563,'Code Mapping'!$A$5:$A$1753,0)),"Unmapped"))</f>
        <v/>
      </c>
      <c r="N563" s="33" t="str">
        <f aca="false">IF($F563="","",$F563)</f>
        <v/>
      </c>
    </row>
    <row r="564" customFormat="false" ht="15" hidden="false" customHeight="false" outlineLevel="0" collapsed="false">
      <c r="L564" s="33" t="str">
        <f aca="false">IF($B564="","",IFERROR(INDEX('Code Mapping'!$D$5:$D$1753,MATCH($B564,'Code Mapping'!$A$5:$A$1753,0)),"Unmapped"))</f>
        <v/>
      </c>
      <c r="M564" s="33" t="str">
        <f aca="false">IF($B564="","",IFERROR(INDEX('Code Mapping'!$E$5:$E$1753,MATCH($B564,'Code Mapping'!$A$5:$A$1753,0)),"Unmapped"))</f>
        <v/>
      </c>
      <c r="N564" s="33" t="str">
        <f aca="false">IF($F564="","",$F564)</f>
        <v/>
      </c>
    </row>
    <row r="565" customFormat="false" ht="15" hidden="false" customHeight="false" outlineLevel="0" collapsed="false">
      <c r="L565" s="33" t="str">
        <f aca="false">IF($B565="","",IFERROR(INDEX('Code Mapping'!$D$5:$D$1753,MATCH($B565,'Code Mapping'!$A$5:$A$1753,0)),"Unmapped"))</f>
        <v/>
      </c>
      <c r="M565" s="33" t="str">
        <f aca="false">IF($B565="","",IFERROR(INDEX('Code Mapping'!$E$5:$E$1753,MATCH($B565,'Code Mapping'!$A$5:$A$1753,0)),"Unmapped"))</f>
        <v/>
      </c>
      <c r="N565" s="33" t="str">
        <f aca="false">IF($F565="","",$F565)</f>
        <v/>
      </c>
    </row>
    <row r="566" customFormat="false" ht="15" hidden="false" customHeight="false" outlineLevel="0" collapsed="false">
      <c r="L566" s="33" t="str">
        <f aca="false">IF($B566="","",IFERROR(INDEX('Code Mapping'!$D$5:$D$1753,MATCH($B566,'Code Mapping'!$A$5:$A$1753,0)),"Unmapped"))</f>
        <v/>
      </c>
      <c r="M566" s="33" t="str">
        <f aca="false">IF($B566="","",IFERROR(INDEX('Code Mapping'!$E$5:$E$1753,MATCH($B566,'Code Mapping'!$A$5:$A$1753,0)),"Unmapped"))</f>
        <v/>
      </c>
      <c r="N566" s="33" t="str">
        <f aca="false">IF($F566="","",$F566)</f>
        <v/>
      </c>
    </row>
    <row r="567" customFormat="false" ht="15" hidden="false" customHeight="false" outlineLevel="0" collapsed="false">
      <c r="L567" s="33" t="str">
        <f aca="false">IF($B567="","",IFERROR(INDEX('Code Mapping'!$D$5:$D$1753,MATCH($B567,'Code Mapping'!$A$5:$A$1753,0)),"Unmapped"))</f>
        <v/>
      </c>
      <c r="M567" s="33" t="str">
        <f aca="false">IF($B567="","",IFERROR(INDEX('Code Mapping'!$E$5:$E$1753,MATCH($B567,'Code Mapping'!$A$5:$A$1753,0)),"Unmapped"))</f>
        <v/>
      </c>
      <c r="N567" s="33" t="str">
        <f aca="false">IF($F567="","",$F567)</f>
        <v/>
      </c>
    </row>
    <row r="568" customFormat="false" ht="15" hidden="false" customHeight="false" outlineLevel="0" collapsed="false">
      <c r="L568" s="33" t="str">
        <f aca="false">IF($B568="","",IFERROR(INDEX('Code Mapping'!$D$5:$D$1753,MATCH($B568,'Code Mapping'!$A$5:$A$1753,0)),"Unmapped"))</f>
        <v/>
      </c>
      <c r="M568" s="33" t="str">
        <f aca="false">IF($B568="","",IFERROR(INDEX('Code Mapping'!$E$5:$E$1753,MATCH($B568,'Code Mapping'!$A$5:$A$1753,0)),"Unmapped"))</f>
        <v/>
      </c>
      <c r="N568" s="33" t="str">
        <f aca="false">IF($F568="","",$F568)</f>
        <v/>
      </c>
    </row>
    <row r="569" customFormat="false" ht="15" hidden="false" customHeight="false" outlineLevel="0" collapsed="false">
      <c r="L569" s="33" t="str">
        <f aca="false">IF($B569="","",IFERROR(INDEX('Code Mapping'!$D$5:$D$1753,MATCH($B569,'Code Mapping'!$A$5:$A$1753,0)),"Unmapped"))</f>
        <v/>
      </c>
      <c r="M569" s="33" t="str">
        <f aca="false">IF($B569="","",IFERROR(INDEX('Code Mapping'!$E$5:$E$1753,MATCH($B569,'Code Mapping'!$A$5:$A$1753,0)),"Unmapped"))</f>
        <v/>
      </c>
      <c r="N569" s="33" t="str">
        <f aca="false">IF($F569="","",$F569)</f>
        <v/>
      </c>
    </row>
    <row r="570" customFormat="false" ht="15" hidden="false" customHeight="false" outlineLevel="0" collapsed="false">
      <c r="L570" s="33" t="str">
        <f aca="false">IF($B570="","",IFERROR(INDEX('Code Mapping'!$D$5:$D$1753,MATCH($B570,'Code Mapping'!$A$5:$A$1753,0)),"Unmapped"))</f>
        <v/>
      </c>
      <c r="M570" s="33" t="str">
        <f aca="false">IF($B570="","",IFERROR(INDEX('Code Mapping'!$E$5:$E$1753,MATCH($B570,'Code Mapping'!$A$5:$A$1753,0)),"Unmapped"))</f>
        <v/>
      </c>
      <c r="N570" s="33" t="str">
        <f aca="false">IF($F570="","",$F570)</f>
        <v/>
      </c>
    </row>
    <row r="571" customFormat="false" ht="15" hidden="false" customHeight="false" outlineLevel="0" collapsed="false">
      <c r="L571" s="33" t="str">
        <f aca="false">IF($B571="","",IFERROR(INDEX('Code Mapping'!$D$5:$D$1753,MATCH($B571,'Code Mapping'!$A$5:$A$1753,0)),"Unmapped"))</f>
        <v/>
      </c>
      <c r="M571" s="33" t="str">
        <f aca="false">IF($B571="","",IFERROR(INDEX('Code Mapping'!$E$5:$E$1753,MATCH($B571,'Code Mapping'!$A$5:$A$1753,0)),"Unmapped"))</f>
        <v/>
      </c>
      <c r="N571" s="33" t="str">
        <f aca="false">IF($F571="","",$F571)</f>
        <v/>
      </c>
    </row>
    <row r="572" customFormat="false" ht="15" hidden="false" customHeight="false" outlineLevel="0" collapsed="false">
      <c r="L572" s="33" t="str">
        <f aca="false">IF($B572="","",IFERROR(INDEX('Code Mapping'!$D$5:$D$1753,MATCH($B572,'Code Mapping'!$A$5:$A$1753,0)),"Unmapped"))</f>
        <v/>
      </c>
      <c r="M572" s="33" t="str">
        <f aca="false">IF($B572="","",IFERROR(INDEX('Code Mapping'!$E$5:$E$1753,MATCH($B572,'Code Mapping'!$A$5:$A$1753,0)),"Unmapped"))</f>
        <v/>
      </c>
      <c r="N572" s="33" t="str">
        <f aca="false">IF($F572="","",$F572)</f>
        <v/>
      </c>
    </row>
    <row r="573" customFormat="false" ht="15" hidden="false" customHeight="false" outlineLevel="0" collapsed="false">
      <c r="L573" s="33" t="str">
        <f aca="false">IF($B573="","",IFERROR(INDEX('Code Mapping'!$D$5:$D$1753,MATCH($B573,'Code Mapping'!$A$5:$A$1753,0)),"Unmapped"))</f>
        <v/>
      </c>
      <c r="M573" s="33" t="str">
        <f aca="false">IF($B573="","",IFERROR(INDEX('Code Mapping'!$E$5:$E$1753,MATCH($B573,'Code Mapping'!$A$5:$A$1753,0)),"Unmapped"))</f>
        <v/>
      </c>
      <c r="N573" s="33" t="str">
        <f aca="false">IF($F573="","",$F573)</f>
        <v/>
      </c>
    </row>
    <row r="574" customFormat="false" ht="15" hidden="false" customHeight="false" outlineLevel="0" collapsed="false">
      <c r="L574" s="33" t="str">
        <f aca="false">IF($B574="","",IFERROR(INDEX('Code Mapping'!$D$5:$D$1753,MATCH($B574,'Code Mapping'!$A$5:$A$1753,0)),"Unmapped"))</f>
        <v/>
      </c>
      <c r="M574" s="33" t="str">
        <f aca="false">IF($B574="","",IFERROR(INDEX('Code Mapping'!$E$5:$E$1753,MATCH($B574,'Code Mapping'!$A$5:$A$1753,0)),"Unmapped"))</f>
        <v/>
      </c>
      <c r="N574" s="33" t="str">
        <f aca="false">IF($F574="","",$F574)</f>
        <v/>
      </c>
    </row>
    <row r="575" customFormat="false" ht="15" hidden="false" customHeight="false" outlineLevel="0" collapsed="false">
      <c r="L575" s="33" t="str">
        <f aca="false">IF($B575="","",IFERROR(INDEX('Code Mapping'!$D$5:$D$1753,MATCH($B575,'Code Mapping'!$A$5:$A$1753,0)),"Unmapped"))</f>
        <v/>
      </c>
      <c r="M575" s="33" t="str">
        <f aca="false">IF($B575="","",IFERROR(INDEX('Code Mapping'!$E$5:$E$1753,MATCH($B575,'Code Mapping'!$A$5:$A$1753,0)),"Unmapped"))</f>
        <v/>
      </c>
      <c r="N575" s="33" t="str">
        <f aca="false">IF($F575="","",$F575)</f>
        <v/>
      </c>
    </row>
    <row r="576" customFormat="false" ht="15" hidden="false" customHeight="false" outlineLevel="0" collapsed="false">
      <c r="L576" s="33" t="str">
        <f aca="false">IF($B576="","",IFERROR(INDEX('Code Mapping'!$D$5:$D$1753,MATCH($B576,'Code Mapping'!$A$5:$A$1753,0)),"Unmapped"))</f>
        <v/>
      </c>
      <c r="M576" s="33" t="str">
        <f aca="false">IF($B576="","",IFERROR(INDEX('Code Mapping'!$E$5:$E$1753,MATCH($B576,'Code Mapping'!$A$5:$A$1753,0)),"Unmapped"))</f>
        <v/>
      </c>
      <c r="N576" s="33" t="str">
        <f aca="false">IF($F576="","",$F576)</f>
        <v/>
      </c>
    </row>
    <row r="577" customFormat="false" ht="15" hidden="false" customHeight="false" outlineLevel="0" collapsed="false">
      <c r="L577" s="33" t="str">
        <f aca="false">IF($B577="","",IFERROR(INDEX('Code Mapping'!$D$5:$D$1753,MATCH($B577,'Code Mapping'!$A$5:$A$1753,0)),"Unmapped"))</f>
        <v/>
      </c>
      <c r="M577" s="33" t="str">
        <f aca="false">IF($B577="","",IFERROR(INDEX('Code Mapping'!$E$5:$E$1753,MATCH($B577,'Code Mapping'!$A$5:$A$1753,0)),"Unmapped"))</f>
        <v/>
      </c>
      <c r="N577" s="33" t="str">
        <f aca="false">IF($F577="","",$F577)</f>
        <v/>
      </c>
    </row>
    <row r="578" customFormat="false" ht="15" hidden="false" customHeight="false" outlineLevel="0" collapsed="false">
      <c r="L578" s="33" t="str">
        <f aca="false">IF($B578="","",IFERROR(INDEX('Code Mapping'!$D$5:$D$1753,MATCH($B578,'Code Mapping'!$A$5:$A$1753,0)),"Unmapped"))</f>
        <v/>
      </c>
      <c r="M578" s="33" t="str">
        <f aca="false">IF($B578="","",IFERROR(INDEX('Code Mapping'!$E$5:$E$1753,MATCH($B578,'Code Mapping'!$A$5:$A$1753,0)),"Unmapped"))</f>
        <v/>
      </c>
      <c r="N578" s="33" t="str">
        <f aca="false">IF($F578="","",$F578)</f>
        <v/>
      </c>
    </row>
    <row r="579" customFormat="false" ht="15" hidden="false" customHeight="false" outlineLevel="0" collapsed="false">
      <c r="L579" s="33" t="str">
        <f aca="false">IF($B579="","",IFERROR(INDEX('Code Mapping'!$D$5:$D$1753,MATCH($B579,'Code Mapping'!$A$5:$A$1753,0)),"Unmapped"))</f>
        <v/>
      </c>
      <c r="M579" s="33" t="str">
        <f aca="false">IF($B579="","",IFERROR(INDEX('Code Mapping'!$E$5:$E$1753,MATCH($B579,'Code Mapping'!$A$5:$A$1753,0)),"Unmapped"))</f>
        <v/>
      </c>
      <c r="N579" s="33" t="str">
        <f aca="false">IF($F579="","",$F579)</f>
        <v/>
      </c>
    </row>
    <row r="580" customFormat="false" ht="15" hidden="false" customHeight="false" outlineLevel="0" collapsed="false">
      <c r="L580" s="33" t="str">
        <f aca="false">IF($B580="","",IFERROR(INDEX('Code Mapping'!$D$5:$D$1753,MATCH($B580,'Code Mapping'!$A$5:$A$1753,0)),"Unmapped"))</f>
        <v/>
      </c>
      <c r="M580" s="33" t="str">
        <f aca="false">IF($B580="","",IFERROR(INDEX('Code Mapping'!$E$5:$E$1753,MATCH($B580,'Code Mapping'!$A$5:$A$1753,0)),"Unmapped"))</f>
        <v/>
      </c>
      <c r="N580" s="33" t="str">
        <f aca="false">IF($F580="","",$F580)</f>
        <v/>
      </c>
    </row>
    <row r="581" customFormat="false" ht="15" hidden="false" customHeight="false" outlineLevel="0" collapsed="false">
      <c r="L581" s="33" t="str">
        <f aca="false">IF($B581="","",IFERROR(INDEX('Code Mapping'!$D$5:$D$1753,MATCH($B581,'Code Mapping'!$A$5:$A$1753,0)),"Unmapped"))</f>
        <v/>
      </c>
      <c r="M581" s="33" t="str">
        <f aca="false">IF($B581="","",IFERROR(INDEX('Code Mapping'!$E$5:$E$1753,MATCH($B581,'Code Mapping'!$A$5:$A$1753,0)),"Unmapped"))</f>
        <v/>
      </c>
      <c r="N581" s="33" t="str">
        <f aca="false">IF($F581="","",$F581)</f>
        <v/>
      </c>
    </row>
    <row r="582" customFormat="false" ht="15" hidden="false" customHeight="false" outlineLevel="0" collapsed="false">
      <c r="L582" s="33" t="str">
        <f aca="false">IF($B582="","",IFERROR(INDEX('Code Mapping'!$D$5:$D$1753,MATCH($B582,'Code Mapping'!$A$5:$A$1753,0)),"Unmapped"))</f>
        <v/>
      </c>
      <c r="M582" s="33" t="str">
        <f aca="false">IF($B582="","",IFERROR(INDEX('Code Mapping'!$E$5:$E$1753,MATCH($B582,'Code Mapping'!$A$5:$A$1753,0)),"Unmapped"))</f>
        <v/>
      </c>
      <c r="N582" s="33" t="str">
        <f aca="false">IF($F582="","",$F582)</f>
        <v/>
      </c>
    </row>
    <row r="583" customFormat="false" ht="15" hidden="false" customHeight="false" outlineLevel="0" collapsed="false">
      <c r="L583" s="33" t="str">
        <f aca="false">IF($B583="","",IFERROR(INDEX('Code Mapping'!$D$5:$D$1753,MATCH($B583,'Code Mapping'!$A$5:$A$1753,0)),"Unmapped"))</f>
        <v/>
      </c>
      <c r="M583" s="33" t="str">
        <f aca="false">IF($B583="","",IFERROR(INDEX('Code Mapping'!$E$5:$E$1753,MATCH($B583,'Code Mapping'!$A$5:$A$1753,0)),"Unmapped"))</f>
        <v/>
      </c>
      <c r="N583" s="33" t="str">
        <f aca="false">IF($F583="","",$F583)</f>
        <v/>
      </c>
    </row>
    <row r="584" customFormat="false" ht="15" hidden="false" customHeight="false" outlineLevel="0" collapsed="false">
      <c r="L584" s="33" t="str">
        <f aca="false">IF($B584="","",IFERROR(INDEX('Code Mapping'!$D$5:$D$1753,MATCH($B584,'Code Mapping'!$A$5:$A$1753,0)),"Unmapped"))</f>
        <v/>
      </c>
      <c r="M584" s="33" t="str">
        <f aca="false">IF($B584="","",IFERROR(INDEX('Code Mapping'!$E$5:$E$1753,MATCH($B584,'Code Mapping'!$A$5:$A$1753,0)),"Unmapped"))</f>
        <v/>
      </c>
      <c r="N584" s="33" t="str">
        <f aca="false">IF($F584="","",$F584)</f>
        <v/>
      </c>
    </row>
    <row r="585" customFormat="false" ht="15" hidden="false" customHeight="false" outlineLevel="0" collapsed="false">
      <c r="L585" s="33" t="str">
        <f aca="false">IF($B585="","",IFERROR(INDEX('Code Mapping'!$D$5:$D$1753,MATCH($B585,'Code Mapping'!$A$5:$A$1753,0)),"Unmapped"))</f>
        <v/>
      </c>
      <c r="M585" s="33" t="str">
        <f aca="false">IF($B585="","",IFERROR(INDEX('Code Mapping'!$E$5:$E$1753,MATCH($B585,'Code Mapping'!$A$5:$A$1753,0)),"Unmapped"))</f>
        <v/>
      </c>
      <c r="N585" s="33" t="str">
        <f aca="false">IF($F585="","",$F585)</f>
        <v/>
      </c>
    </row>
    <row r="586" customFormat="false" ht="15" hidden="false" customHeight="false" outlineLevel="0" collapsed="false">
      <c r="L586" s="33" t="str">
        <f aca="false">IF($B586="","",IFERROR(INDEX('Code Mapping'!$D$5:$D$1753,MATCH($B586,'Code Mapping'!$A$5:$A$1753,0)),"Unmapped"))</f>
        <v/>
      </c>
      <c r="M586" s="33" t="str">
        <f aca="false">IF($B586="","",IFERROR(INDEX('Code Mapping'!$E$5:$E$1753,MATCH($B586,'Code Mapping'!$A$5:$A$1753,0)),"Unmapped"))</f>
        <v/>
      </c>
      <c r="N586" s="33" t="str">
        <f aca="false">IF($F586="","",$F586)</f>
        <v/>
      </c>
    </row>
    <row r="587" customFormat="false" ht="15" hidden="false" customHeight="false" outlineLevel="0" collapsed="false">
      <c r="L587" s="33" t="str">
        <f aca="false">IF($B587="","",IFERROR(INDEX('Code Mapping'!$D$5:$D$1753,MATCH($B587,'Code Mapping'!$A$5:$A$1753,0)),"Unmapped"))</f>
        <v/>
      </c>
      <c r="M587" s="33" t="str">
        <f aca="false">IF($B587="","",IFERROR(INDEX('Code Mapping'!$E$5:$E$1753,MATCH($B587,'Code Mapping'!$A$5:$A$1753,0)),"Unmapped"))</f>
        <v/>
      </c>
      <c r="N587" s="33" t="str">
        <f aca="false">IF($F587="","",$F587)</f>
        <v/>
      </c>
    </row>
    <row r="588" customFormat="false" ht="15" hidden="false" customHeight="false" outlineLevel="0" collapsed="false">
      <c r="L588" s="33" t="str">
        <f aca="false">IF($B588="","",IFERROR(INDEX('Code Mapping'!$D$5:$D$1753,MATCH($B588,'Code Mapping'!$A$5:$A$1753,0)),"Unmapped"))</f>
        <v/>
      </c>
      <c r="M588" s="33" t="str">
        <f aca="false">IF($B588="","",IFERROR(INDEX('Code Mapping'!$E$5:$E$1753,MATCH($B588,'Code Mapping'!$A$5:$A$1753,0)),"Unmapped"))</f>
        <v/>
      </c>
      <c r="N588" s="33" t="str">
        <f aca="false">IF($F588="","",$F588)</f>
        <v/>
      </c>
    </row>
    <row r="589" customFormat="false" ht="15" hidden="false" customHeight="false" outlineLevel="0" collapsed="false">
      <c r="L589" s="33" t="str">
        <f aca="false">IF($B589="","",IFERROR(INDEX('Code Mapping'!$D$5:$D$1753,MATCH($B589,'Code Mapping'!$A$5:$A$1753,0)),"Unmapped"))</f>
        <v/>
      </c>
      <c r="M589" s="33" t="str">
        <f aca="false">IF($B589="","",IFERROR(INDEX('Code Mapping'!$E$5:$E$1753,MATCH($B589,'Code Mapping'!$A$5:$A$1753,0)),"Unmapped"))</f>
        <v/>
      </c>
      <c r="N589" s="33" t="str">
        <f aca="false">IF($F589="","",$F589)</f>
        <v/>
      </c>
    </row>
    <row r="590" customFormat="false" ht="15" hidden="false" customHeight="false" outlineLevel="0" collapsed="false">
      <c r="L590" s="33" t="str">
        <f aca="false">IF($B590="","",IFERROR(INDEX('Code Mapping'!$D$5:$D$1753,MATCH($B590,'Code Mapping'!$A$5:$A$1753,0)),"Unmapped"))</f>
        <v/>
      </c>
      <c r="M590" s="33" t="str">
        <f aca="false">IF($B590="","",IFERROR(INDEX('Code Mapping'!$E$5:$E$1753,MATCH($B590,'Code Mapping'!$A$5:$A$1753,0)),"Unmapped"))</f>
        <v/>
      </c>
      <c r="N590" s="33" t="str">
        <f aca="false">IF($F590="","",$F590)</f>
        <v/>
      </c>
    </row>
    <row r="591" customFormat="false" ht="15" hidden="false" customHeight="false" outlineLevel="0" collapsed="false">
      <c r="L591" s="33" t="str">
        <f aca="false">IF($B591="","",IFERROR(INDEX('Code Mapping'!$D$5:$D$1753,MATCH($B591,'Code Mapping'!$A$5:$A$1753,0)),"Unmapped"))</f>
        <v/>
      </c>
      <c r="M591" s="33" t="str">
        <f aca="false">IF($B591="","",IFERROR(INDEX('Code Mapping'!$E$5:$E$1753,MATCH($B591,'Code Mapping'!$A$5:$A$1753,0)),"Unmapped"))</f>
        <v/>
      </c>
      <c r="N591" s="33" t="str">
        <f aca="false">IF($F591="","",$F591)</f>
        <v/>
      </c>
    </row>
    <row r="592" customFormat="false" ht="15" hidden="false" customHeight="false" outlineLevel="0" collapsed="false">
      <c r="L592" s="33" t="str">
        <f aca="false">IF($B592="","",IFERROR(INDEX('Code Mapping'!$D$5:$D$1753,MATCH($B592,'Code Mapping'!$A$5:$A$1753,0)),"Unmapped"))</f>
        <v/>
      </c>
      <c r="M592" s="33" t="str">
        <f aca="false">IF($B592="","",IFERROR(INDEX('Code Mapping'!$E$5:$E$1753,MATCH($B592,'Code Mapping'!$A$5:$A$1753,0)),"Unmapped"))</f>
        <v/>
      </c>
      <c r="N592" s="33" t="str">
        <f aca="false">IF($F592="","",$F592)</f>
        <v/>
      </c>
    </row>
    <row r="593" customFormat="false" ht="15" hidden="false" customHeight="false" outlineLevel="0" collapsed="false">
      <c r="L593" s="33" t="str">
        <f aca="false">IF($B593="","",IFERROR(INDEX('Code Mapping'!$D$5:$D$1753,MATCH($B593,'Code Mapping'!$A$5:$A$1753,0)),"Unmapped"))</f>
        <v/>
      </c>
      <c r="M593" s="33" t="str">
        <f aca="false">IF($B593="","",IFERROR(INDEX('Code Mapping'!$E$5:$E$1753,MATCH($B593,'Code Mapping'!$A$5:$A$1753,0)),"Unmapped"))</f>
        <v/>
      </c>
      <c r="N593" s="33" t="str">
        <f aca="false">IF($F593="","",$F593)</f>
        <v/>
      </c>
    </row>
    <row r="594" customFormat="false" ht="15" hidden="false" customHeight="false" outlineLevel="0" collapsed="false">
      <c r="L594" s="33" t="str">
        <f aca="false">IF($B594="","",IFERROR(INDEX('Code Mapping'!$D$5:$D$1753,MATCH($B594,'Code Mapping'!$A$5:$A$1753,0)),"Unmapped"))</f>
        <v/>
      </c>
      <c r="M594" s="33" t="str">
        <f aca="false">IF($B594="","",IFERROR(INDEX('Code Mapping'!$E$5:$E$1753,MATCH($B594,'Code Mapping'!$A$5:$A$1753,0)),"Unmapped"))</f>
        <v/>
      </c>
      <c r="N594" s="33" t="str">
        <f aca="false">IF($F594="","",$F594)</f>
        <v/>
      </c>
    </row>
    <row r="595" customFormat="false" ht="15" hidden="false" customHeight="false" outlineLevel="0" collapsed="false">
      <c r="L595" s="33" t="str">
        <f aca="false">IF($B595="","",IFERROR(INDEX('Code Mapping'!$D$5:$D$1753,MATCH($B595,'Code Mapping'!$A$5:$A$1753,0)),"Unmapped"))</f>
        <v/>
      </c>
      <c r="M595" s="33" t="str">
        <f aca="false">IF($B595="","",IFERROR(INDEX('Code Mapping'!$E$5:$E$1753,MATCH($B595,'Code Mapping'!$A$5:$A$1753,0)),"Unmapped"))</f>
        <v/>
      </c>
      <c r="N595" s="33" t="str">
        <f aca="false">IF($F595="","",$F595)</f>
        <v/>
      </c>
    </row>
    <row r="596" customFormat="false" ht="15" hidden="false" customHeight="false" outlineLevel="0" collapsed="false">
      <c r="L596" s="33" t="str">
        <f aca="false">IF($B596="","",IFERROR(INDEX('Code Mapping'!$D$5:$D$1753,MATCH($B596,'Code Mapping'!$A$5:$A$1753,0)),"Unmapped"))</f>
        <v/>
      </c>
      <c r="M596" s="33" t="str">
        <f aca="false">IF($B596="","",IFERROR(INDEX('Code Mapping'!$E$5:$E$1753,MATCH($B596,'Code Mapping'!$A$5:$A$1753,0)),"Unmapped"))</f>
        <v/>
      </c>
      <c r="N596" s="33" t="str">
        <f aca="false">IF($F596="","",$F596)</f>
        <v/>
      </c>
    </row>
    <row r="597" customFormat="false" ht="15" hidden="false" customHeight="false" outlineLevel="0" collapsed="false">
      <c r="L597" s="33" t="str">
        <f aca="false">IF($B597="","",IFERROR(INDEX('Code Mapping'!$D$5:$D$1753,MATCH($B597,'Code Mapping'!$A$5:$A$1753,0)),"Unmapped"))</f>
        <v/>
      </c>
      <c r="M597" s="33" t="str">
        <f aca="false">IF($B597="","",IFERROR(INDEX('Code Mapping'!$E$5:$E$1753,MATCH($B597,'Code Mapping'!$A$5:$A$1753,0)),"Unmapped"))</f>
        <v/>
      </c>
      <c r="N597" s="33" t="str">
        <f aca="false">IF($F597="","",$F597)</f>
        <v/>
      </c>
    </row>
    <row r="598" customFormat="false" ht="15" hidden="false" customHeight="false" outlineLevel="0" collapsed="false">
      <c r="L598" s="33" t="str">
        <f aca="false">IF($B598="","",IFERROR(INDEX('Code Mapping'!$D$5:$D$1753,MATCH($B598,'Code Mapping'!$A$5:$A$1753,0)),"Unmapped"))</f>
        <v/>
      </c>
      <c r="M598" s="33" t="str">
        <f aca="false">IF($B598="","",IFERROR(INDEX('Code Mapping'!$E$5:$E$1753,MATCH($B598,'Code Mapping'!$A$5:$A$1753,0)),"Unmapped"))</f>
        <v/>
      </c>
      <c r="N598" s="33" t="str">
        <f aca="false">IF($F598="","",$F598)</f>
        <v/>
      </c>
    </row>
    <row r="599" customFormat="false" ht="15" hidden="false" customHeight="false" outlineLevel="0" collapsed="false">
      <c r="L599" s="33" t="str">
        <f aca="false">IF($B599="","",IFERROR(INDEX('Code Mapping'!$D$5:$D$1753,MATCH($B599,'Code Mapping'!$A$5:$A$1753,0)),"Unmapped"))</f>
        <v/>
      </c>
      <c r="M599" s="33" t="str">
        <f aca="false">IF($B599="","",IFERROR(INDEX('Code Mapping'!$E$5:$E$1753,MATCH($B599,'Code Mapping'!$A$5:$A$1753,0)),"Unmapped"))</f>
        <v/>
      </c>
      <c r="N599" s="33" t="str">
        <f aca="false">IF($F599="","",$F599)</f>
        <v/>
      </c>
    </row>
    <row r="600" customFormat="false" ht="15" hidden="false" customHeight="false" outlineLevel="0" collapsed="false">
      <c r="L600" s="33" t="str">
        <f aca="false">IF($B600="","",IFERROR(INDEX('Code Mapping'!$D$5:$D$1753,MATCH($B600,'Code Mapping'!$A$5:$A$1753,0)),"Unmapped"))</f>
        <v/>
      </c>
      <c r="M600" s="33" t="str">
        <f aca="false">IF($B600="","",IFERROR(INDEX('Code Mapping'!$E$5:$E$1753,MATCH($B600,'Code Mapping'!$A$5:$A$1753,0)),"Unmapped"))</f>
        <v/>
      </c>
      <c r="N600" s="33" t="str">
        <f aca="false">IF($F600="","",$F600)</f>
        <v/>
      </c>
    </row>
    <row r="601" customFormat="false" ht="15" hidden="false" customHeight="false" outlineLevel="0" collapsed="false">
      <c r="L601" s="33" t="str">
        <f aca="false">IF($B601="","",IFERROR(INDEX('Code Mapping'!$D$5:$D$1753,MATCH($B601,'Code Mapping'!$A$5:$A$1753,0)),"Unmapped"))</f>
        <v/>
      </c>
      <c r="M601" s="33" t="str">
        <f aca="false">IF($B601="","",IFERROR(INDEX('Code Mapping'!$E$5:$E$1753,MATCH($B601,'Code Mapping'!$A$5:$A$1753,0)),"Unmapped"))</f>
        <v/>
      </c>
      <c r="N601" s="33" t="str">
        <f aca="false">IF($F601="","",$F601)</f>
        <v/>
      </c>
    </row>
    <row r="602" customFormat="false" ht="15" hidden="false" customHeight="false" outlineLevel="0" collapsed="false">
      <c r="L602" s="33" t="str">
        <f aca="false">IF($B602="","",IFERROR(INDEX('Code Mapping'!$D$5:$D$1753,MATCH($B602,'Code Mapping'!$A$5:$A$1753,0)),"Unmapped"))</f>
        <v/>
      </c>
      <c r="M602" s="33" t="str">
        <f aca="false">IF($B602="","",IFERROR(INDEX('Code Mapping'!$E$5:$E$1753,MATCH($B602,'Code Mapping'!$A$5:$A$1753,0)),"Unmapped"))</f>
        <v/>
      </c>
      <c r="N602" s="33" t="str">
        <f aca="false">IF($F602="","",$F602)</f>
        <v/>
      </c>
    </row>
    <row r="603" customFormat="false" ht="15" hidden="false" customHeight="false" outlineLevel="0" collapsed="false">
      <c r="L603" s="33" t="str">
        <f aca="false">IF($B603="","",IFERROR(INDEX('Code Mapping'!$D$5:$D$1753,MATCH($B603,'Code Mapping'!$A$5:$A$1753,0)),"Unmapped"))</f>
        <v/>
      </c>
      <c r="M603" s="33" t="str">
        <f aca="false">IF($B603="","",IFERROR(INDEX('Code Mapping'!$E$5:$E$1753,MATCH($B603,'Code Mapping'!$A$5:$A$1753,0)),"Unmapped"))</f>
        <v/>
      </c>
      <c r="N603" s="33" t="str">
        <f aca="false">IF($F603="","",$F603)</f>
        <v/>
      </c>
    </row>
    <row r="604" customFormat="false" ht="15" hidden="false" customHeight="false" outlineLevel="0" collapsed="false">
      <c r="L604" s="33" t="str">
        <f aca="false">IF($B604="","",IFERROR(INDEX('Code Mapping'!$D$5:$D$1753,MATCH($B604,'Code Mapping'!$A$5:$A$1753,0)),"Unmapped"))</f>
        <v/>
      </c>
      <c r="M604" s="33" t="str">
        <f aca="false">IF($B604="","",IFERROR(INDEX('Code Mapping'!$E$5:$E$1753,MATCH($B604,'Code Mapping'!$A$5:$A$1753,0)),"Unmapped"))</f>
        <v/>
      </c>
      <c r="N604" s="33" t="str">
        <f aca="false">IF($F604="","",$F604)</f>
        <v/>
      </c>
    </row>
    <row r="605" customFormat="false" ht="15" hidden="false" customHeight="false" outlineLevel="0" collapsed="false">
      <c r="L605" s="33" t="str">
        <f aca="false">IF($B605="","",IFERROR(INDEX('Code Mapping'!$D$5:$D$1753,MATCH($B605,'Code Mapping'!$A$5:$A$1753,0)),"Unmapped"))</f>
        <v/>
      </c>
      <c r="M605" s="33" t="str">
        <f aca="false">IF($B605="","",IFERROR(INDEX('Code Mapping'!$E$5:$E$1753,MATCH($B605,'Code Mapping'!$A$5:$A$1753,0)),"Unmapped"))</f>
        <v/>
      </c>
      <c r="N605" s="33" t="str">
        <f aca="false">IF($F605="","",$F605)</f>
        <v/>
      </c>
    </row>
    <row r="606" customFormat="false" ht="15" hidden="false" customHeight="false" outlineLevel="0" collapsed="false">
      <c r="L606" s="33" t="str">
        <f aca="false">IF($B606="","",IFERROR(INDEX('Code Mapping'!$D$5:$D$1753,MATCH($B606,'Code Mapping'!$A$5:$A$1753,0)),"Unmapped"))</f>
        <v/>
      </c>
      <c r="M606" s="33" t="str">
        <f aca="false">IF($B606="","",IFERROR(INDEX('Code Mapping'!$E$5:$E$1753,MATCH($B606,'Code Mapping'!$A$5:$A$1753,0)),"Unmapped"))</f>
        <v/>
      </c>
      <c r="N606" s="33" t="str">
        <f aca="false">IF($F606="","",$F606)</f>
        <v/>
      </c>
    </row>
    <row r="607" customFormat="false" ht="15" hidden="false" customHeight="false" outlineLevel="0" collapsed="false">
      <c r="L607" s="33" t="str">
        <f aca="false">IF($B607="","",IFERROR(INDEX('Code Mapping'!$D$5:$D$1753,MATCH($B607,'Code Mapping'!$A$5:$A$1753,0)),"Unmapped"))</f>
        <v/>
      </c>
      <c r="M607" s="33" t="str">
        <f aca="false">IF($B607="","",IFERROR(INDEX('Code Mapping'!$E$5:$E$1753,MATCH($B607,'Code Mapping'!$A$5:$A$1753,0)),"Unmapped"))</f>
        <v/>
      </c>
      <c r="N607" s="33" t="str">
        <f aca="false">IF($F607="","",$F607)</f>
        <v/>
      </c>
    </row>
    <row r="608" customFormat="false" ht="15" hidden="false" customHeight="false" outlineLevel="0" collapsed="false">
      <c r="L608" s="33" t="str">
        <f aca="false">IF($B608="","",IFERROR(INDEX('Code Mapping'!$D$5:$D$1753,MATCH($B608,'Code Mapping'!$A$5:$A$1753,0)),"Unmapped"))</f>
        <v/>
      </c>
      <c r="M608" s="33" t="str">
        <f aca="false">IF($B608="","",IFERROR(INDEX('Code Mapping'!$E$5:$E$1753,MATCH($B608,'Code Mapping'!$A$5:$A$1753,0)),"Unmapped"))</f>
        <v/>
      </c>
      <c r="N608" s="33" t="str">
        <f aca="false">IF($F608="","",$F608)</f>
        <v/>
      </c>
    </row>
    <row r="609" customFormat="false" ht="15" hidden="false" customHeight="false" outlineLevel="0" collapsed="false">
      <c r="L609" s="33" t="str">
        <f aca="false">IF($B609="","",IFERROR(INDEX('Code Mapping'!$D$5:$D$1753,MATCH($B609,'Code Mapping'!$A$5:$A$1753,0)),"Unmapped"))</f>
        <v/>
      </c>
      <c r="M609" s="33" t="str">
        <f aca="false">IF($B609="","",IFERROR(INDEX('Code Mapping'!$E$5:$E$1753,MATCH($B609,'Code Mapping'!$A$5:$A$1753,0)),"Unmapped"))</f>
        <v/>
      </c>
      <c r="N609" s="33" t="str">
        <f aca="false">IF($F609="","",$F609)</f>
        <v/>
      </c>
    </row>
    <row r="610" customFormat="false" ht="15" hidden="false" customHeight="false" outlineLevel="0" collapsed="false">
      <c r="L610" s="33" t="str">
        <f aca="false">IF($B610="","",IFERROR(INDEX('Code Mapping'!$D$5:$D$1753,MATCH($B610,'Code Mapping'!$A$5:$A$1753,0)),"Unmapped"))</f>
        <v/>
      </c>
      <c r="M610" s="33" t="str">
        <f aca="false">IF($B610="","",IFERROR(INDEX('Code Mapping'!$E$5:$E$1753,MATCH($B610,'Code Mapping'!$A$5:$A$1753,0)),"Unmapped"))</f>
        <v/>
      </c>
      <c r="N610" s="33" t="str">
        <f aca="false">IF($F610="","",$F610)</f>
        <v/>
      </c>
    </row>
    <row r="611" customFormat="false" ht="15" hidden="false" customHeight="false" outlineLevel="0" collapsed="false">
      <c r="L611" s="33" t="str">
        <f aca="false">IF($B611="","",IFERROR(INDEX('Code Mapping'!$D$5:$D$1753,MATCH($B611,'Code Mapping'!$A$5:$A$1753,0)),"Unmapped"))</f>
        <v/>
      </c>
      <c r="M611" s="33" t="str">
        <f aca="false">IF($B611="","",IFERROR(INDEX('Code Mapping'!$E$5:$E$1753,MATCH($B611,'Code Mapping'!$A$5:$A$1753,0)),"Unmapped"))</f>
        <v/>
      </c>
      <c r="N611" s="33" t="str">
        <f aca="false">IF($F611="","",$F611)</f>
        <v/>
      </c>
    </row>
    <row r="612" customFormat="false" ht="15" hidden="false" customHeight="false" outlineLevel="0" collapsed="false">
      <c r="L612" s="33" t="str">
        <f aca="false">IF($B612="","",IFERROR(INDEX('Code Mapping'!$D$5:$D$1753,MATCH($B612,'Code Mapping'!$A$5:$A$1753,0)),"Unmapped"))</f>
        <v/>
      </c>
      <c r="M612" s="33" t="str">
        <f aca="false">IF($B612="","",IFERROR(INDEX('Code Mapping'!$E$5:$E$1753,MATCH($B612,'Code Mapping'!$A$5:$A$1753,0)),"Unmapped"))</f>
        <v/>
      </c>
      <c r="N612" s="33" t="str">
        <f aca="false">IF($F612="","",$F612)</f>
        <v/>
      </c>
    </row>
    <row r="613" customFormat="false" ht="15" hidden="false" customHeight="false" outlineLevel="0" collapsed="false">
      <c r="L613" s="33" t="str">
        <f aca="false">IF($B613="","",IFERROR(INDEX('Code Mapping'!$D$5:$D$1753,MATCH($B613,'Code Mapping'!$A$5:$A$1753,0)),"Unmapped"))</f>
        <v/>
      </c>
      <c r="M613" s="33" t="str">
        <f aca="false">IF($B613="","",IFERROR(INDEX('Code Mapping'!$E$5:$E$1753,MATCH($B613,'Code Mapping'!$A$5:$A$1753,0)),"Unmapped"))</f>
        <v/>
      </c>
      <c r="N613" s="33" t="str">
        <f aca="false">IF($F613="","",$F613)</f>
        <v/>
      </c>
    </row>
    <row r="614" customFormat="false" ht="15" hidden="false" customHeight="false" outlineLevel="0" collapsed="false">
      <c r="L614" s="33" t="str">
        <f aca="false">IF($B614="","",IFERROR(INDEX('Code Mapping'!$D$5:$D$1753,MATCH($B614,'Code Mapping'!$A$5:$A$1753,0)),"Unmapped"))</f>
        <v/>
      </c>
      <c r="M614" s="33" t="str">
        <f aca="false">IF($B614="","",IFERROR(INDEX('Code Mapping'!$E$5:$E$1753,MATCH($B614,'Code Mapping'!$A$5:$A$1753,0)),"Unmapped"))</f>
        <v/>
      </c>
      <c r="N614" s="33" t="str">
        <f aca="false">IF($F614="","",$F614)</f>
        <v/>
      </c>
    </row>
    <row r="615" customFormat="false" ht="15" hidden="false" customHeight="false" outlineLevel="0" collapsed="false">
      <c r="L615" s="33" t="str">
        <f aca="false">IF($B615="","",IFERROR(INDEX('Code Mapping'!$D$5:$D$1753,MATCH($B615,'Code Mapping'!$A$5:$A$1753,0)),"Unmapped"))</f>
        <v/>
      </c>
      <c r="M615" s="33" t="str">
        <f aca="false">IF($B615="","",IFERROR(INDEX('Code Mapping'!$E$5:$E$1753,MATCH($B615,'Code Mapping'!$A$5:$A$1753,0)),"Unmapped"))</f>
        <v/>
      </c>
      <c r="N615" s="33" t="str">
        <f aca="false">IF($F615="","",$F615)</f>
        <v/>
      </c>
    </row>
    <row r="616" customFormat="false" ht="15" hidden="false" customHeight="false" outlineLevel="0" collapsed="false">
      <c r="L616" s="33" t="str">
        <f aca="false">IF($B616="","",IFERROR(INDEX('Code Mapping'!$D$5:$D$1753,MATCH($B616,'Code Mapping'!$A$5:$A$1753,0)),"Unmapped"))</f>
        <v/>
      </c>
      <c r="M616" s="33" t="str">
        <f aca="false">IF($B616="","",IFERROR(INDEX('Code Mapping'!$E$5:$E$1753,MATCH($B616,'Code Mapping'!$A$5:$A$1753,0)),"Unmapped"))</f>
        <v/>
      </c>
      <c r="N616" s="33" t="str">
        <f aca="false">IF($F616="","",$F616)</f>
        <v/>
      </c>
    </row>
    <row r="617" customFormat="false" ht="15" hidden="false" customHeight="false" outlineLevel="0" collapsed="false">
      <c r="L617" s="33" t="str">
        <f aca="false">IF($B617="","",IFERROR(INDEX('Code Mapping'!$D$5:$D$1753,MATCH($B617,'Code Mapping'!$A$5:$A$1753,0)),"Unmapped"))</f>
        <v/>
      </c>
      <c r="M617" s="33" t="str">
        <f aca="false">IF($B617="","",IFERROR(INDEX('Code Mapping'!$E$5:$E$1753,MATCH($B617,'Code Mapping'!$A$5:$A$1753,0)),"Unmapped"))</f>
        <v/>
      </c>
      <c r="N617" s="33" t="str">
        <f aca="false">IF($F617="","",$F617)</f>
        <v/>
      </c>
    </row>
    <row r="618" customFormat="false" ht="15" hidden="false" customHeight="false" outlineLevel="0" collapsed="false">
      <c r="L618" s="33" t="str">
        <f aca="false">IF($B618="","",IFERROR(INDEX('Code Mapping'!$D$5:$D$1753,MATCH($B618,'Code Mapping'!$A$5:$A$1753,0)),"Unmapped"))</f>
        <v/>
      </c>
      <c r="M618" s="33" t="str">
        <f aca="false">IF($B618="","",IFERROR(INDEX('Code Mapping'!$E$5:$E$1753,MATCH($B618,'Code Mapping'!$A$5:$A$1753,0)),"Unmapped"))</f>
        <v/>
      </c>
      <c r="N618" s="33" t="str">
        <f aca="false">IF($F618="","",$F618)</f>
        <v/>
      </c>
    </row>
    <row r="619" customFormat="false" ht="15" hidden="false" customHeight="false" outlineLevel="0" collapsed="false">
      <c r="L619" s="33" t="str">
        <f aca="false">IF($B619="","",IFERROR(INDEX('Code Mapping'!$D$5:$D$1753,MATCH($B619,'Code Mapping'!$A$5:$A$1753,0)),"Unmapped"))</f>
        <v/>
      </c>
      <c r="M619" s="33" t="str">
        <f aca="false">IF($B619="","",IFERROR(INDEX('Code Mapping'!$E$5:$E$1753,MATCH($B619,'Code Mapping'!$A$5:$A$1753,0)),"Unmapped"))</f>
        <v/>
      </c>
      <c r="N619" s="33" t="str">
        <f aca="false">IF($F619="","",$F619)</f>
        <v/>
      </c>
    </row>
    <row r="620" customFormat="false" ht="15" hidden="false" customHeight="false" outlineLevel="0" collapsed="false">
      <c r="L620" s="33" t="str">
        <f aca="false">IF($B620="","",IFERROR(INDEX('Code Mapping'!$D$5:$D$1753,MATCH($B620,'Code Mapping'!$A$5:$A$1753,0)),"Unmapped"))</f>
        <v/>
      </c>
      <c r="M620" s="33" t="str">
        <f aca="false">IF($B620="","",IFERROR(INDEX('Code Mapping'!$E$5:$E$1753,MATCH($B620,'Code Mapping'!$A$5:$A$1753,0)),"Unmapped"))</f>
        <v/>
      </c>
      <c r="N620" s="33" t="str">
        <f aca="false">IF($F620="","",$F620)</f>
        <v/>
      </c>
    </row>
    <row r="621" customFormat="false" ht="15" hidden="false" customHeight="false" outlineLevel="0" collapsed="false">
      <c r="L621" s="33" t="str">
        <f aca="false">IF($B621="","",IFERROR(INDEX('Code Mapping'!$D$5:$D$1753,MATCH($B621,'Code Mapping'!$A$5:$A$1753,0)),"Unmapped"))</f>
        <v/>
      </c>
      <c r="M621" s="33" t="str">
        <f aca="false">IF($B621="","",IFERROR(INDEX('Code Mapping'!$E$5:$E$1753,MATCH($B621,'Code Mapping'!$A$5:$A$1753,0)),"Unmapped"))</f>
        <v/>
      </c>
      <c r="N621" s="33" t="str">
        <f aca="false">IF($F621="","",$F621)</f>
        <v/>
      </c>
    </row>
    <row r="622" customFormat="false" ht="15" hidden="false" customHeight="false" outlineLevel="0" collapsed="false">
      <c r="L622" s="33" t="str">
        <f aca="false">IF($B622="","",IFERROR(INDEX('Code Mapping'!$D$5:$D$1753,MATCH($B622,'Code Mapping'!$A$5:$A$1753,0)),"Unmapped"))</f>
        <v/>
      </c>
      <c r="M622" s="33" t="str">
        <f aca="false">IF($B622="","",IFERROR(INDEX('Code Mapping'!$E$5:$E$1753,MATCH($B622,'Code Mapping'!$A$5:$A$1753,0)),"Unmapped"))</f>
        <v/>
      </c>
      <c r="N622" s="33" t="str">
        <f aca="false">IF($F622="","",$F622)</f>
        <v/>
      </c>
    </row>
    <row r="623" customFormat="false" ht="15" hidden="false" customHeight="false" outlineLevel="0" collapsed="false">
      <c r="L623" s="33" t="str">
        <f aca="false">IF($B623="","",IFERROR(INDEX('Code Mapping'!$D$5:$D$1753,MATCH($B623,'Code Mapping'!$A$5:$A$1753,0)),"Unmapped"))</f>
        <v/>
      </c>
      <c r="M623" s="33" t="str">
        <f aca="false">IF($B623="","",IFERROR(INDEX('Code Mapping'!$E$5:$E$1753,MATCH($B623,'Code Mapping'!$A$5:$A$1753,0)),"Unmapped"))</f>
        <v/>
      </c>
      <c r="N623" s="33" t="str">
        <f aca="false">IF($F623="","",$F623)</f>
        <v/>
      </c>
    </row>
    <row r="624" customFormat="false" ht="15" hidden="false" customHeight="false" outlineLevel="0" collapsed="false">
      <c r="L624" s="33" t="str">
        <f aca="false">IF($B624="","",IFERROR(INDEX('Code Mapping'!$D$5:$D$1753,MATCH($B624,'Code Mapping'!$A$5:$A$1753,0)),"Unmapped"))</f>
        <v/>
      </c>
      <c r="M624" s="33" t="str">
        <f aca="false">IF($B624="","",IFERROR(INDEX('Code Mapping'!$E$5:$E$1753,MATCH($B624,'Code Mapping'!$A$5:$A$1753,0)),"Unmapped"))</f>
        <v/>
      </c>
      <c r="N624" s="33" t="str">
        <f aca="false">IF($F624="","",$F624)</f>
        <v/>
      </c>
    </row>
    <row r="625" customFormat="false" ht="15" hidden="false" customHeight="false" outlineLevel="0" collapsed="false">
      <c r="L625" s="33" t="str">
        <f aca="false">IF($B625="","",IFERROR(INDEX('Code Mapping'!$D$5:$D$1753,MATCH($B625,'Code Mapping'!$A$5:$A$1753,0)),"Unmapped"))</f>
        <v/>
      </c>
      <c r="M625" s="33" t="str">
        <f aca="false">IF($B625="","",IFERROR(INDEX('Code Mapping'!$E$5:$E$1753,MATCH($B625,'Code Mapping'!$A$5:$A$1753,0)),"Unmapped"))</f>
        <v/>
      </c>
      <c r="N625" s="33" t="str">
        <f aca="false">IF($F625="","",$F625)</f>
        <v/>
      </c>
    </row>
    <row r="626" customFormat="false" ht="15" hidden="false" customHeight="false" outlineLevel="0" collapsed="false">
      <c r="L626" s="33" t="str">
        <f aca="false">IF($B626="","",IFERROR(INDEX('Code Mapping'!$D$5:$D$1753,MATCH($B626,'Code Mapping'!$A$5:$A$1753,0)),"Unmapped"))</f>
        <v/>
      </c>
      <c r="M626" s="33" t="str">
        <f aca="false">IF($B626="","",IFERROR(INDEX('Code Mapping'!$E$5:$E$1753,MATCH($B626,'Code Mapping'!$A$5:$A$1753,0)),"Unmapped"))</f>
        <v/>
      </c>
      <c r="N626" s="33" t="str">
        <f aca="false">IF($F626="","",$F626)</f>
        <v/>
      </c>
    </row>
    <row r="627" customFormat="false" ht="15" hidden="false" customHeight="false" outlineLevel="0" collapsed="false">
      <c r="L627" s="33" t="str">
        <f aca="false">IF($B627="","",IFERROR(INDEX('Code Mapping'!$D$5:$D$1753,MATCH($B627,'Code Mapping'!$A$5:$A$1753,0)),"Unmapped"))</f>
        <v/>
      </c>
      <c r="M627" s="33" t="str">
        <f aca="false">IF($B627="","",IFERROR(INDEX('Code Mapping'!$E$5:$E$1753,MATCH($B627,'Code Mapping'!$A$5:$A$1753,0)),"Unmapped"))</f>
        <v/>
      </c>
      <c r="N627" s="33" t="str">
        <f aca="false">IF($F627="","",$F627)</f>
        <v/>
      </c>
    </row>
    <row r="628" customFormat="false" ht="15" hidden="false" customHeight="false" outlineLevel="0" collapsed="false">
      <c r="L628" s="33" t="str">
        <f aca="false">IF($B628="","",IFERROR(INDEX('Code Mapping'!$D$5:$D$1753,MATCH($B628,'Code Mapping'!$A$5:$A$1753,0)),"Unmapped"))</f>
        <v/>
      </c>
      <c r="M628" s="33" t="str">
        <f aca="false">IF($B628="","",IFERROR(INDEX('Code Mapping'!$E$5:$E$1753,MATCH($B628,'Code Mapping'!$A$5:$A$1753,0)),"Unmapped"))</f>
        <v/>
      </c>
      <c r="N628" s="33" t="str">
        <f aca="false">IF($F628="","",$F628)</f>
        <v/>
      </c>
    </row>
    <row r="629" customFormat="false" ht="15" hidden="false" customHeight="false" outlineLevel="0" collapsed="false">
      <c r="L629" s="33" t="str">
        <f aca="false">IF($B629="","",IFERROR(INDEX('Code Mapping'!$D$5:$D$1753,MATCH($B629,'Code Mapping'!$A$5:$A$1753,0)),"Unmapped"))</f>
        <v/>
      </c>
      <c r="M629" s="33" t="str">
        <f aca="false">IF($B629="","",IFERROR(INDEX('Code Mapping'!$E$5:$E$1753,MATCH($B629,'Code Mapping'!$A$5:$A$1753,0)),"Unmapped"))</f>
        <v/>
      </c>
      <c r="N629" s="33" t="str">
        <f aca="false">IF($F629="","",$F629)</f>
        <v/>
      </c>
    </row>
    <row r="630" customFormat="false" ht="15" hidden="false" customHeight="false" outlineLevel="0" collapsed="false">
      <c r="L630" s="33" t="str">
        <f aca="false">IF($B630="","",IFERROR(INDEX('Code Mapping'!$D$5:$D$1753,MATCH($B630,'Code Mapping'!$A$5:$A$1753,0)),"Unmapped"))</f>
        <v/>
      </c>
      <c r="M630" s="33" t="str">
        <f aca="false">IF($B630="","",IFERROR(INDEX('Code Mapping'!$E$5:$E$1753,MATCH($B630,'Code Mapping'!$A$5:$A$1753,0)),"Unmapped"))</f>
        <v/>
      </c>
      <c r="N630" s="33" t="str">
        <f aca="false">IF($F630="","",$F630)</f>
        <v/>
      </c>
    </row>
    <row r="631" customFormat="false" ht="15" hidden="false" customHeight="false" outlineLevel="0" collapsed="false">
      <c r="L631" s="33" t="str">
        <f aca="false">IF($B631="","",IFERROR(INDEX('Code Mapping'!$D$5:$D$1753,MATCH($B631,'Code Mapping'!$A$5:$A$1753,0)),"Unmapped"))</f>
        <v/>
      </c>
      <c r="M631" s="33" t="str">
        <f aca="false">IF($B631="","",IFERROR(INDEX('Code Mapping'!$E$5:$E$1753,MATCH($B631,'Code Mapping'!$A$5:$A$1753,0)),"Unmapped"))</f>
        <v/>
      </c>
      <c r="N631" s="33" t="str">
        <f aca="false">IF($F631="","",$F631)</f>
        <v/>
      </c>
    </row>
    <row r="632" customFormat="false" ht="15" hidden="false" customHeight="false" outlineLevel="0" collapsed="false">
      <c r="L632" s="33" t="str">
        <f aca="false">IF($B632="","",IFERROR(INDEX('Code Mapping'!$D$5:$D$1753,MATCH($B632,'Code Mapping'!$A$5:$A$1753,0)),"Unmapped"))</f>
        <v/>
      </c>
      <c r="M632" s="33" t="str">
        <f aca="false">IF($B632="","",IFERROR(INDEX('Code Mapping'!$E$5:$E$1753,MATCH($B632,'Code Mapping'!$A$5:$A$1753,0)),"Unmapped"))</f>
        <v/>
      </c>
      <c r="N632" s="33" t="str">
        <f aca="false">IF($F632="","",$F632)</f>
        <v/>
      </c>
    </row>
    <row r="633" customFormat="false" ht="15" hidden="false" customHeight="false" outlineLevel="0" collapsed="false">
      <c r="L633" s="33" t="str">
        <f aca="false">IF($B633="","",IFERROR(INDEX('Code Mapping'!$D$5:$D$1753,MATCH($B633,'Code Mapping'!$A$5:$A$1753,0)),"Unmapped"))</f>
        <v/>
      </c>
      <c r="M633" s="33" t="str">
        <f aca="false">IF($B633="","",IFERROR(INDEX('Code Mapping'!$E$5:$E$1753,MATCH($B633,'Code Mapping'!$A$5:$A$1753,0)),"Unmapped"))</f>
        <v/>
      </c>
      <c r="N633" s="33" t="str">
        <f aca="false">IF($F633="","",$F633)</f>
        <v/>
      </c>
    </row>
    <row r="634" customFormat="false" ht="15" hidden="false" customHeight="false" outlineLevel="0" collapsed="false">
      <c r="L634" s="33" t="str">
        <f aca="false">IF($B634="","",IFERROR(INDEX('Code Mapping'!$D$5:$D$1753,MATCH($B634,'Code Mapping'!$A$5:$A$1753,0)),"Unmapped"))</f>
        <v/>
      </c>
      <c r="M634" s="33" t="str">
        <f aca="false">IF($B634="","",IFERROR(INDEX('Code Mapping'!$E$5:$E$1753,MATCH($B634,'Code Mapping'!$A$5:$A$1753,0)),"Unmapped"))</f>
        <v/>
      </c>
      <c r="N634" s="33" t="str">
        <f aca="false">IF($F634="","",$F634)</f>
        <v/>
      </c>
    </row>
    <row r="635" customFormat="false" ht="15" hidden="false" customHeight="false" outlineLevel="0" collapsed="false">
      <c r="L635" s="33" t="str">
        <f aca="false">IF($B635="","",IFERROR(INDEX('Code Mapping'!$D$5:$D$1753,MATCH($B635,'Code Mapping'!$A$5:$A$1753,0)),"Unmapped"))</f>
        <v/>
      </c>
      <c r="M635" s="33" t="str">
        <f aca="false">IF($B635="","",IFERROR(INDEX('Code Mapping'!$E$5:$E$1753,MATCH($B635,'Code Mapping'!$A$5:$A$1753,0)),"Unmapped"))</f>
        <v/>
      </c>
      <c r="N635" s="33" t="str">
        <f aca="false">IF($F635="","",$F635)</f>
        <v/>
      </c>
    </row>
    <row r="636" customFormat="false" ht="15" hidden="false" customHeight="false" outlineLevel="0" collapsed="false">
      <c r="L636" s="33" t="str">
        <f aca="false">IF($B636="","",IFERROR(INDEX('Code Mapping'!$D$5:$D$1753,MATCH($B636,'Code Mapping'!$A$5:$A$1753,0)),"Unmapped"))</f>
        <v/>
      </c>
      <c r="M636" s="33" t="str">
        <f aca="false">IF($B636="","",IFERROR(INDEX('Code Mapping'!$E$5:$E$1753,MATCH($B636,'Code Mapping'!$A$5:$A$1753,0)),"Unmapped"))</f>
        <v/>
      </c>
      <c r="N636" s="33" t="str">
        <f aca="false">IF($F636="","",$F636)</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36"/>
    <col collapsed="false" customWidth="true" hidden="false" outlineLevel="0" max="4" min="4" style="0" width="12"/>
    <col collapsed="false" customWidth="true" hidden="false" outlineLevel="0" max="5" min="5" style="0" width="9"/>
    <col collapsed="false" customWidth="true" hidden="false" outlineLevel="0" max="6" min="6" style="0" width="26"/>
    <col collapsed="false" customWidth="true" hidden="false" outlineLevel="0" max="7" min="7" style="0" width="12"/>
    <col collapsed="false" customWidth="true" hidden="false" outlineLevel="0" max="8" min="8" style="0" width="11"/>
    <col collapsed="false" customWidth="true" hidden="false" outlineLevel="0" max="9" min="9" style="0" width="12"/>
    <col collapsed="false" customWidth="true" hidden="false" outlineLevel="0" max="10" min="10" style="0" width="10"/>
    <col collapsed="false" customWidth="true" hidden="false" outlineLevel="0" max="11" min="11" style="0" width="14"/>
    <col collapsed="false" customWidth="true" hidden="false" outlineLevel="0" max="12" min="12" style="0" width="26"/>
    <col collapsed="false" customWidth="true" hidden="false" outlineLevel="0" max="13" min="13" style="0" width="20"/>
    <col collapsed="false" customWidth="true" hidden="false" outlineLevel="0" max="14" min="14" style="0" width="26"/>
  </cols>
  <sheetData>
    <row r="1" customFormat="false" ht="19.7" hidden="false" customHeight="false" outlineLevel="0" collapsed="false">
      <c r="A1" s="26" t="s">
        <v>2145</v>
      </c>
    </row>
    <row r="2" customFormat="false" ht="15" hidden="false" customHeight="false" outlineLevel="0" collapsed="false">
      <c r="A2" s="8" t="s">
        <v>2146</v>
      </c>
    </row>
    <row r="4" customFormat="false" ht="23.85" hidden="false" customHeight="false" outlineLevel="0" collapsed="false">
      <c r="A4" s="30" t="s">
        <v>2134</v>
      </c>
      <c r="B4" s="30" t="s">
        <v>2135</v>
      </c>
      <c r="C4" s="30" t="s">
        <v>2136</v>
      </c>
      <c r="D4" s="30" t="s">
        <v>2137</v>
      </c>
      <c r="E4" s="30" t="s">
        <v>2138</v>
      </c>
      <c r="F4" s="30" t="s">
        <v>2139</v>
      </c>
      <c r="G4" s="30" t="s">
        <v>2147</v>
      </c>
      <c r="H4" s="30" t="s">
        <v>2141</v>
      </c>
      <c r="I4" s="30" t="s">
        <v>2142</v>
      </c>
      <c r="J4" s="30" t="s">
        <v>2143</v>
      </c>
      <c r="K4" s="30" t="s">
        <v>2144</v>
      </c>
      <c r="L4" s="30" t="s">
        <v>16</v>
      </c>
      <c r="M4" s="30" t="s">
        <v>21</v>
      </c>
      <c r="N4" s="30" t="s">
        <v>33</v>
      </c>
    </row>
    <row r="5" customFormat="false" ht="15" hidden="false" customHeight="false" outlineLevel="0" collapsed="false">
      <c r="A5" s="33" t="n">
        <v>8070</v>
      </c>
      <c r="B5" s="33" t="s">
        <v>199</v>
      </c>
      <c r="C5" s="33" t="s">
        <v>200</v>
      </c>
      <c r="D5" s="33"/>
      <c r="E5" s="33" t="n">
        <v>133</v>
      </c>
      <c r="F5" s="33" t="s">
        <v>35</v>
      </c>
      <c r="G5" s="33" t="s">
        <v>67</v>
      </c>
      <c r="H5" s="33" t="n">
        <v>4</v>
      </c>
      <c r="I5" s="33" t="n">
        <v>21</v>
      </c>
      <c r="J5" s="33" t="n">
        <v>21</v>
      </c>
      <c r="K5" s="32" t="n">
        <v>147.75</v>
      </c>
      <c r="L5" s="33" t="str">
        <f aca="false">IF($B5="","",IFERROR(INDEX('Code Mapping'!$D$5:$D$1753,MATCH($B5,'Code Mapping'!$A$5:$A$1753,0)),"Unmapped"))</f>
        <v>Aspire</v>
      </c>
      <c r="M5" s="33" t="str">
        <f aca="false">IF($B5="","",IFERROR(INDEX('Code Mapping'!$E$5:$E$1753,MATCH($B5,'Code Mapping'!$A$5:$A$1753,0)),"Unmapped"))</f>
        <v>Corporate discount</v>
      </c>
      <c r="N5" s="33" t="str">
        <f aca="false">IF($F5="","",$F5)</f>
        <v>Urban Arena</v>
      </c>
    </row>
    <row r="6" customFormat="false" ht="15" hidden="false" customHeight="false" outlineLevel="0" collapsed="false">
      <c r="A6" s="33" t="n">
        <v>8079</v>
      </c>
      <c r="B6" s="33" t="s">
        <v>154</v>
      </c>
      <c r="C6" s="33" t="s">
        <v>155</v>
      </c>
      <c r="D6" s="33" t="s">
        <v>140</v>
      </c>
      <c r="E6" s="33" t="n">
        <v>133</v>
      </c>
      <c r="F6" s="33" t="s">
        <v>35</v>
      </c>
      <c r="G6" s="33" t="s">
        <v>67</v>
      </c>
      <c r="H6" s="33" t="n">
        <v>27</v>
      </c>
      <c r="I6" s="33" t="n">
        <v>113</v>
      </c>
      <c r="J6" s="33" t="n">
        <v>113</v>
      </c>
      <c r="K6" s="32" t="n">
        <v>947.7</v>
      </c>
      <c r="L6" s="33" t="str">
        <f aca="false">IF($B6="","",IFERROR(INDEX('Code Mapping'!$D$5:$D$1753,MATCH($B6,'Code Mapping'!$A$5:$A$1753,0)),"Unmapped"))</f>
        <v>Qatar Foundation</v>
      </c>
      <c r="M6" s="33" t="str">
        <f aca="false">IF($B6="","",IFERROR(INDEX('Code Mapping'!$E$5:$E$1753,MATCH($B6,'Code Mapping'!$A$5:$A$1753,0)),"Unmapped"))</f>
        <v>Corporate discount</v>
      </c>
      <c r="N6" s="33" t="str">
        <f aca="false">IF($F6="","",$F6)</f>
        <v>Urban Arena</v>
      </c>
    </row>
    <row r="7" customFormat="false" ht="15" hidden="false" customHeight="false" outlineLevel="0" collapsed="false">
      <c r="A7" s="33" t="n">
        <v>8077</v>
      </c>
      <c r="B7" s="33" t="s">
        <v>219</v>
      </c>
      <c r="C7" s="33" t="s">
        <v>220</v>
      </c>
      <c r="D7" s="33"/>
      <c r="E7" s="33" t="n">
        <v>133</v>
      </c>
      <c r="F7" s="33" t="s">
        <v>35</v>
      </c>
      <c r="G7" s="33" t="s">
        <v>67</v>
      </c>
      <c r="H7" s="33" t="n">
        <v>5</v>
      </c>
      <c r="I7" s="33" t="n">
        <v>21</v>
      </c>
      <c r="J7" s="33" t="n">
        <v>21</v>
      </c>
      <c r="K7" s="32" t="n">
        <v>174</v>
      </c>
      <c r="L7" s="33" t="str">
        <f aca="false">IF($B7="","",IFERROR(INDEX('Code Mapping'!$D$5:$D$1753,MATCH($B7,'Code Mapping'!$A$5:$A$1753,0)),"Unmapped"))</f>
        <v>QIB</v>
      </c>
      <c r="M7" s="33" t="str">
        <f aca="false">IF($B7="","",IFERROR(INDEX('Code Mapping'!$E$5:$E$1753,MATCH($B7,'Code Mapping'!$A$5:$A$1753,0)),"Unmapped"))</f>
        <v>Corporate discount</v>
      </c>
      <c r="N7" s="33" t="str">
        <f aca="false">IF($F7="","",$F7)</f>
        <v>Urban Arena</v>
      </c>
    </row>
    <row r="8" customFormat="false" ht="15" hidden="false" customHeight="false" outlineLevel="0" collapsed="false">
      <c r="A8" s="33" t="n">
        <v>8038</v>
      </c>
      <c r="B8" s="33" t="s">
        <v>123</v>
      </c>
      <c r="C8" s="33" t="s">
        <v>124</v>
      </c>
      <c r="D8" s="33"/>
      <c r="E8" s="33" t="n">
        <v>133</v>
      </c>
      <c r="F8" s="33" t="s">
        <v>35</v>
      </c>
      <c r="G8" s="33" t="s">
        <v>67</v>
      </c>
      <c r="H8" s="33" t="n">
        <v>63</v>
      </c>
      <c r="I8" s="33" t="n">
        <v>78</v>
      </c>
      <c r="J8" s="33" t="n">
        <v>78</v>
      </c>
      <c r="K8" s="32" t="n">
        <v>443.5</v>
      </c>
      <c r="L8" s="33" t="str">
        <f aca="false">IF($B8="","",IFERROR(INDEX('Code Mapping'!$D$5:$D$1753,MATCH($B8,'Code Mapping'!$A$5:$A$1753,0)),"Unmapped"))</f>
        <v>Internal / promotion</v>
      </c>
      <c r="M8" s="33" t="str">
        <f aca="false">IF($B8="","",IFERROR(INDEX('Code Mapping'!$E$5:$E$1753,MATCH($B8,'Code Mapping'!$A$5:$A$1753,0)),"Unmapped"))</f>
        <v>Internal / promotion</v>
      </c>
      <c r="N8" s="33" t="str">
        <f aca="false">IF($F8="","",$F8)</f>
        <v>Urban Arena</v>
      </c>
    </row>
    <row r="9" customFormat="false" ht="15" hidden="false" customHeight="false" outlineLevel="0" collapsed="false">
      <c r="A9" s="33" t="n">
        <v>8095</v>
      </c>
      <c r="B9" s="33" t="s">
        <v>178</v>
      </c>
      <c r="C9" s="33" t="s">
        <v>179</v>
      </c>
      <c r="D9" s="33"/>
      <c r="E9" s="33" t="n">
        <v>61</v>
      </c>
      <c r="F9" s="33" t="s">
        <v>38</v>
      </c>
      <c r="G9" s="33" t="s">
        <v>67</v>
      </c>
      <c r="H9" s="33" t="n">
        <v>12</v>
      </c>
      <c r="I9" s="33" t="n">
        <v>12</v>
      </c>
      <c r="J9" s="33" t="n">
        <v>12</v>
      </c>
      <c r="K9" s="32" t="n">
        <v>1200</v>
      </c>
      <c r="L9" s="33" t="str">
        <f aca="false">IF($B9="","",IFERROR(INDEX('Code Mapping'!$D$5:$D$1753,MATCH($B9,'Code Mapping'!$A$5:$A$1753,0)),"Unmapped"))</f>
        <v>Entertainer</v>
      </c>
      <c r="M9" s="33" t="str">
        <f aca="false">IF($B9="","",IFERROR(INDEX('Code Mapping'!$E$5:$E$1753,MATCH($B9,'Code Mapping'!$A$5:$A$1753,0)),"Unmapped"))</f>
        <v>Aggregator BOGO</v>
      </c>
      <c r="N9" s="33" t="str">
        <f aca="false">IF($F9="","",$F9)</f>
        <v>Crayons &amp; Bricks Vendome</v>
      </c>
    </row>
    <row r="10" customFormat="false" ht="15" hidden="false" customHeight="false" outlineLevel="0" collapsed="false">
      <c r="A10" s="33" t="n">
        <v>8097</v>
      </c>
      <c r="B10" s="33" t="s">
        <v>171</v>
      </c>
      <c r="C10" s="33" t="s">
        <v>170</v>
      </c>
      <c r="D10" s="33"/>
      <c r="E10" s="33" t="n">
        <v>61</v>
      </c>
      <c r="F10" s="33" t="s">
        <v>38</v>
      </c>
      <c r="G10" s="33" t="s">
        <v>67</v>
      </c>
      <c r="H10" s="33" t="n">
        <v>17</v>
      </c>
      <c r="I10" s="33" t="n">
        <v>17</v>
      </c>
      <c r="J10" s="33" t="n">
        <v>17</v>
      </c>
      <c r="K10" s="32" t="n">
        <v>1700</v>
      </c>
      <c r="L10" s="33" t="str">
        <f aca="false">IF($B10="","",IFERROR(INDEX('Code Mapping'!$D$5:$D$1753,MATCH($B10,'Code Mapping'!$A$5:$A$1753,0)),"Unmapped"))</f>
        <v>Urban Point</v>
      </c>
      <c r="M10" s="33" t="str">
        <f aca="false">IF($B10="","",IFERROR(INDEX('Code Mapping'!$E$5:$E$1753,MATCH($B10,'Code Mapping'!$A$5:$A$1753,0)),"Unmapped"))</f>
        <v>Aggregator BOGO</v>
      </c>
      <c r="N10" s="33" t="str">
        <f aca="false">IF($F10="","",$F10)</f>
        <v>Crayons &amp; Bricks Vendome</v>
      </c>
    </row>
    <row r="11" customFormat="false" ht="15" hidden="false" customHeight="false" outlineLevel="0" collapsed="false">
      <c r="A11" s="33" t="n">
        <v>8096</v>
      </c>
      <c r="B11" s="33" t="s">
        <v>280</v>
      </c>
      <c r="C11" s="33" t="s">
        <v>281</v>
      </c>
      <c r="D11" s="33"/>
      <c r="E11" s="33" t="n">
        <v>61</v>
      </c>
      <c r="F11" s="33" t="s">
        <v>38</v>
      </c>
      <c r="G11" s="33" t="s">
        <v>67</v>
      </c>
      <c r="H11" s="33" t="n">
        <v>1</v>
      </c>
      <c r="I11" s="33" t="n">
        <v>1</v>
      </c>
      <c r="J11" s="33" t="n">
        <v>1</v>
      </c>
      <c r="K11" s="32" t="n">
        <v>100</v>
      </c>
      <c r="L11" s="33" t="str">
        <f aca="false">IF($B11="","",IFERROR(INDEX('Code Mapping'!$D$5:$D$1753,MATCH($B11,'Code Mapping'!$A$5:$A$1753,0)),"Unmapped"))</f>
        <v>Qatar Living Deals</v>
      </c>
      <c r="M11" s="33" t="str">
        <f aca="false">IF($B11="","",IFERROR(INDEX('Code Mapping'!$E$5:$E$1753,MATCH($B11,'Code Mapping'!$A$5:$A$1753,0)),"Unmapped"))</f>
        <v>Aggregator BOGO</v>
      </c>
      <c r="N11" s="33" t="str">
        <f aca="false">IF($F11="","",$F11)</f>
        <v>Crayons &amp; Bricks Vendome</v>
      </c>
    </row>
    <row r="12" customFormat="false" ht="15" hidden="false" customHeight="false" outlineLevel="0" collapsed="false">
      <c r="A12" s="33" t="n">
        <v>8318</v>
      </c>
      <c r="B12" s="33" t="s">
        <v>193</v>
      </c>
      <c r="C12" s="33"/>
      <c r="D12" s="33" t="s">
        <v>194</v>
      </c>
      <c r="E12" s="33" t="n">
        <v>133</v>
      </c>
      <c r="F12" s="33" t="s">
        <v>35</v>
      </c>
      <c r="G12" s="33" t="s">
        <v>67</v>
      </c>
      <c r="H12" s="33" t="n">
        <v>6</v>
      </c>
      <c r="I12" s="33" t="n">
        <v>18</v>
      </c>
      <c r="J12" s="33" t="n">
        <v>18</v>
      </c>
      <c r="K12" s="32" t="n">
        <v>151.5</v>
      </c>
      <c r="L12" s="33" t="str">
        <f aca="false">IF($B12="","",IFERROR(INDEX('Code Mapping'!$D$5:$D$1753,MATCH($B12,'Code Mapping'!$A$5:$A$1753,0)),"Unmapped"))</f>
        <v>QNB Rewards</v>
      </c>
      <c r="M12" s="33" t="str">
        <f aca="false">IF($B12="","",IFERROR(INDEX('Code Mapping'!$E$5:$E$1753,MATCH($B12,'Code Mapping'!$A$5:$A$1753,0)),"Unmapped"))</f>
        <v>Corporate discount</v>
      </c>
      <c r="N12" s="33" t="str">
        <f aca="false">IF($F12="","",$F12)</f>
        <v>Urban Arena</v>
      </c>
    </row>
    <row r="13" customFormat="false" ht="15" hidden="false" customHeight="false" outlineLevel="0" collapsed="false">
      <c r="A13" s="33" t="n">
        <v>8046</v>
      </c>
      <c r="B13" s="33" t="s">
        <v>222</v>
      </c>
      <c r="C13" s="33" t="s">
        <v>210</v>
      </c>
      <c r="D13" s="33"/>
      <c r="E13" s="33" t="n">
        <v>91</v>
      </c>
      <c r="F13" s="33" t="s">
        <v>36</v>
      </c>
      <c r="G13" s="33" t="s">
        <v>67</v>
      </c>
      <c r="H13" s="33" t="n">
        <v>2</v>
      </c>
      <c r="I13" s="33" t="n">
        <v>2</v>
      </c>
      <c r="J13" s="33" t="n">
        <v>2</v>
      </c>
      <c r="K13" s="32" t="n">
        <v>22.5</v>
      </c>
      <c r="L13" s="33" t="str">
        <f aca="false">IF($B13="","",IFERROR(INDEX('Code Mapping'!$D$5:$D$1753,MATCH($B13,'Code Mapping'!$A$5:$A$1753,0)),"Unmapped"))</f>
        <v>Al Jazeera Imtiyazat</v>
      </c>
      <c r="M13" s="33" t="str">
        <f aca="false">IF($B13="","",IFERROR(INDEX('Code Mapping'!$E$5:$E$1753,MATCH($B13,'Code Mapping'!$A$5:$A$1753,0)),"Unmapped"))</f>
        <v>Corporate discount</v>
      </c>
      <c r="N13" s="33" t="str">
        <f aca="false">IF($F13="","",$F13)</f>
        <v>InflataPark</v>
      </c>
    </row>
    <row r="14" customFormat="false" ht="15" hidden="false" customHeight="false" outlineLevel="0" collapsed="false">
      <c r="A14" s="33" t="n">
        <v>8325</v>
      </c>
      <c r="B14" s="33" t="s">
        <v>272</v>
      </c>
      <c r="C14" s="33"/>
      <c r="D14" s="33" t="s">
        <v>140</v>
      </c>
      <c r="E14" s="33" t="n">
        <v>91</v>
      </c>
      <c r="F14" s="33" t="s">
        <v>36</v>
      </c>
      <c r="G14" s="33" t="s">
        <v>67</v>
      </c>
      <c r="H14" s="33" t="n">
        <v>1</v>
      </c>
      <c r="I14" s="33" t="n">
        <v>1</v>
      </c>
      <c r="J14" s="33" t="n">
        <v>1</v>
      </c>
      <c r="K14" s="32" t="n">
        <v>199</v>
      </c>
      <c r="L14" s="33" t="str">
        <f aca="false">IF($B14="","",IFERROR(INDEX('Code Mapping'!$D$5:$D$1753,MATCH($B14,'Code Mapping'!$A$5:$A$1753,0)),"Unmapped"))</f>
        <v>My Book</v>
      </c>
      <c r="M14" s="33" t="str">
        <f aca="false">IF($B14="","",IFERROR(INDEX('Code Mapping'!$E$5:$E$1753,MATCH($B14,'Code Mapping'!$A$5:$A$1753,0)),"Unmapped"))</f>
        <v>Aggregator BOGO</v>
      </c>
      <c r="N14" s="33" t="str">
        <f aca="false">IF($F14="","",$F14)</f>
        <v>InflataPark</v>
      </c>
    </row>
    <row r="15" customFormat="false" ht="15" hidden="false" customHeight="false" outlineLevel="0" collapsed="false">
      <c r="A15" s="33" t="n">
        <v>8047</v>
      </c>
      <c r="B15" s="33" t="s">
        <v>268</v>
      </c>
      <c r="C15" s="33" t="s">
        <v>200</v>
      </c>
      <c r="D15" s="33"/>
      <c r="E15" s="33" t="n">
        <v>91</v>
      </c>
      <c r="F15" s="33" t="s">
        <v>36</v>
      </c>
      <c r="G15" s="33" t="s">
        <v>67</v>
      </c>
      <c r="H15" s="33" t="n">
        <v>1</v>
      </c>
      <c r="I15" s="33" t="n">
        <v>2</v>
      </c>
      <c r="J15" s="33" t="n">
        <v>2</v>
      </c>
      <c r="K15" s="32" t="n">
        <v>15</v>
      </c>
      <c r="L15" s="33" t="str">
        <f aca="false">IF($B15="","",IFERROR(INDEX('Code Mapping'!$D$5:$D$1753,MATCH($B15,'Code Mapping'!$A$5:$A$1753,0)),"Unmapped"))</f>
        <v>Aspire</v>
      </c>
      <c r="M15" s="33" t="str">
        <f aca="false">IF($B15="","",IFERROR(INDEX('Code Mapping'!$E$5:$E$1753,MATCH($B15,'Code Mapping'!$A$5:$A$1753,0)),"Unmapped"))</f>
        <v>Corporate discount</v>
      </c>
      <c r="N15" s="33" t="str">
        <f aca="false">IF($F15="","",$F15)</f>
        <v>InflataPark</v>
      </c>
    </row>
    <row r="16" customFormat="false" ht="15" hidden="false" customHeight="false" outlineLevel="0" collapsed="false">
      <c r="A16" s="33" t="n">
        <v>8048</v>
      </c>
      <c r="B16" s="33" t="s">
        <v>275</v>
      </c>
      <c r="C16" s="33" t="s">
        <v>235</v>
      </c>
      <c r="D16" s="33"/>
      <c r="E16" s="33" t="n">
        <v>91</v>
      </c>
      <c r="F16" s="33" t="s">
        <v>36</v>
      </c>
      <c r="G16" s="33" t="s">
        <v>67</v>
      </c>
      <c r="H16" s="33" t="n">
        <v>1</v>
      </c>
      <c r="I16" s="33" t="n">
        <v>6</v>
      </c>
      <c r="J16" s="33" t="n">
        <v>6</v>
      </c>
      <c r="K16" s="32" t="n">
        <v>52.5</v>
      </c>
      <c r="L16" s="33" t="str">
        <f aca="false">IF($B16="","",IFERROR(INDEX('Code Mapping'!$D$5:$D$1753,MATCH($B16,'Code Mapping'!$A$5:$A$1753,0)),"Unmapped"))</f>
        <v>Bein</v>
      </c>
      <c r="M16" s="33" t="str">
        <f aca="false">IF($B16="","",IFERROR(INDEX('Code Mapping'!$E$5:$E$1753,MATCH($B16,'Code Mapping'!$A$5:$A$1753,0)),"Unmapped"))</f>
        <v>Corporate discount</v>
      </c>
      <c r="N16" s="33" t="str">
        <f aca="false">IF($F16="","",$F16)</f>
        <v>InflataPark</v>
      </c>
    </row>
    <row r="17" customFormat="false" ht="15" hidden="false" customHeight="false" outlineLevel="0" collapsed="false">
      <c r="A17" s="33" t="n">
        <v>8324</v>
      </c>
      <c r="B17" s="33" t="s">
        <v>232</v>
      </c>
      <c r="C17" s="33"/>
      <c r="D17" s="33" t="s">
        <v>140</v>
      </c>
      <c r="E17" s="33" t="n">
        <v>91</v>
      </c>
      <c r="F17" s="33" t="s">
        <v>36</v>
      </c>
      <c r="G17" s="33" t="s">
        <v>67</v>
      </c>
      <c r="H17" s="33" t="n">
        <v>6</v>
      </c>
      <c r="I17" s="33" t="n">
        <v>6</v>
      </c>
      <c r="J17" s="33" t="n">
        <v>6</v>
      </c>
      <c r="K17" s="32" t="n">
        <v>1194</v>
      </c>
      <c r="L17" s="33" t="str">
        <f aca="false">IF($B17="","",IFERROR(INDEX('Code Mapping'!$D$5:$D$1753,MATCH($B17,'Code Mapping'!$A$5:$A$1753,0)),"Unmapped"))</f>
        <v>Entertainer</v>
      </c>
      <c r="M17" s="33" t="str">
        <f aca="false">IF($B17="","",IFERROR(INDEX('Code Mapping'!$E$5:$E$1753,MATCH($B17,'Code Mapping'!$A$5:$A$1753,0)),"Unmapped"))</f>
        <v>Aggregator BOGO</v>
      </c>
      <c r="N17" s="33" t="str">
        <f aca="false">IF($F17="","",$F17)</f>
        <v>InflataPark</v>
      </c>
    </row>
    <row r="18" customFormat="false" ht="15" hidden="false" customHeight="false" outlineLevel="0" collapsed="false">
      <c r="A18" s="33" t="n">
        <v>8052</v>
      </c>
      <c r="B18" s="33" t="s">
        <v>149</v>
      </c>
      <c r="C18" s="33" t="s">
        <v>139</v>
      </c>
      <c r="D18" s="33" t="s">
        <v>140</v>
      </c>
      <c r="E18" s="33" t="n">
        <v>91</v>
      </c>
      <c r="F18" s="33" t="s">
        <v>36</v>
      </c>
      <c r="G18" s="33" t="s">
        <v>67</v>
      </c>
      <c r="H18" s="33" t="n">
        <v>27</v>
      </c>
      <c r="I18" s="33" t="n">
        <v>110</v>
      </c>
      <c r="J18" s="33" t="n">
        <v>110</v>
      </c>
      <c r="K18" s="32" t="n">
        <v>859.5</v>
      </c>
      <c r="L18" s="33" t="str">
        <f aca="false">IF($B18="","",IFERROR(INDEX('Code Mapping'!$D$5:$D$1753,MATCH($B18,'Code Mapping'!$A$5:$A$1753,0)),"Unmapped"))</f>
        <v>Imtyazat</v>
      </c>
      <c r="M18" s="33" t="str">
        <f aca="false">IF($B18="","",IFERROR(INDEX('Code Mapping'!$E$5:$E$1753,MATCH($B18,'Code Mapping'!$A$5:$A$1753,0)),"Unmapped"))</f>
        <v>Corporate discount</v>
      </c>
      <c r="N18" s="33" t="str">
        <f aca="false">IF($F18="","",$F18)</f>
        <v>InflataPark</v>
      </c>
    </row>
    <row r="19" customFormat="false" ht="15" hidden="false" customHeight="false" outlineLevel="0" collapsed="false">
      <c r="A19" s="33" t="n">
        <v>8053</v>
      </c>
      <c r="B19" s="33" t="s">
        <v>160</v>
      </c>
      <c r="C19" s="33" t="s">
        <v>158</v>
      </c>
      <c r="D19" s="33"/>
      <c r="E19" s="33" t="n">
        <v>91</v>
      </c>
      <c r="F19" s="33" t="s">
        <v>36</v>
      </c>
      <c r="G19" s="33" t="s">
        <v>67</v>
      </c>
      <c r="H19" s="33" t="n">
        <v>21</v>
      </c>
      <c r="I19" s="33" t="n">
        <v>50</v>
      </c>
      <c r="J19" s="33" t="n">
        <v>50</v>
      </c>
      <c r="K19" s="32" t="n">
        <v>466</v>
      </c>
      <c r="L19" s="33" t="str">
        <f aca="false">IF($B19="","",IFERROR(INDEX('Code Mapping'!$D$5:$D$1753,MATCH($B19,'Code Mapping'!$A$5:$A$1753,0)),"Unmapped"))</f>
        <v>Public Health Sector (Sogha)</v>
      </c>
      <c r="M19" s="33" t="str">
        <f aca="false">IF($B19="","",IFERROR(INDEX('Code Mapping'!$E$5:$E$1753,MATCH($B19,'Code Mapping'!$A$5:$A$1753,0)),"Unmapped"))</f>
        <v>Corporate discount</v>
      </c>
      <c r="N19" s="33" t="str">
        <f aca="false">IF($F19="","",$F19)</f>
        <v>InflataPark</v>
      </c>
    </row>
    <row r="20" customFormat="false" ht="15" hidden="false" customHeight="false" outlineLevel="0" collapsed="false">
      <c r="A20" s="33" t="n">
        <v>8055</v>
      </c>
      <c r="B20" s="33" t="s">
        <v>161</v>
      </c>
      <c r="C20" s="33" t="s">
        <v>151</v>
      </c>
      <c r="D20" s="33"/>
      <c r="E20" s="33" t="n">
        <v>91</v>
      </c>
      <c r="F20" s="33" t="s">
        <v>36</v>
      </c>
      <c r="G20" s="33" t="s">
        <v>67</v>
      </c>
      <c r="H20" s="33" t="n">
        <v>32</v>
      </c>
      <c r="I20" s="33" t="n">
        <v>82</v>
      </c>
      <c r="J20" s="33" t="n">
        <v>82</v>
      </c>
      <c r="K20" s="32" t="n">
        <v>523.5</v>
      </c>
      <c r="L20" s="33" t="str">
        <f aca="false">IF($B20="","",IFERROR(INDEX('Code Mapping'!$D$5:$D$1753,MATCH($B20,'Code Mapping'!$A$5:$A$1753,0)),"Unmapped"))</f>
        <v>Qatar Airways</v>
      </c>
      <c r="M20" s="33" t="str">
        <f aca="false">IF($B20="","",IFERROR(INDEX('Code Mapping'!$E$5:$E$1753,MATCH($B20,'Code Mapping'!$A$5:$A$1753,0)),"Unmapped"))</f>
        <v>Corporate discount</v>
      </c>
      <c r="N20" s="33" t="str">
        <f aca="false">IF($F20="","",$F20)</f>
        <v>InflataPark</v>
      </c>
    </row>
    <row r="21" customFormat="false" ht="15" hidden="false" customHeight="false" outlineLevel="0" collapsed="false">
      <c r="A21" s="33" t="n">
        <v>8056</v>
      </c>
      <c r="B21" s="33" t="s">
        <v>189</v>
      </c>
      <c r="C21" s="33" t="s">
        <v>155</v>
      </c>
      <c r="D21" s="33"/>
      <c r="E21" s="33" t="n">
        <v>91</v>
      </c>
      <c r="F21" s="33" t="s">
        <v>36</v>
      </c>
      <c r="G21" s="33" t="s">
        <v>67</v>
      </c>
      <c r="H21" s="33" t="n">
        <v>5</v>
      </c>
      <c r="I21" s="33" t="n">
        <v>11</v>
      </c>
      <c r="J21" s="33" t="n">
        <v>11</v>
      </c>
      <c r="K21" s="32" t="n">
        <v>71.25</v>
      </c>
      <c r="L21" s="33" t="str">
        <f aca="false">IF($B21="","",IFERROR(INDEX('Code Mapping'!$D$5:$D$1753,MATCH($B21,'Code Mapping'!$A$5:$A$1753,0)),"Unmapped"))</f>
        <v>Qatar Foundation</v>
      </c>
      <c r="M21" s="33" t="str">
        <f aca="false">IF($B21="","",IFERROR(INDEX('Code Mapping'!$E$5:$E$1753,MATCH($B21,'Code Mapping'!$A$5:$A$1753,0)),"Unmapped"))</f>
        <v>Corporate discount</v>
      </c>
      <c r="N21" s="33" t="str">
        <f aca="false">IF($F21="","",$F21)</f>
        <v>InflataPark</v>
      </c>
    </row>
    <row r="22" customFormat="false" ht="15" hidden="false" customHeight="false" outlineLevel="0" collapsed="false">
      <c r="A22" s="33" t="n">
        <v>8057</v>
      </c>
      <c r="B22" s="33" t="s">
        <v>273</v>
      </c>
      <c r="C22" s="33" t="s">
        <v>245</v>
      </c>
      <c r="D22" s="33"/>
      <c r="E22" s="33" t="n">
        <v>91</v>
      </c>
      <c r="F22" s="33" t="s">
        <v>36</v>
      </c>
      <c r="G22" s="33" t="s">
        <v>67</v>
      </c>
      <c r="H22" s="33" t="n">
        <v>4</v>
      </c>
      <c r="I22" s="33" t="n">
        <v>12</v>
      </c>
      <c r="J22" s="33" t="n">
        <v>12</v>
      </c>
      <c r="K22" s="32" t="n">
        <v>88.5</v>
      </c>
      <c r="L22" s="33" t="str">
        <f aca="false">IF($B22="","",IFERROR(INDEX('Code Mapping'!$D$5:$D$1753,MATCH($B22,'Code Mapping'!$A$5:$A$1753,0)),"Unmapped"))</f>
        <v>Qatar Investment Authority</v>
      </c>
      <c r="M22" s="33" t="str">
        <f aca="false">IF($B22="","",IFERROR(INDEX('Code Mapping'!$E$5:$E$1753,MATCH($B22,'Code Mapping'!$A$5:$A$1753,0)),"Unmapped"))</f>
        <v>Corporate discount</v>
      </c>
      <c r="N22" s="33" t="str">
        <f aca="false">IF($F22="","",$F22)</f>
        <v>InflataPark</v>
      </c>
    </row>
    <row r="23" customFormat="false" ht="15" hidden="false" customHeight="false" outlineLevel="0" collapsed="false">
      <c r="A23" s="33" t="n">
        <v>8326</v>
      </c>
      <c r="B23" s="33" t="s">
        <v>207</v>
      </c>
      <c r="C23" s="33"/>
      <c r="D23" s="33" t="s">
        <v>140</v>
      </c>
      <c r="E23" s="33" t="n">
        <v>91</v>
      </c>
      <c r="F23" s="33" t="s">
        <v>36</v>
      </c>
      <c r="G23" s="33" t="s">
        <v>67</v>
      </c>
      <c r="H23" s="33" t="n">
        <v>12</v>
      </c>
      <c r="I23" s="33" t="n">
        <v>12</v>
      </c>
      <c r="J23" s="33" t="n">
        <v>12</v>
      </c>
      <c r="K23" s="32" t="n">
        <v>2388</v>
      </c>
      <c r="L23" s="33" t="str">
        <f aca="false">IF($B23="","",IFERROR(INDEX('Code Mapping'!$D$5:$D$1753,MATCH($B23,'Code Mapping'!$A$5:$A$1753,0)),"Unmapped"))</f>
        <v>Urban Point</v>
      </c>
      <c r="M23" s="33" t="str">
        <f aca="false">IF($B23="","",IFERROR(INDEX('Code Mapping'!$E$5:$E$1753,MATCH($B23,'Code Mapping'!$A$5:$A$1753,0)),"Unmapped"))</f>
        <v>Aggregator BOGO</v>
      </c>
      <c r="N23" s="33" t="str">
        <f aca="false">IF($F23="","",$F23)</f>
        <v>InflataPark</v>
      </c>
    </row>
    <row r="24" customFormat="false" ht="15" hidden="false" customHeight="false" outlineLevel="0" collapsed="false">
      <c r="A24" s="33" t="n">
        <v>8105</v>
      </c>
      <c r="B24" s="33" t="s">
        <v>261</v>
      </c>
      <c r="C24" s="33" t="s">
        <v>151</v>
      </c>
      <c r="D24" s="33"/>
      <c r="E24" s="33" t="n">
        <v>61</v>
      </c>
      <c r="F24" s="33" t="s">
        <v>38</v>
      </c>
      <c r="G24" s="33" t="s">
        <v>67</v>
      </c>
      <c r="H24" s="33" t="n">
        <v>1</v>
      </c>
      <c r="I24" s="33" t="n">
        <v>1</v>
      </c>
      <c r="J24" s="33" t="n">
        <v>1</v>
      </c>
      <c r="K24" s="32" t="n">
        <v>5.25</v>
      </c>
      <c r="L24" s="33" t="str">
        <f aca="false">IF($B24="","",IFERROR(INDEX('Code Mapping'!$D$5:$D$1753,MATCH($B24,'Code Mapping'!$A$5:$A$1753,0)),"Unmapped"))</f>
        <v>Qatar Airways</v>
      </c>
      <c r="M24" s="33" t="str">
        <f aca="false">IF($B24="","",IFERROR(INDEX('Code Mapping'!$E$5:$E$1753,MATCH($B24,'Code Mapping'!$A$5:$A$1753,0)),"Unmapped"))</f>
        <v>Corporate discount</v>
      </c>
      <c r="N24" s="33" t="str">
        <f aca="false">IF($F24="","",$F24)</f>
        <v>Crayons &amp; Bricks Vendome</v>
      </c>
    </row>
    <row r="25" customFormat="false" ht="15" hidden="false" customHeight="false" outlineLevel="0" collapsed="false">
      <c r="A25" s="33" t="n">
        <v>8255</v>
      </c>
      <c r="B25" s="33" t="s">
        <v>125</v>
      </c>
      <c r="C25" s="33"/>
      <c r="D25" s="33" t="s">
        <v>140</v>
      </c>
      <c r="E25" s="33" t="n">
        <v>133</v>
      </c>
      <c r="F25" s="33" t="s">
        <v>35</v>
      </c>
      <c r="G25" s="33" t="s">
        <v>67</v>
      </c>
      <c r="H25" s="33" t="n">
        <v>1</v>
      </c>
      <c r="I25" s="33" t="n">
        <v>3</v>
      </c>
      <c r="J25" s="33" t="n">
        <v>3</v>
      </c>
      <c r="K25" s="32" t="n">
        <v>15</v>
      </c>
      <c r="L25" s="33" t="str">
        <f aca="false">IF($B25="","",IFERROR(INDEX('Code Mapping'!$D$5:$D$1753,MATCH($B25,'Code Mapping'!$A$5:$A$1753,0)),"Unmapped"))</f>
        <v>Internal / promotion</v>
      </c>
      <c r="M25" s="33" t="str">
        <f aca="false">IF($B25="","",IFERROR(INDEX('Code Mapping'!$E$5:$E$1753,MATCH($B25,'Code Mapping'!$A$5:$A$1753,0)),"Unmapped"))</f>
        <v>Internal / promotion</v>
      </c>
      <c r="N25" s="33" t="str">
        <f aca="false">IF($F25="","",$F25)</f>
        <v>Urban Arena</v>
      </c>
    </row>
    <row r="26" customFormat="false" ht="15" hidden="false" customHeight="false" outlineLevel="0" collapsed="false">
      <c r="A26" s="33" t="n">
        <v>8335</v>
      </c>
      <c r="B26" s="33" t="s">
        <v>165</v>
      </c>
      <c r="C26" s="33" t="s">
        <v>166</v>
      </c>
      <c r="D26" s="33" t="s">
        <v>140</v>
      </c>
      <c r="E26" s="33" t="n">
        <v>94</v>
      </c>
      <c r="F26" s="33" t="s">
        <v>37</v>
      </c>
      <c r="G26" s="33" t="s">
        <v>67</v>
      </c>
      <c r="H26" s="33" t="n">
        <v>37</v>
      </c>
      <c r="I26" s="33" t="n">
        <v>160</v>
      </c>
      <c r="J26" s="33" t="n">
        <v>160</v>
      </c>
      <c r="K26" s="32" t="n">
        <v>1137.75</v>
      </c>
      <c r="L26" s="33" t="str">
        <f aca="false">IF($B26="","",IFERROR(INDEX('Code Mapping'!$D$5:$D$1753,MATCH($B26,'Code Mapping'!$A$5:$A$1753,0)),"Unmapped"))</f>
        <v>Imtyazat</v>
      </c>
      <c r="M26" s="33" t="str">
        <f aca="false">IF($B26="","",IFERROR(INDEX('Code Mapping'!$E$5:$E$1753,MATCH($B26,'Code Mapping'!$A$5:$A$1753,0)),"Unmapped"))</f>
        <v>Corporate discount</v>
      </c>
      <c r="N26" s="33" t="str">
        <f aca="false">IF($F26="","",$F26)</f>
        <v>Kids City Driving School</v>
      </c>
    </row>
    <row r="27" customFormat="false" ht="15" hidden="false" customHeight="false" outlineLevel="0" collapsed="false">
      <c r="A27" s="33" t="n">
        <v>8338</v>
      </c>
      <c r="B27" s="33" t="s">
        <v>265</v>
      </c>
      <c r="C27" s="33" t="s">
        <v>151</v>
      </c>
      <c r="D27" s="33" t="s">
        <v>140</v>
      </c>
      <c r="E27" s="33" t="n">
        <v>94</v>
      </c>
      <c r="F27" s="33" t="s">
        <v>37</v>
      </c>
      <c r="G27" s="33" t="s">
        <v>67</v>
      </c>
      <c r="H27" s="33" t="n">
        <v>2</v>
      </c>
      <c r="I27" s="33" t="n">
        <v>9</v>
      </c>
      <c r="J27" s="33" t="n">
        <v>9</v>
      </c>
      <c r="K27" s="32" t="n">
        <v>69.75</v>
      </c>
      <c r="L27" s="33" t="str">
        <f aca="false">IF($B27="","",IFERROR(INDEX('Code Mapping'!$D$5:$D$1753,MATCH($B27,'Code Mapping'!$A$5:$A$1753,0)),"Unmapped"))</f>
        <v>Qatar Airways</v>
      </c>
      <c r="M27" s="33" t="str">
        <f aca="false">IF($B27="","",IFERROR(INDEX('Code Mapping'!$E$5:$E$1753,MATCH($B27,'Code Mapping'!$A$5:$A$1753,0)),"Unmapped"))</f>
        <v>Corporate discount</v>
      </c>
      <c r="N27" s="33" t="str">
        <f aca="false">IF($F27="","",$F27)</f>
        <v>Kids City Driving School</v>
      </c>
    </row>
    <row r="28" customFormat="false" ht="15" hidden="false" customHeight="false" outlineLevel="0" collapsed="false">
      <c r="A28" s="33" t="n">
        <v>8340</v>
      </c>
      <c r="B28" s="33" t="s">
        <v>244</v>
      </c>
      <c r="C28" s="33" t="s">
        <v>245</v>
      </c>
      <c r="D28" s="33" t="s">
        <v>140</v>
      </c>
      <c r="E28" s="33" t="n">
        <v>94</v>
      </c>
      <c r="F28" s="33" t="s">
        <v>37</v>
      </c>
      <c r="G28" s="33" t="s">
        <v>67</v>
      </c>
      <c r="H28" s="33" t="n">
        <v>16</v>
      </c>
      <c r="I28" s="33" t="n">
        <v>65</v>
      </c>
      <c r="J28" s="33" t="n">
        <v>65</v>
      </c>
      <c r="K28" s="32" t="n">
        <v>453</v>
      </c>
      <c r="L28" s="33" t="str">
        <f aca="false">IF($B28="","",IFERROR(INDEX('Code Mapping'!$D$5:$D$1753,MATCH($B28,'Code Mapping'!$A$5:$A$1753,0)),"Unmapped"))</f>
        <v>Qatar Investment Authority</v>
      </c>
      <c r="M28" s="33" t="str">
        <f aca="false">IF($B28="","",IFERROR(INDEX('Code Mapping'!$E$5:$E$1753,MATCH($B28,'Code Mapping'!$A$5:$A$1753,0)),"Unmapped"))</f>
        <v>Corporate discount</v>
      </c>
      <c r="N28" s="33" t="str">
        <f aca="false">IF($F28="","",$F28)</f>
        <v>Kids City Driving School</v>
      </c>
    </row>
    <row r="29" customFormat="false" ht="15" hidden="false" customHeight="false" outlineLevel="0" collapsed="false">
      <c r="A29" s="33" t="n">
        <v>8345</v>
      </c>
      <c r="B29" s="33" t="s">
        <v>415</v>
      </c>
      <c r="C29" s="33"/>
      <c r="D29" s="33" t="s">
        <v>140</v>
      </c>
      <c r="E29" s="33" t="n">
        <v>94</v>
      </c>
      <c r="F29" s="33" t="s">
        <v>37</v>
      </c>
      <c r="G29" s="33" t="s">
        <v>67</v>
      </c>
      <c r="H29" s="33" t="n">
        <v>1</v>
      </c>
      <c r="I29" s="33" t="n">
        <v>1</v>
      </c>
      <c r="J29" s="33" t="n">
        <v>1</v>
      </c>
      <c r="K29" s="32" t="n">
        <v>199</v>
      </c>
      <c r="L29" s="33" t="str">
        <f aca="false">IF($B29="","",IFERROR(INDEX('Code Mapping'!$D$5:$D$1753,MATCH($B29,'Code Mapping'!$A$5:$A$1753,0)),"Unmapped"))</f>
        <v>Entertainer</v>
      </c>
      <c r="M29" s="33" t="str">
        <f aca="false">IF($B29="","",IFERROR(INDEX('Code Mapping'!$E$5:$E$1753,MATCH($B29,'Code Mapping'!$A$5:$A$1753,0)),"Unmapped"))</f>
        <v>Aggregator BOGO</v>
      </c>
      <c r="N29" s="33" t="str">
        <f aca="false">IF($F29="","",$F29)</f>
        <v>Kids City Driving School</v>
      </c>
    </row>
    <row r="30" customFormat="false" ht="15" hidden="false" customHeight="false" outlineLevel="0" collapsed="false">
      <c r="A30" s="33" t="n">
        <v>8347</v>
      </c>
      <c r="B30" s="33" t="s">
        <v>188</v>
      </c>
      <c r="C30" s="33"/>
      <c r="D30" s="33" t="s">
        <v>140</v>
      </c>
      <c r="E30" s="33" t="n">
        <v>94</v>
      </c>
      <c r="F30" s="33" t="s">
        <v>37</v>
      </c>
      <c r="G30" s="33" t="s">
        <v>67</v>
      </c>
      <c r="H30" s="33" t="n">
        <v>11</v>
      </c>
      <c r="I30" s="33" t="n">
        <v>11</v>
      </c>
      <c r="J30" s="33" t="n">
        <v>11</v>
      </c>
      <c r="K30" s="32" t="n">
        <v>2189</v>
      </c>
      <c r="L30" s="33" t="str">
        <f aca="false">IF($B30="","",IFERROR(INDEX('Code Mapping'!$D$5:$D$1753,MATCH($B30,'Code Mapping'!$A$5:$A$1753,0)),"Unmapped"))</f>
        <v>My Book</v>
      </c>
      <c r="M30" s="33" t="str">
        <f aca="false">IF($B30="","",IFERROR(INDEX('Code Mapping'!$E$5:$E$1753,MATCH($B30,'Code Mapping'!$A$5:$A$1753,0)),"Unmapped"))</f>
        <v>Aggregator BOGO</v>
      </c>
      <c r="N30" s="33" t="str">
        <f aca="false">IF($F30="","",$F30)</f>
        <v>Kids City Driving School</v>
      </c>
    </row>
    <row r="31" customFormat="false" ht="15" hidden="false" customHeight="false" outlineLevel="0" collapsed="false">
      <c r="A31" s="33" t="n">
        <v>8346</v>
      </c>
      <c r="B31" s="33" t="s">
        <v>416</v>
      </c>
      <c r="C31" s="33"/>
      <c r="D31" s="33" t="s">
        <v>140</v>
      </c>
      <c r="E31" s="33" t="n">
        <v>94</v>
      </c>
      <c r="F31" s="33" t="s">
        <v>37</v>
      </c>
      <c r="G31" s="33" t="s">
        <v>67</v>
      </c>
      <c r="H31" s="33" t="n">
        <v>1</v>
      </c>
      <c r="I31" s="33" t="n">
        <v>1</v>
      </c>
      <c r="J31" s="33" t="n">
        <v>1</v>
      </c>
      <c r="K31" s="32" t="n">
        <v>199</v>
      </c>
      <c r="L31" s="33" t="str">
        <f aca="false">IF($B31="","",IFERROR(INDEX('Code Mapping'!$D$5:$D$1753,MATCH($B31,'Code Mapping'!$A$5:$A$1753,0)),"Unmapped"))</f>
        <v>Urban Point</v>
      </c>
      <c r="M31" s="33" t="str">
        <f aca="false">IF($B31="","",IFERROR(INDEX('Code Mapping'!$E$5:$E$1753,MATCH($B31,'Code Mapping'!$A$5:$A$1753,0)),"Unmapped"))</f>
        <v>Aggregator BOGO</v>
      </c>
      <c r="N31" s="33" t="str">
        <f aca="false">IF($F31="","",$F31)</f>
        <v>Kids City Driving School</v>
      </c>
    </row>
    <row r="32" customFormat="false" ht="15" hidden="false" customHeight="false" outlineLevel="0" collapsed="false">
      <c r="A32" s="33" t="n">
        <v>8313</v>
      </c>
      <c r="B32" s="33" t="s">
        <v>126</v>
      </c>
      <c r="C32" s="33" t="s">
        <v>127</v>
      </c>
      <c r="D32" s="33" t="s">
        <v>140</v>
      </c>
      <c r="E32" s="33" t="n">
        <v>133</v>
      </c>
      <c r="F32" s="33" t="s">
        <v>35</v>
      </c>
      <c r="G32" s="33" t="s">
        <v>67</v>
      </c>
      <c r="H32" s="33" t="n">
        <v>1</v>
      </c>
      <c r="I32" s="33" t="n">
        <v>1</v>
      </c>
      <c r="J32" s="33" t="n">
        <v>1</v>
      </c>
      <c r="K32" s="32" t="n">
        <v>45</v>
      </c>
      <c r="L32" s="33" t="str">
        <f aca="false">IF($B32="","",IFERROR(INDEX('Code Mapping'!$D$5:$D$1753,MATCH($B32,'Code Mapping'!$A$5:$A$1753,0)),"Unmapped"))</f>
        <v>Internal / promotion</v>
      </c>
      <c r="M32" s="33" t="str">
        <f aca="false">IF($B32="","",IFERROR(INDEX('Code Mapping'!$E$5:$E$1753,MATCH($B32,'Code Mapping'!$A$5:$A$1753,0)),"Unmapped"))</f>
        <v>Internal / promotion</v>
      </c>
      <c r="N32" s="33" t="str">
        <f aca="false">IF($F32="","",$F32)</f>
        <v>Urban Arena</v>
      </c>
    </row>
    <row r="33" customFormat="false" ht="15" hidden="false" customHeight="false" outlineLevel="0" collapsed="false">
      <c r="A33" s="33" t="n">
        <v>8314</v>
      </c>
      <c r="B33" s="33" t="s">
        <v>119</v>
      </c>
      <c r="C33" s="33"/>
      <c r="D33" s="33" t="s">
        <v>140</v>
      </c>
      <c r="E33" s="33" t="n">
        <v>91</v>
      </c>
      <c r="F33" s="33" t="s">
        <v>36</v>
      </c>
      <c r="G33" s="33" t="s">
        <v>67</v>
      </c>
      <c r="H33" s="33" t="n">
        <v>1</v>
      </c>
      <c r="I33" s="33" t="n">
        <v>1</v>
      </c>
      <c r="J33" s="33" t="n">
        <v>1</v>
      </c>
      <c r="K33" s="32" t="n">
        <v>45</v>
      </c>
      <c r="L33" s="33" t="str">
        <f aca="false">IF($B33="","",IFERROR(INDEX('Code Mapping'!$D$5:$D$1753,MATCH($B33,'Code Mapping'!$A$5:$A$1753,0)),"Unmapped"))</f>
        <v>Internal / promotion</v>
      </c>
      <c r="M33" s="33" t="str">
        <f aca="false">IF($B33="","",IFERROR(INDEX('Code Mapping'!$E$5:$E$1753,MATCH($B33,'Code Mapping'!$A$5:$A$1753,0)),"Unmapped"))</f>
        <v>Internal / promotion</v>
      </c>
      <c r="N33" s="33" t="str">
        <f aca="false">IF($F33="","",$F33)</f>
        <v>InflataPark</v>
      </c>
    </row>
    <row r="34" customFormat="false" ht="15" hidden="false" customHeight="false" outlineLevel="0" collapsed="false">
      <c r="A34" s="33" t="n">
        <v>8322</v>
      </c>
      <c r="B34" s="33" t="s">
        <v>121</v>
      </c>
      <c r="C34" s="33" t="s">
        <v>122</v>
      </c>
      <c r="D34" s="33" t="s">
        <v>140</v>
      </c>
      <c r="E34" s="33" t="n">
        <v>94</v>
      </c>
      <c r="F34" s="33" t="s">
        <v>37</v>
      </c>
      <c r="G34" s="33" t="s">
        <v>67</v>
      </c>
      <c r="H34" s="33" t="n">
        <v>13</v>
      </c>
      <c r="I34" s="33" t="n">
        <v>13</v>
      </c>
      <c r="J34" s="33" t="n">
        <v>13</v>
      </c>
      <c r="K34" s="32" t="n">
        <v>585</v>
      </c>
      <c r="L34" s="33" t="str">
        <f aca="false">IF($B34="","",IFERROR(INDEX('Code Mapping'!$D$5:$D$1753,MATCH($B34,'Code Mapping'!$A$5:$A$1753,0)),"Unmapped"))</f>
        <v>Internal / promotion</v>
      </c>
      <c r="M34" s="33" t="str">
        <f aca="false">IF($B34="","",IFERROR(INDEX('Code Mapping'!$E$5:$E$1753,MATCH($B34,'Code Mapping'!$A$5:$A$1753,0)),"Unmapped"))</f>
        <v>Internal / promotion</v>
      </c>
      <c r="N34" s="33" t="str">
        <f aca="false">IF($F34="","",$F34)</f>
        <v>Kids City Driving School</v>
      </c>
    </row>
    <row r="35" customFormat="false" ht="15" hidden="false" customHeight="false" outlineLevel="0" collapsed="false">
      <c r="A35" s="33" t="n">
        <v>6827</v>
      </c>
      <c r="B35" s="33" t="s">
        <v>182</v>
      </c>
      <c r="C35" s="33"/>
      <c r="D35" s="33"/>
      <c r="E35" s="33" t="n">
        <v>61</v>
      </c>
      <c r="F35" s="33" t="s">
        <v>38</v>
      </c>
      <c r="G35" s="33" t="s">
        <v>67</v>
      </c>
      <c r="H35" s="33" t="n">
        <v>4</v>
      </c>
      <c r="I35" s="33" t="n">
        <v>4</v>
      </c>
      <c r="J35" s="33" t="n">
        <v>4</v>
      </c>
      <c r="K35" s="32" t="n">
        <v>400</v>
      </c>
      <c r="L35" s="33" t="str">
        <f aca="false">IF($B35="","",IFERROR(INDEX('Code Mapping'!$D$5:$D$1753,MATCH($B35,'Code Mapping'!$A$5:$A$1753,0)),"Unmapped"))</f>
        <v>My Book</v>
      </c>
      <c r="M35" s="33" t="str">
        <f aca="false">IF($B35="","",IFERROR(INDEX('Code Mapping'!$E$5:$E$1753,MATCH($B35,'Code Mapping'!$A$5:$A$1753,0)),"Unmapped"))</f>
        <v>Aggregator BOGO</v>
      </c>
      <c r="N35" s="33" t="str">
        <f aca="false">IF($F35="","",$F35)</f>
        <v>Crayons &amp; Bricks Vendome</v>
      </c>
    </row>
    <row r="36" customFormat="false" ht="15" hidden="false" customHeight="false" outlineLevel="0" collapsed="false">
      <c r="A36" s="33" t="n">
        <v>8106</v>
      </c>
      <c r="B36" s="33" t="s">
        <v>279</v>
      </c>
      <c r="C36" s="33" t="s">
        <v>155</v>
      </c>
      <c r="D36" s="33"/>
      <c r="E36" s="33" t="n">
        <v>61</v>
      </c>
      <c r="F36" s="33" t="s">
        <v>38</v>
      </c>
      <c r="G36" s="33" t="s">
        <v>67</v>
      </c>
      <c r="H36" s="33" t="n">
        <v>2</v>
      </c>
      <c r="I36" s="33" t="n">
        <v>10</v>
      </c>
      <c r="J36" s="33" t="n">
        <v>10</v>
      </c>
      <c r="K36" s="32" t="n">
        <v>52.5</v>
      </c>
      <c r="L36" s="33" t="str">
        <f aca="false">IF($B36="","",IFERROR(INDEX('Code Mapping'!$D$5:$D$1753,MATCH($B36,'Code Mapping'!$A$5:$A$1753,0)),"Unmapped"))</f>
        <v>Qatar Foundation</v>
      </c>
      <c r="M36" s="33" t="str">
        <f aca="false">IF($B36="","",IFERROR(INDEX('Code Mapping'!$E$5:$E$1753,MATCH($B36,'Code Mapping'!$A$5:$A$1753,0)),"Unmapped"))</f>
        <v>Corporate discount</v>
      </c>
      <c r="N36" s="33" t="str">
        <f aca="false">IF($F36="","",$F36)</f>
        <v>Crayons &amp; Bricks Vendome</v>
      </c>
    </row>
    <row r="37" customFormat="false" ht="15" hidden="false" customHeight="false" outlineLevel="0" collapsed="false">
      <c r="A37" s="33" t="n">
        <v>8075</v>
      </c>
      <c r="B37" s="33" t="s">
        <v>186</v>
      </c>
      <c r="C37" s="33" t="s">
        <v>139</v>
      </c>
      <c r="D37" s="33"/>
      <c r="E37" s="33" t="n">
        <v>133</v>
      </c>
      <c r="F37" s="33" t="s">
        <v>35</v>
      </c>
      <c r="G37" s="33" t="s">
        <v>67</v>
      </c>
      <c r="H37" s="33" t="n">
        <v>8</v>
      </c>
      <c r="I37" s="33" t="n">
        <v>35</v>
      </c>
      <c r="J37" s="33" t="n">
        <v>35</v>
      </c>
      <c r="K37" s="32" t="n">
        <v>224.25</v>
      </c>
      <c r="L37" s="33" t="str">
        <f aca="false">IF($B37="","",IFERROR(INDEX('Code Mapping'!$D$5:$D$1753,MATCH($B37,'Code Mapping'!$A$5:$A$1753,0)),"Unmapped"))</f>
        <v>Imtyazat</v>
      </c>
      <c r="M37" s="33" t="str">
        <f aca="false">IF($B37="","",IFERROR(INDEX('Code Mapping'!$E$5:$E$1753,MATCH($B37,'Code Mapping'!$A$5:$A$1753,0)),"Unmapped"))</f>
        <v>Corporate discount</v>
      </c>
      <c r="N37" s="33" t="str">
        <f aca="false">IF($F37="","",$F37)</f>
        <v>Urban Arena</v>
      </c>
    </row>
    <row r="38" customFormat="false" ht="15" hidden="false" customHeight="false" outlineLevel="0" collapsed="false">
      <c r="A38" s="33" t="n">
        <v>8093</v>
      </c>
      <c r="B38" s="33" t="s">
        <v>167</v>
      </c>
      <c r="C38" s="33" t="s">
        <v>168</v>
      </c>
      <c r="D38" s="33"/>
      <c r="E38" s="33" t="n">
        <v>133</v>
      </c>
      <c r="F38" s="33" t="s">
        <v>35</v>
      </c>
      <c r="G38" s="33" t="s">
        <v>67</v>
      </c>
      <c r="H38" s="33" t="n">
        <v>9</v>
      </c>
      <c r="I38" s="33" t="n">
        <v>9</v>
      </c>
      <c r="J38" s="33" t="n">
        <v>9</v>
      </c>
      <c r="K38" s="32" t="n">
        <v>1791</v>
      </c>
      <c r="L38" s="33" t="str">
        <f aca="false">IF($B38="","",IFERROR(INDEX('Code Mapping'!$D$5:$D$1753,MATCH($B38,'Code Mapping'!$A$5:$A$1753,0)),"Unmapped"))</f>
        <v>My Book</v>
      </c>
      <c r="M38" s="33" t="str">
        <f aca="false">IF($B38="","",IFERROR(INDEX('Code Mapping'!$E$5:$E$1753,MATCH($B38,'Code Mapping'!$A$5:$A$1753,0)),"Unmapped"))</f>
        <v>Aggregator BOGO</v>
      </c>
      <c r="N38" s="33" t="str">
        <f aca="false">IF($F38="","",$F38)</f>
        <v>Urban Arena</v>
      </c>
    </row>
    <row r="39" customFormat="false" ht="15" hidden="false" customHeight="false" outlineLevel="0" collapsed="false">
      <c r="A39" s="33" t="n">
        <v>8078</v>
      </c>
      <c r="B39" s="33" t="s">
        <v>150</v>
      </c>
      <c r="C39" s="33" t="s">
        <v>151</v>
      </c>
      <c r="D39" s="33"/>
      <c r="E39" s="33" t="n">
        <v>133</v>
      </c>
      <c r="F39" s="33" t="s">
        <v>35</v>
      </c>
      <c r="G39" s="33" t="s">
        <v>67</v>
      </c>
      <c r="H39" s="33" t="n">
        <v>31</v>
      </c>
      <c r="I39" s="33" t="n">
        <v>113</v>
      </c>
      <c r="J39" s="33" t="n">
        <v>113</v>
      </c>
      <c r="K39" s="32" t="n">
        <v>856.5</v>
      </c>
      <c r="L39" s="33" t="str">
        <f aca="false">IF($B39="","",IFERROR(INDEX('Code Mapping'!$D$5:$D$1753,MATCH($B39,'Code Mapping'!$A$5:$A$1753,0)),"Unmapped"))</f>
        <v>Qatar Airways</v>
      </c>
      <c r="M39" s="33" t="str">
        <f aca="false">IF($B39="","",IFERROR(INDEX('Code Mapping'!$E$5:$E$1753,MATCH($B39,'Code Mapping'!$A$5:$A$1753,0)),"Unmapped"))</f>
        <v>Corporate discount</v>
      </c>
      <c r="N39" s="33" t="str">
        <f aca="false">IF($F39="","",$F39)</f>
        <v>Urban Arena</v>
      </c>
    </row>
    <row r="40" customFormat="false" ht="15" hidden="false" customHeight="false" outlineLevel="0" collapsed="false">
      <c r="A40" s="33" t="n">
        <v>8094</v>
      </c>
      <c r="B40" s="33" t="s">
        <v>169</v>
      </c>
      <c r="C40" s="33" t="s">
        <v>170</v>
      </c>
      <c r="D40" s="33"/>
      <c r="E40" s="33" t="n">
        <v>133</v>
      </c>
      <c r="F40" s="33" t="s">
        <v>35</v>
      </c>
      <c r="G40" s="33" t="s">
        <v>67</v>
      </c>
      <c r="H40" s="33" t="n">
        <v>10</v>
      </c>
      <c r="I40" s="33" t="n">
        <v>10</v>
      </c>
      <c r="J40" s="33" t="n">
        <v>10</v>
      </c>
      <c r="K40" s="32" t="n">
        <v>1990</v>
      </c>
      <c r="L40" s="33" t="str">
        <f aca="false">IF($B40="","",IFERROR(INDEX('Code Mapping'!$D$5:$D$1753,MATCH($B40,'Code Mapping'!$A$5:$A$1753,0)),"Unmapped"))</f>
        <v>Urban Point</v>
      </c>
      <c r="M40" s="33" t="str">
        <f aca="false">IF($B40="","",IFERROR(INDEX('Code Mapping'!$E$5:$E$1753,MATCH($B40,'Code Mapping'!$A$5:$A$1753,0)),"Unmapped"))</f>
        <v>Aggregator BOGO</v>
      </c>
      <c r="N40" s="33" t="str">
        <f aca="false">IF($F40="","",$F40)</f>
        <v>Urban Arena</v>
      </c>
    </row>
    <row r="41" customFormat="false" ht="15" hidden="false" customHeight="false" outlineLevel="0" collapsed="false">
      <c r="A41" s="33" t="n">
        <v>8076</v>
      </c>
      <c r="B41" s="33" t="s">
        <v>157</v>
      </c>
      <c r="C41" s="33" t="s">
        <v>158</v>
      </c>
      <c r="D41" s="33"/>
      <c r="E41" s="33" t="n">
        <v>133</v>
      </c>
      <c r="F41" s="33" t="s">
        <v>35</v>
      </c>
      <c r="G41" s="33" t="s">
        <v>67</v>
      </c>
      <c r="H41" s="33" t="n">
        <v>30</v>
      </c>
      <c r="I41" s="33" t="n">
        <v>107</v>
      </c>
      <c r="J41" s="33" t="n">
        <v>107</v>
      </c>
      <c r="K41" s="32" t="n">
        <v>1068</v>
      </c>
      <c r="L41" s="33" t="str">
        <f aca="false">IF($B41="","",IFERROR(INDEX('Code Mapping'!$D$5:$D$1753,MATCH($B41,'Code Mapping'!$A$5:$A$1753,0)),"Unmapped"))</f>
        <v>Public Health Sector (Sogha)</v>
      </c>
      <c r="M41" s="33" t="str">
        <f aca="false">IF($B41="","",IFERROR(INDEX('Code Mapping'!$E$5:$E$1753,MATCH($B41,'Code Mapping'!$A$5:$A$1753,0)),"Unmapped"))</f>
        <v>Corporate discount</v>
      </c>
      <c r="N41" s="33" t="str">
        <f aca="false">IF($F41="","",$F41)</f>
        <v>Urban Arena</v>
      </c>
    </row>
    <row r="42" customFormat="false" ht="15" hidden="false" customHeight="false" outlineLevel="0" collapsed="false">
      <c r="A42" s="33" t="n">
        <v>8069</v>
      </c>
      <c r="B42" s="33" t="s">
        <v>209</v>
      </c>
      <c r="C42" s="33" t="s">
        <v>210</v>
      </c>
      <c r="D42" s="33"/>
      <c r="E42" s="33" t="n">
        <v>133</v>
      </c>
      <c r="F42" s="33" t="s">
        <v>35</v>
      </c>
      <c r="G42" s="33" t="s">
        <v>67</v>
      </c>
      <c r="H42" s="33" t="n">
        <v>4</v>
      </c>
      <c r="I42" s="33" t="n">
        <v>9</v>
      </c>
      <c r="J42" s="33" t="n">
        <v>9</v>
      </c>
      <c r="K42" s="32" t="n">
        <v>197.25</v>
      </c>
      <c r="L42" s="33" t="str">
        <f aca="false">IF($B42="","",IFERROR(INDEX('Code Mapping'!$D$5:$D$1753,MATCH($B42,'Code Mapping'!$A$5:$A$1753,0)),"Unmapped"))</f>
        <v>Al Jazeera Imtiyazat</v>
      </c>
      <c r="M42" s="33" t="str">
        <f aca="false">IF($B42="","",IFERROR(INDEX('Code Mapping'!$E$5:$E$1753,MATCH($B42,'Code Mapping'!$A$5:$A$1753,0)),"Unmapped"))</f>
        <v>Corporate discount</v>
      </c>
      <c r="N42" s="33" t="str">
        <f aca="false">IF($F42="","",$F42)</f>
        <v>Urban Arena</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36"/>
    <col collapsed="false" customWidth="true" hidden="false" outlineLevel="0" max="4" min="4" style="0" width="12"/>
    <col collapsed="false" customWidth="true" hidden="false" outlineLevel="0" max="5" min="5" style="0" width="9"/>
    <col collapsed="false" customWidth="true" hidden="false" outlineLevel="0" max="6" min="6" style="0" width="26"/>
    <col collapsed="false" customWidth="true" hidden="false" outlineLevel="0" max="7" min="7" style="0" width="12"/>
    <col collapsed="false" customWidth="true" hidden="false" outlineLevel="0" max="8" min="8" style="0" width="11"/>
    <col collapsed="false" customWidth="true" hidden="false" outlineLevel="0" max="9" min="9" style="0" width="12"/>
    <col collapsed="false" customWidth="true" hidden="false" outlineLevel="0" max="10" min="10" style="0" width="10"/>
    <col collapsed="false" customWidth="true" hidden="false" outlineLevel="0" max="11" min="11" style="0" width="14"/>
    <col collapsed="false" customWidth="true" hidden="false" outlineLevel="0" max="12" min="12" style="0" width="26"/>
    <col collapsed="false" customWidth="true" hidden="false" outlineLevel="0" max="13" min="13" style="0" width="20"/>
    <col collapsed="false" customWidth="true" hidden="false" outlineLevel="0" max="14" min="14" style="0" width="26"/>
  </cols>
  <sheetData>
    <row r="1" customFormat="false" ht="19.7" hidden="false" customHeight="false" outlineLevel="0" collapsed="false">
      <c r="A1" s="26" t="s">
        <v>2148</v>
      </c>
    </row>
    <row r="2" customFormat="false" ht="15" hidden="false" customHeight="false" outlineLevel="0" collapsed="false">
      <c r="A2" s="8" t="s">
        <v>2146</v>
      </c>
    </row>
    <row r="4" customFormat="false" ht="23.85" hidden="false" customHeight="false" outlineLevel="0" collapsed="false">
      <c r="A4" s="30" t="s">
        <v>2134</v>
      </c>
      <c r="B4" s="30" t="s">
        <v>2135</v>
      </c>
      <c r="C4" s="30" t="s">
        <v>2136</v>
      </c>
      <c r="D4" s="30" t="s">
        <v>2137</v>
      </c>
      <c r="E4" s="30" t="s">
        <v>2138</v>
      </c>
      <c r="F4" s="30" t="s">
        <v>2139</v>
      </c>
      <c r="G4" s="30" t="s">
        <v>2147</v>
      </c>
      <c r="H4" s="30" t="s">
        <v>2141</v>
      </c>
      <c r="I4" s="30" t="s">
        <v>2142</v>
      </c>
      <c r="J4" s="30" t="s">
        <v>2143</v>
      </c>
      <c r="K4" s="30" t="s">
        <v>2144</v>
      </c>
      <c r="L4" s="30" t="s">
        <v>16</v>
      </c>
      <c r="M4" s="30" t="s">
        <v>21</v>
      </c>
      <c r="N4" s="30" t="s">
        <v>33</v>
      </c>
    </row>
    <row r="5" customFormat="false" ht="15" hidden="false" customHeight="false" outlineLevel="0" collapsed="false">
      <c r="A5" s="33" t="n">
        <v>8070</v>
      </c>
      <c r="B5" s="33" t="s">
        <v>199</v>
      </c>
      <c r="C5" s="33" t="s">
        <v>200</v>
      </c>
      <c r="D5" s="33"/>
      <c r="E5" s="33" t="n">
        <v>133</v>
      </c>
      <c r="F5" s="33" t="s">
        <v>35</v>
      </c>
      <c r="G5" s="33" t="s">
        <v>67</v>
      </c>
      <c r="H5" s="33" t="n">
        <v>4</v>
      </c>
      <c r="I5" s="33" t="n">
        <v>21</v>
      </c>
      <c r="J5" s="33" t="n">
        <v>21</v>
      </c>
      <c r="K5" s="32" t="n">
        <v>147.75</v>
      </c>
      <c r="L5" s="33" t="str">
        <f aca="false">IF($B5="","",IFERROR(INDEX('Code Mapping'!$D$5:$D$1753,MATCH($B5,'Code Mapping'!$A$5:$A$1753,0)),"Unmapped"))</f>
        <v>Aspire</v>
      </c>
      <c r="M5" s="33" t="str">
        <f aca="false">IF($B5="","",IFERROR(INDEX('Code Mapping'!$E$5:$E$1753,MATCH($B5,'Code Mapping'!$A$5:$A$1753,0)),"Unmapped"))</f>
        <v>Corporate discount</v>
      </c>
      <c r="N5" s="33" t="str">
        <f aca="false">IF($F5="","",$F5)</f>
        <v>Urban Arena</v>
      </c>
    </row>
    <row r="6" customFormat="false" ht="15" hidden="false" customHeight="false" outlineLevel="0" collapsed="false">
      <c r="A6" s="33" t="n">
        <v>8322</v>
      </c>
      <c r="B6" s="33" t="s">
        <v>121</v>
      </c>
      <c r="C6" s="33" t="s">
        <v>122</v>
      </c>
      <c r="D6" s="33" t="s">
        <v>140</v>
      </c>
      <c r="E6" s="33" t="n">
        <v>94</v>
      </c>
      <c r="F6" s="33" t="s">
        <v>37</v>
      </c>
      <c r="G6" s="33" t="s">
        <v>67</v>
      </c>
      <c r="H6" s="33" t="n">
        <v>13</v>
      </c>
      <c r="I6" s="33" t="n">
        <v>13</v>
      </c>
      <c r="J6" s="33" t="n">
        <v>13</v>
      </c>
      <c r="K6" s="32" t="n">
        <v>585</v>
      </c>
      <c r="L6" s="33" t="str">
        <f aca="false">IF($B6="","",IFERROR(INDEX('Code Mapping'!$D$5:$D$1753,MATCH($B6,'Code Mapping'!$A$5:$A$1753,0)),"Unmapped"))</f>
        <v>Internal / promotion</v>
      </c>
      <c r="M6" s="33" t="str">
        <f aca="false">IF($B6="","",IFERROR(INDEX('Code Mapping'!$E$5:$E$1753,MATCH($B6,'Code Mapping'!$A$5:$A$1753,0)),"Unmapped"))</f>
        <v>Internal / promotion</v>
      </c>
      <c r="N6" s="33" t="str">
        <f aca="false">IF($F6="","",$F6)</f>
        <v>Kids City Driving School</v>
      </c>
    </row>
    <row r="7" customFormat="false" ht="15" hidden="false" customHeight="false" outlineLevel="0" collapsed="false">
      <c r="A7" s="33" t="n">
        <v>8338</v>
      </c>
      <c r="B7" s="33" t="s">
        <v>265</v>
      </c>
      <c r="C7" s="33" t="s">
        <v>151</v>
      </c>
      <c r="D7" s="33" t="s">
        <v>140</v>
      </c>
      <c r="E7" s="33" t="n">
        <v>94</v>
      </c>
      <c r="F7" s="33" t="s">
        <v>37</v>
      </c>
      <c r="G7" s="33" t="s">
        <v>67</v>
      </c>
      <c r="H7" s="33" t="n">
        <v>2</v>
      </c>
      <c r="I7" s="33" t="n">
        <v>9</v>
      </c>
      <c r="J7" s="33" t="n">
        <v>9</v>
      </c>
      <c r="K7" s="32" t="n">
        <v>69.75</v>
      </c>
      <c r="L7" s="33" t="str">
        <f aca="false">IF($B7="","",IFERROR(INDEX('Code Mapping'!$D$5:$D$1753,MATCH($B7,'Code Mapping'!$A$5:$A$1753,0)),"Unmapped"))</f>
        <v>Qatar Airways</v>
      </c>
      <c r="M7" s="33" t="str">
        <f aca="false">IF($B7="","",IFERROR(INDEX('Code Mapping'!$E$5:$E$1753,MATCH($B7,'Code Mapping'!$A$5:$A$1753,0)),"Unmapped"))</f>
        <v>Corporate discount</v>
      </c>
      <c r="N7" s="33" t="str">
        <f aca="false">IF($F7="","",$F7)</f>
        <v>Kids City Driving School</v>
      </c>
    </row>
    <row r="8" customFormat="false" ht="15" hidden="false" customHeight="false" outlineLevel="0" collapsed="false">
      <c r="A8" s="33" t="n">
        <v>8340</v>
      </c>
      <c r="B8" s="33" t="s">
        <v>244</v>
      </c>
      <c r="C8" s="33" t="s">
        <v>245</v>
      </c>
      <c r="D8" s="33" t="s">
        <v>140</v>
      </c>
      <c r="E8" s="33" t="n">
        <v>94</v>
      </c>
      <c r="F8" s="33" t="s">
        <v>37</v>
      </c>
      <c r="G8" s="33" t="s">
        <v>67</v>
      </c>
      <c r="H8" s="33" t="n">
        <v>16</v>
      </c>
      <c r="I8" s="33" t="n">
        <v>65</v>
      </c>
      <c r="J8" s="33" t="n">
        <v>65</v>
      </c>
      <c r="K8" s="32" t="n">
        <v>453</v>
      </c>
      <c r="L8" s="33" t="str">
        <f aca="false">IF($B8="","",IFERROR(INDEX('Code Mapping'!$D$5:$D$1753,MATCH($B8,'Code Mapping'!$A$5:$A$1753,0)),"Unmapped"))</f>
        <v>Qatar Investment Authority</v>
      </c>
      <c r="M8" s="33" t="str">
        <f aca="false">IF($B8="","",IFERROR(INDEX('Code Mapping'!$E$5:$E$1753,MATCH($B8,'Code Mapping'!$A$5:$A$1753,0)),"Unmapped"))</f>
        <v>Corporate discount</v>
      </c>
      <c r="N8" s="33" t="str">
        <f aca="false">IF($F8="","",$F8)</f>
        <v>Kids City Driving School</v>
      </c>
    </row>
    <row r="9" customFormat="false" ht="15" hidden="false" customHeight="false" outlineLevel="0" collapsed="false">
      <c r="A9" s="33" t="n">
        <v>8345</v>
      </c>
      <c r="B9" s="33" t="s">
        <v>415</v>
      </c>
      <c r="C9" s="33"/>
      <c r="D9" s="33" t="s">
        <v>140</v>
      </c>
      <c r="E9" s="33" t="n">
        <v>94</v>
      </c>
      <c r="F9" s="33" t="s">
        <v>37</v>
      </c>
      <c r="G9" s="33" t="s">
        <v>67</v>
      </c>
      <c r="H9" s="33" t="n">
        <v>1</v>
      </c>
      <c r="I9" s="33" t="n">
        <v>1</v>
      </c>
      <c r="J9" s="33" t="n">
        <v>1</v>
      </c>
      <c r="K9" s="32" t="n">
        <v>199</v>
      </c>
      <c r="L9" s="33" t="str">
        <f aca="false">IF($B9="","",IFERROR(INDEX('Code Mapping'!$D$5:$D$1753,MATCH($B9,'Code Mapping'!$A$5:$A$1753,0)),"Unmapped"))</f>
        <v>Entertainer</v>
      </c>
      <c r="M9" s="33" t="str">
        <f aca="false">IF($B9="","",IFERROR(INDEX('Code Mapping'!$E$5:$E$1753,MATCH($B9,'Code Mapping'!$A$5:$A$1753,0)),"Unmapped"))</f>
        <v>Aggregator BOGO</v>
      </c>
      <c r="N9" s="33" t="str">
        <f aca="false">IF($F9="","",$F9)</f>
        <v>Kids City Driving School</v>
      </c>
    </row>
    <row r="10" customFormat="false" ht="15" hidden="false" customHeight="false" outlineLevel="0" collapsed="false">
      <c r="A10" s="33" t="n">
        <v>8347</v>
      </c>
      <c r="B10" s="33" t="s">
        <v>188</v>
      </c>
      <c r="C10" s="33"/>
      <c r="D10" s="33" t="s">
        <v>140</v>
      </c>
      <c r="E10" s="33" t="n">
        <v>94</v>
      </c>
      <c r="F10" s="33" t="s">
        <v>37</v>
      </c>
      <c r="G10" s="33" t="s">
        <v>67</v>
      </c>
      <c r="H10" s="33" t="n">
        <v>11</v>
      </c>
      <c r="I10" s="33" t="n">
        <v>11</v>
      </c>
      <c r="J10" s="33" t="n">
        <v>11</v>
      </c>
      <c r="K10" s="32" t="n">
        <v>2189</v>
      </c>
      <c r="L10" s="33" t="str">
        <f aca="false">IF($B10="","",IFERROR(INDEX('Code Mapping'!$D$5:$D$1753,MATCH($B10,'Code Mapping'!$A$5:$A$1753,0)),"Unmapped"))</f>
        <v>My Book</v>
      </c>
      <c r="M10" s="33" t="str">
        <f aca="false">IF($B10="","",IFERROR(INDEX('Code Mapping'!$E$5:$E$1753,MATCH($B10,'Code Mapping'!$A$5:$A$1753,0)),"Unmapped"))</f>
        <v>Aggregator BOGO</v>
      </c>
      <c r="N10" s="33" t="str">
        <f aca="false">IF($F10="","",$F10)</f>
        <v>Kids City Driving School</v>
      </c>
    </row>
    <row r="11" customFormat="false" ht="15" hidden="false" customHeight="false" outlineLevel="0" collapsed="false">
      <c r="A11" s="33" t="n">
        <v>8346</v>
      </c>
      <c r="B11" s="33" t="s">
        <v>416</v>
      </c>
      <c r="C11" s="33"/>
      <c r="D11" s="33" t="s">
        <v>140</v>
      </c>
      <c r="E11" s="33" t="n">
        <v>94</v>
      </c>
      <c r="F11" s="33" t="s">
        <v>37</v>
      </c>
      <c r="G11" s="33" t="s">
        <v>67</v>
      </c>
      <c r="H11" s="33" t="n">
        <v>1</v>
      </c>
      <c r="I11" s="33" t="n">
        <v>1</v>
      </c>
      <c r="J11" s="33" t="n">
        <v>1</v>
      </c>
      <c r="K11" s="32" t="n">
        <v>199</v>
      </c>
      <c r="L11" s="33" t="str">
        <f aca="false">IF($B11="","",IFERROR(INDEX('Code Mapping'!$D$5:$D$1753,MATCH($B11,'Code Mapping'!$A$5:$A$1753,0)),"Unmapped"))</f>
        <v>Urban Point</v>
      </c>
      <c r="M11" s="33" t="str">
        <f aca="false">IF($B11="","",IFERROR(INDEX('Code Mapping'!$E$5:$E$1753,MATCH($B11,'Code Mapping'!$A$5:$A$1753,0)),"Unmapped"))</f>
        <v>Aggregator BOGO</v>
      </c>
      <c r="N11" s="33" t="str">
        <f aca="false">IF($F11="","",$F11)</f>
        <v>Kids City Driving School</v>
      </c>
    </row>
    <row r="12" customFormat="false" ht="15" hidden="false" customHeight="false" outlineLevel="0" collapsed="false">
      <c r="A12" s="33" t="n">
        <v>8313</v>
      </c>
      <c r="B12" s="33" t="s">
        <v>126</v>
      </c>
      <c r="C12" s="33" t="s">
        <v>127</v>
      </c>
      <c r="D12" s="33" t="s">
        <v>140</v>
      </c>
      <c r="E12" s="33" t="n">
        <v>133</v>
      </c>
      <c r="F12" s="33" t="s">
        <v>35</v>
      </c>
      <c r="G12" s="33" t="s">
        <v>67</v>
      </c>
      <c r="H12" s="33" t="n">
        <v>1</v>
      </c>
      <c r="I12" s="33" t="n">
        <v>1</v>
      </c>
      <c r="J12" s="33" t="n">
        <v>1</v>
      </c>
      <c r="K12" s="32" t="n">
        <v>45</v>
      </c>
      <c r="L12" s="33" t="str">
        <f aca="false">IF($B12="","",IFERROR(INDEX('Code Mapping'!$D$5:$D$1753,MATCH($B12,'Code Mapping'!$A$5:$A$1753,0)),"Unmapped"))</f>
        <v>Internal / promotion</v>
      </c>
      <c r="M12" s="33" t="str">
        <f aca="false">IF($B12="","",IFERROR(INDEX('Code Mapping'!$E$5:$E$1753,MATCH($B12,'Code Mapping'!$A$5:$A$1753,0)),"Unmapped"))</f>
        <v>Internal / promotion</v>
      </c>
      <c r="N12" s="33" t="str">
        <f aca="false">IF($F12="","",$F12)</f>
        <v>Urban Arena</v>
      </c>
    </row>
    <row r="13" customFormat="false" ht="15" hidden="false" customHeight="false" outlineLevel="0" collapsed="false">
      <c r="A13" s="33" t="n">
        <v>8314</v>
      </c>
      <c r="B13" s="33" t="s">
        <v>119</v>
      </c>
      <c r="C13" s="33"/>
      <c r="D13" s="33" t="s">
        <v>140</v>
      </c>
      <c r="E13" s="33" t="n">
        <v>91</v>
      </c>
      <c r="F13" s="33" t="s">
        <v>36</v>
      </c>
      <c r="G13" s="33" t="s">
        <v>67</v>
      </c>
      <c r="H13" s="33" t="n">
        <v>1</v>
      </c>
      <c r="I13" s="33" t="n">
        <v>1</v>
      </c>
      <c r="J13" s="33" t="n">
        <v>1</v>
      </c>
      <c r="K13" s="32" t="n">
        <v>45</v>
      </c>
      <c r="L13" s="33" t="str">
        <f aca="false">IF($B13="","",IFERROR(INDEX('Code Mapping'!$D$5:$D$1753,MATCH($B13,'Code Mapping'!$A$5:$A$1753,0)),"Unmapped"))</f>
        <v>Internal / promotion</v>
      </c>
      <c r="M13" s="33" t="str">
        <f aca="false">IF($B13="","",IFERROR(INDEX('Code Mapping'!$E$5:$E$1753,MATCH($B13,'Code Mapping'!$A$5:$A$1753,0)),"Unmapped"))</f>
        <v>Internal / promotion</v>
      </c>
      <c r="N13" s="33" t="str">
        <f aca="false">IF($F13="","",$F13)</f>
        <v>InflataPark</v>
      </c>
    </row>
    <row r="14" customFormat="false" ht="15" hidden="false" customHeight="false" outlineLevel="0" collapsed="false">
      <c r="A14" s="33" t="n">
        <v>6827</v>
      </c>
      <c r="B14" s="33" t="s">
        <v>182</v>
      </c>
      <c r="C14" s="33"/>
      <c r="D14" s="33"/>
      <c r="E14" s="33" t="n">
        <v>61</v>
      </c>
      <c r="F14" s="33" t="s">
        <v>38</v>
      </c>
      <c r="G14" s="33" t="s">
        <v>67</v>
      </c>
      <c r="H14" s="33" t="n">
        <v>4</v>
      </c>
      <c r="I14" s="33" t="n">
        <v>4</v>
      </c>
      <c r="J14" s="33" t="n">
        <v>4</v>
      </c>
      <c r="K14" s="32" t="n">
        <v>400</v>
      </c>
      <c r="L14" s="33" t="str">
        <f aca="false">IF($B14="","",IFERROR(INDEX('Code Mapping'!$D$5:$D$1753,MATCH($B14,'Code Mapping'!$A$5:$A$1753,0)),"Unmapped"))</f>
        <v>My Book</v>
      </c>
      <c r="M14" s="33" t="str">
        <f aca="false">IF($B14="","",IFERROR(INDEX('Code Mapping'!$E$5:$E$1753,MATCH($B14,'Code Mapping'!$A$5:$A$1753,0)),"Unmapped"))</f>
        <v>Aggregator BOGO</v>
      </c>
      <c r="N14" s="33" t="str">
        <f aca="false">IF($F14="","",$F14)</f>
        <v>Crayons &amp; Bricks Vendome</v>
      </c>
    </row>
    <row r="15" customFormat="false" ht="15" hidden="false" customHeight="false" outlineLevel="0" collapsed="false">
      <c r="A15" s="33" t="n">
        <v>8255</v>
      </c>
      <c r="B15" s="33" t="s">
        <v>125</v>
      </c>
      <c r="C15" s="33"/>
      <c r="D15" s="33" t="s">
        <v>140</v>
      </c>
      <c r="E15" s="33" t="n">
        <v>133</v>
      </c>
      <c r="F15" s="33" t="s">
        <v>35</v>
      </c>
      <c r="G15" s="33" t="s">
        <v>67</v>
      </c>
      <c r="H15" s="33" t="n">
        <v>1</v>
      </c>
      <c r="I15" s="33" t="n">
        <v>3</v>
      </c>
      <c r="J15" s="33" t="n">
        <v>3</v>
      </c>
      <c r="K15" s="32" t="n">
        <v>15</v>
      </c>
      <c r="L15" s="33" t="str">
        <f aca="false">IF($B15="","",IFERROR(INDEX('Code Mapping'!$D$5:$D$1753,MATCH($B15,'Code Mapping'!$A$5:$A$1753,0)),"Unmapped"))</f>
        <v>Internal / promotion</v>
      </c>
      <c r="M15" s="33" t="str">
        <f aca="false">IF($B15="","",IFERROR(INDEX('Code Mapping'!$E$5:$E$1753,MATCH($B15,'Code Mapping'!$A$5:$A$1753,0)),"Unmapped"))</f>
        <v>Internal / promotion</v>
      </c>
      <c r="N15" s="33" t="str">
        <f aca="false">IF($F15="","",$F15)</f>
        <v>Urban Arena</v>
      </c>
    </row>
    <row r="16" customFormat="false" ht="15" hidden="false" customHeight="false" outlineLevel="0" collapsed="false">
      <c r="A16" s="33" t="n">
        <v>8106</v>
      </c>
      <c r="B16" s="33" t="s">
        <v>279</v>
      </c>
      <c r="C16" s="33" t="s">
        <v>155</v>
      </c>
      <c r="D16" s="33"/>
      <c r="E16" s="33" t="n">
        <v>61</v>
      </c>
      <c r="F16" s="33" t="s">
        <v>38</v>
      </c>
      <c r="G16" s="33" t="s">
        <v>67</v>
      </c>
      <c r="H16" s="33" t="n">
        <v>2</v>
      </c>
      <c r="I16" s="33" t="n">
        <v>10</v>
      </c>
      <c r="J16" s="33" t="n">
        <v>10</v>
      </c>
      <c r="K16" s="32" t="n">
        <v>52.5</v>
      </c>
      <c r="L16" s="33" t="str">
        <f aca="false">IF($B16="","",IFERROR(INDEX('Code Mapping'!$D$5:$D$1753,MATCH($B16,'Code Mapping'!$A$5:$A$1753,0)),"Unmapped"))</f>
        <v>Qatar Foundation</v>
      </c>
      <c r="M16" s="33" t="str">
        <f aca="false">IF($B16="","",IFERROR(INDEX('Code Mapping'!$E$5:$E$1753,MATCH($B16,'Code Mapping'!$A$5:$A$1753,0)),"Unmapped"))</f>
        <v>Corporate discount</v>
      </c>
      <c r="N16" s="33" t="str">
        <f aca="false">IF($F16="","",$F16)</f>
        <v>Crayons &amp; Bricks Vendome</v>
      </c>
    </row>
    <row r="17" customFormat="false" ht="15" hidden="false" customHeight="false" outlineLevel="0" collapsed="false">
      <c r="A17" s="33" t="n">
        <v>8075</v>
      </c>
      <c r="B17" s="33" t="s">
        <v>186</v>
      </c>
      <c r="C17" s="33" t="s">
        <v>139</v>
      </c>
      <c r="D17" s="33"/>
      <c r="E17" s="33" t="n">
        <v>133</v>
      </c>
      <c r="F17" s="33" t="s">
        <v>35</v>
      </c>
      <c r="G17" s="33" t="s">
        <v>67</v>
      </c>
      <c r="H17" s="33" t="n">
        <v>8</v>
      </c>
      <c r="I17" s="33" t="n">
        <v>35</v>
      </c>
      <c r="J17" s="33" t="n">
        <v>35</v>
      </c>
      <c r="K17" s="32" t="n">
        <v>224.25</v>
      </c>
      <c r="L17" s="33" t="str">
        <f aca="false">IF($B17="","",IFERROR(INDEX('Code Mapping'!$D$5:$D$1753,MATCH($B17,'Code Mapping'!$A$5:$A$1753,0)),"Unmapped"))</f>
        <v>Imtyazat</v>
      </c>
      <c r="M17" s="33" t="str">
        <f aca="false">IF($B17="","",IFERROR(INDEX('Code Mapping'!$E$5:$E$1753,MATCH($B17,'Code Mapping'!$A$5:$A$1753,0)),"Unmapped"))</f>
        <v>Corporate discount</v>
      </c>
      <c r="N17" s="33" t="str">
        <f aca="false">IF($F17="","",$F17)</f>
        <v>Urban Arena</v>
      </c>
    </row>
    <row r="18" customFormat="false" ht="15" hidden="false" customHeight="false" outlineLevel="0" collapsed="false">
      <c r="A18" s="33" t="n">
        <v>8093</v>
      </c>
      <c r="B18" s="33" t="s">
        <v>167</v>
      </c>
      <c r="C18" s="33" t="s">
        <v>168</v>
      </c>
      <c r="D18" s="33"/>
      <c r="E18" s="33" t="n">
        <v>133</v>
      </c>
      <c r="F18" s="33" t="s">
        <v>35</v>
      </c>
      <c r="G18" s="33" t="s">
        <v>67</v>
      </c>
      <c r="H18" s="33" t="n">
        <v>9</v>
      </c>
      <c r="I18" s="33" t="n">
        <v>9</v>
      </c>
      <c r="J18" s="33" t="n">
        <v>9</v>
      </c>
      <c r="K18" s="32" t="n">
        <v>1791</v>
      </c>
      <c r="L18" s="33" t="str">
        <f aca="false">IF($B18="","",IFERROR(INDEX('Code Mapping'!$D$5:$D$1753,MATCH($B18,'Code Mapping'!$A$5:$A$1753,0)),"Unmapped"))</f>
        <v>My Book</v>
      </c>
      <c r="M18" s="33" t="str">
        <f aca="false">IF($B18="","",IFERROR(INDEX('Code Mapping'!$E$5:$E$1753,MATCH($B18,'Code Mapping'!$A$5:$A$1753,0)),"Unmapped"))</f>
        <v>Aggregator BOGO</v>
      </c>
      <c r="N18" s="33" t="str">
        <f aca="false">IF($F18="","",$F18)</f>
        <v>Urban Arena</v>
      </c>
    </row>
    <row r="19" customFormat="false" ht="15" hidden="false" customHeight="false" outlineLevel="0" collapsed="false">
      <c r="A19" s="33" t="n">
        <v>8078</v>
      </c>
      <c r="B19" s="33" t="s">
        <v>150</v>
      </c>
      <c r="C19" s="33" t="s">
        <v>151</v>
      </c>
      <c r="D19" s="33"/>
      <c r="E19" s="33" t="n">
        <v>133</v>
      </c>
      <c r="F19" s="33" t="s">
        <v>35</v>
      </c>
      <c r="G19" s="33" t="s">
        <v>67</v>
      </c>
      <c r="H19" s="33" t="n">
        <v>31</v>
      </c>
      <c r="I19" s="33" t="n">
        <v>113</v>
      </c>
      <c r="J19" s="33" t="n">
        <v>113</v>
      </c>
      <c r="K19" s="32" t="n">
        <v>856.5</v>
      </c>
      <c r="L19" s="33" t="str">
        <f aca="false">IF($B19="","",IFERROR(INDEX('Code Mapping'!$D$5:$D$1753,MATCH($B19,'Code Mapping'!$A$5:$A$1753,0)),"Unmapped"))</f>
        <v>Qatar Airways</v>
      </c>
      <c r="M19" s="33" t="str">
        <f aca="false">IF($B19="","",IFERROR(INDEX('Code Mapping'!$E$5:$E$1753,MATCH($B19,'Code Mapping'!$A$5:$A$1753,0)),"Unmapped"))</f>
        <v>Corporate discount</v>
      </c>
      <c r="N19" s="33" t="str">
        <f aca="false">IF($F19="","",$F19)</f>
        <v>Urban Arena</v>
      </c>
    </row>
    <row r="20" customFormat="false" ht="15" hidden="false" customHeight="false" outlineLevel="0" collapsed="false">
      <c r="A20" s="33" t="n">
        <v>8094</v>
      </c>
      <c r="B20" s="33" t="s">
        <v>169</v>
      </c>
      <c r="C20" s="33" t="s">
        <v>170</v>
      </c>
      <c r="D20" s="33"/>
      <c r="E20" s="33" t="n">
        <v>133</v>
      </c>
      <c r="F20" s="33" t="s">
        <v>35</v>
      </c>
      <c r="G20" s="33" t="s">
        <v>67</v>
      </c>
      <c r="H20" s="33" t="n">
        <v>10</v>
      </c>
      <c r="I20" s="33" t="n">
        <v>10</v>
      </c>
      <c r="J20" s="33" t="n">
        <v>10</v>
      </c>
      <c r="K20" s="32" t="n">
        <v>1990</v>
      </c>
      <c r="L20" s="33" t="str">
        <f aca="false">IF($B20="","",IFERROR(INDEX('Code Mapping'!$D$5:$D$1753,MATCH($B20,'Code Mapping'!$A$5:$A$1753,0)),"Unmapped"))</f>
        <v>Urban Point</v>
      </c>
      <c r="M20" s="33" t="str">
        <f aca="false">IF($B20="","",IFERROR(INDEX('Code Mapping'!$E$5:$E$1753,MATCH($B20,'Code Mapping'!$A$5:$A$1753,0)),"Unmapped"))</f>
        <v>Aggregator BOGO</v>
      </c>
      <c r="N20" s="33" t="str">
        <f aca="false">IF($F20="","",$F20)</f>
        <v>Urban Arena</v>
      </c>
    </row>
    <row r="21" customFormat="false" ht="15" hidden="false" customHeight="false" outlineLevel="0" collapsed="false">
      <c r="A21" s="33" t="n">
        <v>8076</v>
      </c>
      <c r="B21" s="33" t="s">
        <v>157</v>
      </c>
      <c r="C21" s="33" t="s">
        <v>158</v>
      </c>
      <c r="D21" s="33"/>
      <c r="E21" s="33" t="n">
        <v>133</v>
      </c>
      <c r="F21" s="33" t="s">
        <v>35</v>
      </c>
      <c r="G21" s="33" t="s">
        <v>67</v>
      </c>
      <c r="H21" s="33" t="n">
        <v>30</v>
      </c>
      <c r="I21" s="33" t="n">
        <v>107</v>
      </c>
      <c r="J21" s="33" t="n">
        <v>107</v>
      </c>
      <c r="K21" s="32" t="n">
        <v>1068</v>
      </c>
      <c r="L21" s="33" t="str">
        <f aca="false">IF($B21="","",IFERROR(INDEX('Code Mapping'!$D$5:$D$1753,MATCH($B21,'Code Mapping'!$A$5:$A$1753,0)),"Unmapped"))</f>
        <v>Public Health Sector (Sogha)</v>
      </c>
      <c r="M21" s="33" t="str">
        <f aca="false">IF($B21="","",IFERROR(INDEX('Code Mapping'!$E$5:$E$1753,MATCH($B21,'Code Mapping'!$A$5:$A$1753,0)),"Unmapped"))</f>
        <v>Corporate discount</v>
      </c>
      <c r="N21" s="33" t="str">
        <f aca="false">IF($F21="","",$F21)</f>
        <v>Urban Arena</v>
      </c>
    </row>
    <row r="22" customFormat="false" ht="15" hidden="false" customHeight="false" outlineLevel="0" collapsed="false">
      <c r="A22" s="33" t="n">
        <v>8069</v>
      </c>
      <c r="B22" s="33" t="s">
        <v>209</v>
      </c>
      <c r="C22" s="33" t="s">
        <v>210</v>
      </c>
      <c r="D22" s="33"/>
      <c r="E22" s="33" t="n">
        <v>133</v>
      </c>
      <c r="F22" s="33" t="s">
        <v>35</v>
      </c>
      <c r="G22" s="33" t="s">
        <v>67</v>
      </c>
      <c r="H22" s="33" t="n">
        <v>4</v>
      </c>
      <c r="I22" s="33" t="n">
        <v>9</v>
      </c>
      <c r="J22" s="33" t="n">
        <v>9</v>
      </c>
      <c r="K22" s="32" t="n">
        <v>197.25</v>
      </c>
      <c r="L22" s="33" t="str">
        <f aca="false">IF($B22="","",IFERROR(INDEX('Code Mapping'!$D$5:$D$1753,MATCH($B22,'Code Mapping'!$A$5:$A$1753,0)),"Unmapped"))</f>
        <v>Al Jazeera Imtiyazat</v>
      </c>
      <c r="M22" s="33" t="str">
        <f aca="false">IF($B22="","",IFERROR(INDEX('Code Mapping'!$E$5:$E$1753,MATCH($B22,'Code Mapping'!$A$5:$A$1753,0)),"Unmapped"))</f>
        <v>Corporate discount</v>
      </c>
      <c r="N22" s="33" t="str">
        <f aca="false">IF($F22="","",$F22)</f>
        <v>Urban Arena</v>
      </c>
    </row>
    <row r="23" customFormat="false" ht="15" hidden="false" customHeight="false" outlineLevel="0" collapsed="false">
      <c r="A23" s="33" t="n">
        <v>8335</v>
      </c>
      <c r="B23" s="33" t="s">
        <v>165</v>
      </c>
      <c r="C23" s="33" t="s">
        <v>166</v>
      </c>
      <c r="D23" s="33" t="s">
        <v>140</v>
      </c>
      <c r="E23" s="33" t="n">
        <v>94</v>
      </c>
      <c r="F23" s="33" t="s">
        <v>37</v>
      </c>
      <c r="G23" s="33" t="s">
        <v>67</v>
      </c>
      <c r="H23" s="33" t="n">
        <v>37</v>
      </c>
      <c r="I23" s="33" t="n">
        <v>160</v>
      </c>
      <c r="J23" s="33" t="n">
        <v>160</v>
      </c>
      <c r="K23" s="32" t="n">
        <v>1137.75</v>
      </c>
      <c r="L23" s="33" t="str">
        <f aca="false">IF($B23="","",IFERROR(INDEX('Code Mapping'!$D$5:$D$1753,MATCH($B23,'Code Mapping'!$A$5:$A$1753,0)),"Unmapped"))</f>
        <v>Imtyazat</v>
      </c>
      <c r="M23" s="33" t="str">
        <f aca="false">IF($B23="","",IFERROR(INDEX('Code Mapping'!$E$5:$E$1753,MATCH($B23,'Code Mapping'!$A$5:$A$1753,0)),"Unmapped"))</f>
        <v>Corporate discount</v>
      </c>
      <c r="N23" s="33" t="str">
        <f aca="false">IF($F23="","",$F23)</f>
        <v>Kids City Driving School</v>
      </c>
    </row>
    <row r="24" customFormat="false" ht="15" hidden="false" customHeight="false" outlineLevel="0" collapsed="false">
      <c r="A24" s="33" t="n">
        <v>8079</v>
      </c>
      <c r="B24" s="33" t="s">
        <v>154</v>
      </c>
      <c r="C24" s="33" t="s">
        <v>155</v>
      </c>
      <c r="D24" s="33" t="s">
        <v>140</v>
      </c>
      <c r="E24" s="33" t="n">
        <v>133</v>
      </c>
      <c r="F24" s="33" t="s">
        <v>35</v>
      </c>
      <c r="G24" s="33" t="s">
        <v>67</v>
      </c>
      <c r="H24" s="33" t="n">
        <v>27</v>
      </c>
      <c r="I24" s="33" t="n">
        <v>113</v>
      </c>
      <c r="J24" s="33" t="n">
        <v>113</v>
      </c>
      <c r="K24" s="32" t="n">
        <v>947.7</v>
      </c>
      <c r="L24" s="33" t="str">
        <f aca="false">IF($B24="","",IFERROR(INDEX('Code Mapping'!$D$5:$D$1753,MATCH($B24,'Code Mapping'!$A$5:$A$1753,0)),"Unmapped"))</f>
        <v>Qatar Foundation</v>
      </c>
      <c r="M24" s="33" t="str">
        <f aca="false">IF($B24="","",IFERROR(INDEX('Code Mapping'!$E$5:$E$1753,MATCH($B24,'Code Mapping'!$A$5:$A$1753,0)),"Unmapped"))</f>
        <v>Corporate discount</v>
      </c>
      <c r="N24" s="33" t="str">
        <f aca="false">IF($F24="","",$F24)</f>
        <v>Urban Arena</v>
      </c>
    </row>
    <row r="25" customFormat="false" ht="15" hidden="false" customHeight="false" outlineLevel="0" collapsed="false">
      <c r="A25" s="33" t="n">
        <v>8105</v>
      </c>
      <c r="B25" s="33" t="s">
        <v>261</v>
      </c>
      <c r="C25" s="33" t="s">
        <v>151</v>
      </c>
      <c r="D25" s="33"/>
      <c r="E25" s="33" t="n">
        <v>61</v>
      </c>
      <c r="F25" s="33" t="s">
        <v>38</v>
      </c>
      <c r="G25" s="33" t="s">
        <v>67</v>
      </c>
      <c r="H25" s="33" t="n">
        <v>1</v>
      </c>
      <c r="I25" s="33" t="n">
        <v>1</v>
      </c>
      <c r="J25" s="33" t="n">
        <v>1</v>
      </c>
      <c r="K25" s="32" t="n">
        <v>5.25</v>
      </c>
      <c r="L25" s="33" t="str">
        <f aca="false">IF($B25="","",IFERROR(INDEX('Code Mapping'!$D$5:$D$1753,MATCH($B25,'Code Mapping'!$A$5:$A$1753,0)),"Unmapped"))</f>
        <v>Qatar Airways</v>
      </c>
      <c r="M25" s="33" t="str">
        <f aca="false">IF($B25="","",IFERROR(INDEX('Code Mapping'!$E$5:$E$1753,MATCH($B25,'Code Mapping'!$A$5:$A$1753,0)),"Unmapped"))</f>
        <v>Corporate discount</v>
      </c>
      <c r="N25" s="33" t="str">
        <f aca="false">IF($F25="","",$F25)</f>
        <v>Crayons &amp; Bricks Vendome</v>
      </c>
    </row>
    <row r="26" customFormat="false" ht="15" hidden="false" customHeight="false" outlineLevel="0" collapsed="false">
      <c r="A26" s="33" t="n">
        <v>8325</v>
      </c>
      <c r="B26" s="33" t="s">
        <v>272</v>
      </c>
      <c r="C26" s="33"/>
      <c r="D26" s="33" t="s">
        <v>140</v>
      </c>
      <c r="E26" s="33" t="n">
        <v>91</v>
      </c>
      <c r="F26" s="33" t="s">
        <v>36</v>
      </c>
      <c r="G26" s="33" t="s">
        <v>67</v>
      </c>
      <c r="H26" s="33" t="n">
        <v>1</v>
      </c>
      <c r="I26" s="33" t="n">
        <v>1</v>
      </c>
      <c r="J26" s="33" t="n">
        <v>1</v>
      </c>
      <c r="K26" s="32" t="n">
        <v>199</v>
      </c>
      <c r="L26" s="33" t="str">
        <f aca="false">IF($B26="","",IFERROR(INDEX('Code Mapping'!$D$5:$D$1753,MATCH($B26,'Code Mapping'!$A$5:$A$1753,0)),"Unmapped"))</f>
        <v>My Book</v>
      </c>
      <c r="M26" s="33" t="str">
        <f aca="false">IF($B26="","",IFERROR(INDEX('Code Mapping'!$E$5:$E$1753,MATCH($B26,'Code Mapping'!$A$5:$A$1753,0)),"Unmapped"))</f>
        <v>Aggregator BOGO</v>
      </c>
      <c r="N26" s="33" t="str">
        <f aca="false">IF($F26="","",$F26)</f>
        <v>InflataPark</v>
      </c>
    </row>
    <row r="27" customFormat="false" ht="15" hidden="false" customHeight="false" outlineLevel="0" collapsed="false">
      <c r="A27" s="33" t="n">
        <v>8077</v>
      </c>
      <c r="B27" s="33" t="s">
        <v>219</v>
      </c>
      <c r="C27" s="33" t="s">
        <v>220</v>
      </c>
      <c r="D27" s="33"/>
      <c r="E27" s="33" t="n">
        <v>133</v>
      </c>
      <c r="F27" s="33" t="s">
        <v>35</v>
      </c>
      <c r="G27" s="33" t="s">
        <v>67</v>
      </c>
      <c r="H27" s="33" t="n">
        <v>5</v>
      </c>
      <c r="I27" s="33" t="n">
        <v>21</v>
      </c>
      <c r="J27" s="33" t="n">
        <v>21</v>
      </c>
      <c r="K27" s="32" t="n">
        <v>174</v>
      </c>
      <c r="L27" s="33" t="str">
        <f aca="false">IF($B27="","",IFERROR(INDEX('Code Mapping'!$D$5:$D$1753,MATCH($B27,'Code Mapping'!$A$5:$A$1753,0)),"Unmapped"))</f>
        <v>QIB</v>
      </c>
      <c r="M27" s="33" t="str">
        <f aca="false">IF($B27="","",IFERROR(INDEX('Code Mapping'!$E$5:$E$1753,MATCH($B27,'Code Mapping'!$A$5:$A$1753,0)),"Unmapped"))</f>
        <v>Corporate discount</v>
      </c>
      <c r="N27" s="33" t="str">
        <f aca="false">IF($F27="","",$F27)</f>
        <v>Urban Arena</v>
      </c>
    </row>
    <row r="28" customFormat="false" ht="15" hidden="false" customHeight="false" outlineLevel="0" collapsed="false">
      <c r="A28" s="33" t="n">
        <v>8038</v>
      </c>
      <c r="B28" s="33" t="s">
        <v>123</v>
      </c>
      <c r="C28" s="33" t="s">
        <v>124</v>
      </c>
      <c r="D28" s="33"/>
      <c r="E28" s="33" t="n">
        <v>133</v>
      </c>
      <c r="F28" s="33" t="s">
        <v>35</v>
      </c>
      <c r="G28" s="33" t="s">
        <v>67</v>
      </c>
      <c r="H28" s="33" t="n">
        <v>63</v>
      </c>
      <c r="I28" s="33" t="n">
        <v>78</v>
      </c>
      <c r="J28" s="33" t="n">
        <v>78</v>
      </c>
      <c r="K28" s="32" t="n">
        <v>443.5</v>
      </c>
      <c r="L28" s="33" t="str">
        <f aca="false">IF($B28="","",IFERROR(INDEX('Code Mapping'!$D$5:$D$1753,MATCH($B28,'Code Mapping'!$A$5:$A$1753,0)),"Unmapped"))</f>
        <v>Internal / promotion</v>
      </c>
      <c r="M28" s="33" t="str">
        <f aca="false">IF($B28="","",IFERROR(INDEX('Code Mapping'!$E$5:$E$1753,MATCH($B28,'Code Mapping'!$A$5:$A$1753,0)),"Unmapped"))</f>
        <v>Internal / promotion</v>
      </c>
      <c r="N28" s="33" t="str">
        <f aca="false">IF($F28="","",$F28)</f>
        <v>Urban Arena</v>
      </c>
    </row>
    <row r="29" customFormat="false" ht="15" hidden="false" customHeight="false" outlineLevel="0" collapsed="false">
      <c r="A29" s="33" t="n">
        <v>8095</v>
      </c>
      <c r="B29" s="33" t="s">
        <v>178</v>
      </c>
      <c r="C29" s="33" t="s">
        <v>179</v>
      </c>
      <c r="D29" s="33"/>
      <c r="E29" s="33" t="n">
        <v>61</v>
      </c>
      <c r="F29" s="33" t="s">
        <v>38</v>
      </c>
      <c r="G29" s="33" t="s">
        <v>67</v>
      </c>
      <c r="H29" s="33" t="n">
        <v>12</v>
      </c>
      <c r="I29" s="33" t="n">
        <v>12</v>
      </c>
      <c r="J29" s="33" t="n">
        <v>12</v>
      </c>
      <c r="K29" s="32" t="n">
        <v>1200</v>
      </c>
      <c r="L29" s="33" t="str">
        <f aca="false">IF($B29="","",IFERROR(INDEX('Code Mapping'!$D$5:$D$1753,MATCH($B29,'Code Mapping'!$A$5:$A$1753,0)),"Unmapped"))</f>
        <v>Entertainer</v>
      </c>
      <c r="M29" s="33" t="str">
        <f aca="false">IF($B29="","",IFERROR(INDEX('Code Mapping'!$E$5:$E$1753,MATCH($B29,'Code Mapping'!$A$5:$A$1753,0)),"Unmapped"))</f>
        <v>Aggregator BOGO</v>
      </c>
      <c r="N29" s="33" t="str">
        <f aca="false">IF($F29="","",$F29)</f>
        <v>Crayons &amp; Bricks Vendome</v>
      </c>
    </row>
    <row r="30" customFormat="false" ht="15" hidden="false" customHeight="false" outlineLevel="0" collapsed="false">
      <c r="A30" s="33" t="n">
        <v>8097</v>
      </c>
      <c r="B30" s="33" t="s">
        <v>171</v>
      </c>
      <c r="C30" s="33" t="s">
        <v>170</v>
      </c>
      <c r="D30" s="33"/>
      <c r="E30" s="33" t="n">
        <v>61</v>
      </c>
      <c r="F30" s="33" t="s">
        <v>38</v>
      </c>
      <c r="G30" s="33" t="s">
        <v>67</v>
      </c>
      <c r="H30" s="33" t="n">
        <v>17</v>
      </c>
      <c r="I30" s="33" t="n">
        <v>17</v>
      </c>
      <c r="J30" s="33" t="n">
        <v>17</v>
      </c>
      <c r="K30" s="32" t="n">
        <v>1700</v>
      </c>
      <c r="L30" s="33" t="str">
        <f aca="false">IF($B30="","",IFERROR(INDEX('Code Mapping'!$D$5:$D$1753,MATCH($B30,'Code Mapping'!$A$5:$A$1753,0)),"Unmapped"))</f>
        <v>Urban Point</v>
      </c>
      <c r="M30" s="33" t="str">
        <f aca="false">IF($B30="","",IFERROR(INDEX('Code Mapping'!$E$5:$E$1753,MATCH($B30,'Code Mapping'!$A$5:$A$1753,0)),"Unmapped"))</f>
        <v>Aggregator BOGO</v>
      </c>
      <c r="N30" s="33" t="str">
        <f aca="false">IF($F30="","",$F30)</f>
        <v>Crayons &amp; Bricks Vendome</v>
      </c>
    </row>
    <row r="31" customFormat="false" ht="15" hidden="false" customHeight="false" outlineLevel="0" collapsed="false">
      <c r="A31" s="33" t="n">
        <v>8096</v>
      </c>
      <c r="B31" s="33" t="s">
        <v>280</v>
      </c>
      <c r="C31" s="33" t="s">
        <v>281</v>
      </c>
      <c r="D31" s="33"/>
      <c r="E31" s="33" t="n">
        <v>61</v>
      </c>
      <c r="F31" s="33" t="s">
        <v>38</v>
      </c>
      <c r="G31" s="33" t="s">
        <v>67</v>
      </c>
      <c r="H31" s="33" t="n">
        <v>1</v>
      </c>
      <c r="I31" s="33" t="n">
        <v>1</v>
      </c>
      <c r="J31" s="33" t="n">
        <v>1</v>
      </c>
      <c r="K31" s="32" t="n">
        <v>100</v>
      </c>
      <c r="L31" s="33" t="str">
        <f aca="false">IF($B31="","",IFERROR(INDEX('Code Mapping'!$D$5:$D$1753,MATCH($B31,'Code Mapping'!$A$5:$A$1753,0)),"Unmapped"))</f>
        <v>Qatar Living Deals</v>
      </c>
      <c r="M31" s="33" t="str">
        <f aca="false">IF($B31="","",IFERROR(INDEX('Code Mapping'!$E$5:$E$1753,MATCH($B31,'Code Mapping'!$A$5:$A$1753,0)),"Unmapped"))</f>
        <v>Aggregator BOGO</v>
      </c>
      <c r="N31" s="33" t="str">
        <f aca="false">IF($F31="","",$F31)</f>
        <v>Crayons &amp; Bricks Vendome</v>
      </c>
    </row>
    <row r="32" customFormat="false" ht="15" hidden="false" customHeight="false" outlineLevel="0" collapsed="false">
      <c r="A32" s="33" t="n">
        <v>8318</v>
      </c>
      <c r="B32" s="33" t="s">
        <v>193</v>
      </c>
      <c r="C32" s="33"/>
      <c r="D32" s="33" t="s">
        <v>194</v>
      </c>
      <c r="E32" s="33" t="n">
        <v>133</v>
      </c>
      <c r="F32" s="33" t="s">
        <v>35</v>
      </c>
      <c r="G32" s="33" t="s">
        <v>67</v>
      </c>
      <c r="H32" s="33" t="n">
        <v>6</v>
      </c>
      <c r="I32" s="33" t="n">
        <v>18</v>
      </c>
      <c r="J32" s="33" t="n">
        <v>18</v>
      </c>
      <c r="K32" s="32" t="n">
        <v>151.5</v>
      </c>
      <c r="L32" s="33" t="str">
        <f aca="false">IF($B32="","",IFERROR(INDEX('Code Mapping'!$D$5:$D$1753,MATCH($B32,'Code Mapping'!$A$5:$A$1753,0)),"Unmapped"))</f>
        <v>QNB Rewards</v>
      </c>
      <c r="M32" s="33" t="str">
        <f aca="false">IF($B32="","",IFERROR(INDEX('Code Mapping'!$E$5:$E$1753,MATCH($B32,'Code Mapping'!$A$5:$A$1753,0)),"Unmapped"))</f>
        <v>Corporate discount</v>
      </c>
      <c r="N32" s="33" t="str">
        <f aca="false">IF($F32="","",$F32)</f>
        <v>Urban Arena</v>
      </c>
    </row>
    <row r="33" customFormat="false" ht="15" hidden="false" customHeight="false" outlineLevel="0" collapsed="false">
      <c r="A33" s="33" t="n">
        <v>8046</v>
      </c>
      <c r="B33" s="33" t="s">
        <v>222</v>
      </c>
      <c r="C33" s="33" t="s">
        <v>210</v>
      </c>
      <c r="D33" s="33"/>
      <c r="E33" s="33" t="n">
        <v>91</v>
      </c>
      <c r="F33" s="33" t="s">
        <v>36</v>
      </c>
      <c r="G33" s="33" t="s">
        <v>67</v>
      </c>
      <c r="H33" s="33" t="n">
        <v>2</v>
      </c>
      <c r="I33" s="33" t="n">
        <v>2</v>
      </c>
      <c r="J33" s="33" t="n">
        <v>2</v>
      </c>
      <c r="K33" s="32" t="n">
        <v>22.5</v>
      </c>
      <c r="L33" s="33" t="str">
        <f aca="false">IF($B33="","",IFERROR(INDEX('Code Mapping'!$D$5:$D$1753,MATCH($B33,'Code Mapping'!$A$5:$A$1753,0)),"Unmapped"))</f>
        <v>Al Jazeera Imtiyazat</v>
      </c>
      <c r="M33" s="33" t="str">
        <f aca="false">IF($B33="","",IFERROR(INDEX('Code Mapping'!$E$5:$E$1753,MATCH($B33,'Code Mapping'!$A$5:$A$1753,0)),"Unmapped"))</f>
        <v>Corporate discount</v>
      </c>
      <c r="N33" s="33" t="str">
        <f aca="false">IF($F33="","",$F33)</f>
        <v>InflataPark</v>
      </c>
    </row>
    <row r="34" customFormat="false" ht="15" hidden="false" customHeight="false" outlineLevel="0" collapsed="false">
      <c r="A34" s="33" t="n">
        <v>8326</v>
      </c>
      <c r="B34" s="33" t="s">
        <v>207</v>
      </c>
      <c r="C34" s="33"/>
      <c r="D34" s="33" t="s">
        <v>140</v>
      </c>
      <c r="E34" s="33" t="n">
        <v>91</v>
      </c>
      <c r="F34" s="33" t="s">
        <v>36</v>
      </c>
      <c r="G34" s="33" t="s">
        <v>67</v>
      </c>
      <c r="H34" s="33" t="n">
        <v>12</v>
      </c>
      <c r="I34" s="33" t="n">
        <v>12</v>
      </c>
      <c r="J34" s="33" t="n">
        <v>12</v>
      </c>
      <c r="K34" s="32" t="n">
        <v>2388</v>
      </c>
      <c r="L34" s="33" t="str">
        <f aca="false">IF($B34="","",IFERROR(INDEX('Code Mapping'!$D$5:$D$1753,MATCH($B34,'Code Mapping'!$A$5:$A$1753,0)),"Unmapped"))</f>
        <v>Urban Point</v>
      </c>
      <c r="M34" s="33" t="str">
        <f aca="false">IF($B34="","",IFERROR(INDEX('Code Mapping'!$E$5:$E$1753,MATCH($B34,'Code Mapping'!$A$5:$A$1753,0)),"Unmapped"))</f>
        <v>Aggregator BOGO</v>
      </c>
      <c r="N34" s="33" t="str">
        <f aca="false">IF($F34="","",$F34)</f>
        <v>InflataPark</v>
      </c>
    </row>
    <row r="35" customFormat="false" ht="15" hidden="false" customHeight="false" outlineLevel="0" collapsed="false">
      <c r="A35" s="33" t="n">
        <v>8047</v>
      </c>
      <c r="B35" s="33" t="s">
        <v>268</v>
      </c>
      <c r="C35" s="33" t="s">
        <v>200</v>
      </c>
      <c r="D35" s="33"/>
      <c r="E35" s="33" t="n">
        <v>91</v>
      </c>
      <c r="F35" s="33" t="s">
        <v>36</v>
      </c>
      <c r="G35" s="33" t="s">
        <v>67</v>
      </c>
      <c r="H35" s="33" t="n">
        <v>1</v>
      </c>
      <c r="I35" s="33" t="n">
        <v>2</v>
      </c>
      <c r="J35" s="33" t="n">
        <v>2</v>
      </c>
      <c r="K35" s="32" t="n">
        <v>15</v>
      </c>
      <c r="L35" s="33" t="str">
        <f aca="false">IF($B35="","",IFERROR(INDEX('Code Mapping'!$D$5:$D$1753,MATCH($B35,'Code Mapping'!$A$5:$A$1753,0)),"Unmapped"))</f>
        <v>Aspire</v>
      </c>
      <c r="M35" s="33" t="str">
        <f aca="false">IF($B35="","",IFERROR(INDEX('Code Mapping'!$E$5:$E$1753,MATCH($B35,'Code Mapping'!$A$5:$A$1753,0)),"Unmapped"))</f>
        <v>Corporate discount</v>
      </c>
      <c r="N35" s="33" t="str">
        <f aca="false">IF($F35="","",$F35)</f>
        <v>InflataPark</v>
      </c>
    </row>
    <row r="36" customFormat="false" ht="15" hidden="false" customHeight="false" outlineLevel="0" collapsed="false">
      <c r="A36" s="33" t="n">
        <v>8324</v>
      </c>
      <c r="B36" s="33" t="s">
        <v>232</v>
      </c>
      <c r="C36" s="33"/>
      <c r="D36" s="33" t="s">
        <v>140</v>
      </c>
      <c r="E36" s="33" t="n">
        <v>91</v>
      </c>
      <c r="F36" s="33" t="s">
        <v>36</v>
      </c>
      <c r="G36" s="33" t="s">
        <v>67</v>
      </c>
      <c r="H36" s="33" t="n">
        <v>6</v>
      </c>
      <c r="I36" s="33" t="n">
        <v>6</v>
      </c>
      <c r="J36" s="33" t="n">
        <v>6</v>
      </c>
      <c r="K36" s="32" t="n">
        <v>1194</v>
      </c>
      <c r="L36" s="33" t="str">
        <f aca="false">IF($B36="","",IFERROR(INDEX('Code Mapping'!$D$5:$D$1753,MATCH($B36,'Code Mapping'!$A$5:$A$1753,0)),"Unmapped"))</f>
        <v>Entertainer</v>
      </c>
      <c r="M36" s="33" t="str">
        <f aca="false">IF($B36="","",IFERROR(INDEX('Code Mapping'!$E$5:$E$1753,MATCH($B36,'Code Mapping'!$A$5:$A$1753,0)),"Unmapped"))</f>
        <v>Aggregator BOGO</v>
      </c>
      <c r="N36" s="33" t="str">
        <f aca="false">IF($F36="","",$F36)</f>
        <v>InflataPark</v>
      </c>
    </row>
    <row r="37" customFormat="false" ht="15" hidden="false" customHeight="false" outlineLevel="0" collapsed="false">
      <c r="A37" s="33" t="n">
        <v>8052</v>
      </c>
      <c r="B37" s="33" t="s">
        <v>149</v>
      </c>
      <c r="C37" s="33" t="s">
        <v>139</v>
      </c>
      <c r="D37" s="33" t="s">
        <v>140</v>
      </c>
      <c r="E37" s="33" t="n">
        <v>91</v>
      </c>
      <c r="F37" s="33" t="s">
        <v>36</v>
      </c>
      <c r="G37" s="33" t="s">
        <v>67</v>
      </c>
      <c r="H37" s="33" t="n">
        <v>27</v>
      </c>
      <c r="I37" s="33" t="n">
        <v>110</v>
      </c>
      <c r="J37" s="33" t="n">
        <v>110</v>
      </c>
      <c r="K37" s="32" t="n">
        <v>859.5</v>
      </c>
      <c r="L37" s="33" t="str">
        <f aca="false">IF($B37="","",IFERROR(INDEX('Code Mapping'!$D$5:$D$1753,MATCH($B37,'Code Mapping'!$A$5:$A$1753,0)),"Unmapped"))</f>
        <v>Imtyazat</v>
      </c>
      <c r="M37" s="33" t="str">
        <f aca="false">IF($B37="","",IFERROR(INDEX('Code Mapping'!$E$5:$E$1753,MATCH($B37,'Code Mapping'!$A$5:$A$1753,0)),"Unmapped"))</f>
        <v>Corporate discount</v>
      </c>
      <c r="N37" s="33" t="str">
        <f aca="false">IF($F37="","",$F37)</f>
        <v>InflataPark</v>
      </c>
    </row>
    <row r="38" customFormat="false" ht="15" hidden="false" customHeight="false" outlineLevel="0" collapsed="false">
      <c r="A38" s="33" t="n">
        <v>8053</v>
      </c>
      <c r="B38" s="33" t="s">
        <v>160</v>
      </c>
      <c r="C38" s="33" t="s">
        <v>158</v>
      </c>
      <c r="D38" s="33"/>
      <c r="E38" s="33" t="n">
        <v>91</v>
      </c>
      <c r="F38" s="33" t="s">
        <v>36</v>
      </c>
      <c r="G38" s="33" t="s">
        <v>67</v>
      </c>
      <c r="H38" s="33" t="n">
        <v>21</v>
      </c>
      <c r="I38" s="33" t="n">
        <v>50</v>
      </c>
      <c r="J38" s="33" t="n">
        <v>50</v>
      </c>
      <c r="K38" s="32" t="n">
        <v>466</v>
      </c>
      <c r="L38" s="33" t="str">
        <f aca="false">IF($B38="","",IFERROR(INDEX('Code Mapping'!$D$5:$D$1753,MATCH($B38,'Code Mapping'!$A$5:$A$1753,0)),"Unmapped"))</f>
        <v>Public Health Sector (Sogha)</v>
      </c>
      <c r="M38" s="33" t="str">
        <f aca="false">IF($B38="","",IFERROR(INDEX('Code Mapping'!$E$5:$E$1753,MATCH($B38,'Code Mapping'!$A$5:$A$1753,0)),"Unmapped"))</f>
        <v>Corporate discount</v>
      </c>
      <c r="N38" s="33" t="str">
        <f aca="false">IF($F38="","",$F38)</f>
        <v>InflataPark</v>
      </c>
    </row>
    <row r="39" customFormat="false" ht="15" hidden="false" customHeight="false" outlineLevel="0" collapsed="false">
      <c r="A39" s="33" t="n">
        <v>8055</v>
      </c>
      <c r="B39" s="33" t="s">
        <v>161</v>
      </c>
      <c r="C39" s="33" t="s">
        <v>151</v>
      </c>
      <c r="D39" s="33"/>
      <c r="E39" s="33" t="n">
        <v>91</v>
      </c>
      <c r="F39" s="33" t="s">
        <v>36</v>
      </c>
      <c r="G39" s="33" t="s">
        <v>67</v>
      </c>
      <c r="H39" s="33" t="n">
        <v>32</v>
      </c>
      <c r="I39" s="33" t="n">
        <v>82</v>
      </c>
      <c r="J39" s="33" t="n">
        <v>82</v>
      </c>
      <c r="K39" s="32" t="n">
        <v>523.5</v>
      </c>
      <c r="L39" s="33" t="str">
        <f aca="false">IF($B39="","",IFERROR(INDEX('Code Mapping'!$D$5:$D$1753,MATCH($B39,'Code Mapping'!$A$5:$A$1753,0)),"Unmapped"))</f>
        <v>Qatar Airways</v>
      </c>
      <c r="M39" s="33" t="str">
        <f aca="false">IF($B39="","",IFERROR(INDEX('Code Mapping'!$E$5:$E$1753,MATCH($B39,'Code Mapping'!$A$5:$A$1753,0)),"Unmapped"))</f>
        <v>Corporate discount</v>
      </c>
      <c r="N39" s="33" t="str">
        <f aca="false">IF($F39="","",$F39)</f>
        <v>InflataPark</v>
      </c>
    </row>
    <row r="40" customFormat="false" ht="15" hidden="false" customHeight="false" outlineLevel="0" collapsed="false">
      <c r="A40" s="33" t="n">
        <v>8056</v>
      </c>
      <c r="B40" s="33" t="s">
        <v>189</v>
      </c>
      <c r="C40" s="33" t="s">
        <v>155</v>
      </c>
      <c r="D40" s="33"/>
      <c r="E40" s="33" t="n">
        <v>91</v>
      </c>
      <c r="F40" s="33" t="s">
        <v>36</v>
      </c>
      <c r="G40" s="33" t="s">
        <v>67</v>
      </c>
      <c r="H40" s="33" t="n">
        <v>5</v>
      </c>
      <c r="I40" s="33" t="n">
        <v>11</v>
      </c>
      <c r="J40" s="33" t="n">
        <v>11</v>
      </c>
      <c r="K40" s="32" t="n">
        <v>71.25</v>
      </c>
      <c r="L40" s="33" t="str">
        <f aca="false">IF($B40="","",IFERROR(INDEX('Code Mapping'!$D$5:$D$1753,MATCH($B40,'Code Mapping'!$A$5:$A$1753,0)),"Unmapped"))</f>
        <v>Qatar Foundation</v>
      </c>
      <c r="M40" s="33" t="str">
        <f aca="false">IF($B40="","",IFERROR(INDEX('Code Mapping'!$E$5:$E$1753,MATCH($B40,'Code Mapping'!$A$5:$A$1753,0)),"Unmapped"))</f>
        <v>Corporate discount</v>
      </c>
      <c r="N40" s="33" t="str">
        <f aca="false">IF($F40="","",$F40)</f>
        <v>InflataPark</v>
      </c>
    </row>
    <row r="41" customFormat="false" ht="15" hidden="false" customHeight="false" outlineLevel="0" collapsed="false">
      <c r="A41" s="33" t="n">
        <v>8057</v>
      </c>
      <c r="B41" s="33" t="s">
        <v>273</v>
      </c>
      <c r="C41" s="33" t="s">
        <v>245</v>
      </c>
      <c r="D41" s="33"/>
      <c r="E41" s="33" t="n">
        <v>91</v>
      </c>
      <c r="F41" s="33" t="s">
        <v>36</v>
      </c>
      <c r="G41" s="33" t="s">
        <v>67</v>
      </c>
      <c r="H41" s="33" t="n">
        <v>4</v>
      </c>
      <c r="I41" s="33" t="n">
        <v>12</v>
      </c>
      <c r="J41" s="33" t="n">
        <v>12</v>
      </c>
      <c r="K41" s="32" t="n">
        <v>88.5</v>
      </c>
      <c r="L41" s="33" t="str">
        <f aca="false">IF($B41="","",IFERROR(INDEX('Code Mapping'!$D$5:$D$1753,MATCH($B41,'Code Mapping'!$A$5:$A$1753,0)),"Unmapped"))</f>
        <v>Qatar Investment Authority</v>
      </c>
      <c r="M41" s="33" t="str">
        <f aca="false">IF($B41="","",IFERROR(INDEX('Code Mapping'!$E$5:$E$1753,MATCH($B41,'Code Mapping'!$A$5:$A$1753,0)),"Unmapped"))</f>
        <v>Corporate discount</v>
      </c>
      <c r="N41" s="33" t="str">
        <f aca="false">IF($F41="","",$F41)</f>
        <v>InflataPark</v>
      </c>
    </row>
    <row r="42" customFormat="false" ht="15" hidden="false" customHeight="false" outlineLevel="0" collapsed="false">
      <c r="A42" s="33" t="n">
        <v>8048</v>
      </c>
      <c r="B42" s="33" t="s">
        <v>275</v>
      </c>
      <c r="C42" s="33" t="s">
        <v>235</v>
      </c>
      <c r="D42" s="33"/>
      <c r="E42" s="33" t="n">
        <v>91</v>
      </c>
      <c r="F42" s="33" t="s">
        <v>36</v>
      </c>
      <c r="G42" s="33" t="s">
        <v>67</v>
      </c>
      <c r="H42" s="33" t="n">
        <v>1</v>
      </c>
      <c r="I42" s="33" t="n">
        <v>6</v>
      </c>
      <c r="J42" s="33" t="n">
        <v>6</v>
      </c>
      <c r="K42" s="32" t="n">
        <v>52.5</v>
      </c>
      <c r="L42" s="33" t="str">
        <f aca="false">IF($B42="","",IFERROR(INDEX('Code Mapping'!$D$5:$D$1753,MATCH($B42,'Code Mapping'!$A$5:$A$1753,0)),"Unmapped"))</f>
        <v>Bein</v>
      </c>
      <c r="M42" s="33" t="str">
        <f aca="false">IF($B42="","",IFERROR(INDEX('Code Mapping'!$E$5:$E$1753,MATCH($B42,'Code Mapping'!$A$5:$A$1753,0)),"Unmapped"))</f>
        <v>Corporate discount</v>
      </c>
      <c r="N42" s="33" t="str">
        <f aca="false">IF($F42="","",$F42)</f>
        <v>InflataPark</v>
      </c>
    </row>
    <row r="43" customFormat="false" ht="15" hidden="false" customHeight="false" outlineLevel="0" collapsed="false">
      <c r="A43" s="33" t="n">
        <v>8103</v>
      </c>
      <c r="B43" s="33" t="s">
        <v>266</v>
      </c>
      <c r="C43" s="33" t="s">
        <v>139</v>
      </c>
      <c r="D43" s="33"/>
      <c r="E43" s="33" t="n">
        <v>61</v>
      </c>
      <c r="F43" s="33" t="s">
        <v>38</v>
      </c>
      <c r="G43" s="33" t="s">
        <v>87</v>
      </c>
      <c r="H43" s="33" t="n">
        <v>3</v>
      </c>
      <c r="I43" s="33" t="n">
        <v>12</v>
      </c>
      <c r="J43" s="33" t="n">
        <v>12</v>
      </c>
      <c r="K43" s="32" t="n">
        <v>44.25</v>
      </c>
      <c r="L43" s="33" t="str">
        <f aca="false">IF($B43="","",IFERROR(INDEX('Code Mapping'!$D$5:$D$1753,MATCH($B43,'Code Mapping'!$A$5:$A$1753,0)),"Unmapped"))</f>
        <v>Imtyazat</v>
      </c>
      <c r="M43" s="33" t="str">
        <f aca="false">IF($B43="","",IFERROR(INDEX('Code Mapping'!$E$5:$E$1753,MATCH($B43,'Code Mapping'!$A$5:$A$1753,0)),"Unmapped"))</f>
        <v>Corporate discount</v>
      </c>
      <c r="N43" s="33" t="str">
        <f aca="false">IF($F43="","",$F43)</f>
        <v>Crayons &amp; Bricks Vendome</v>
      </c>
    </row>
    <row r="44" customFormat="false" ht="15" hidden="false" customHeight="false" outlineLevel="0" collapsed="false">
      <c r="A44" s="33" t="n">
        <v>8106</v>
      </c>
      <c r="B44" s="33" t="s">
        <v>279</v>
      </c>
      <c r="C44" s="33" t="s">
        <v>155</v>
      </c>
      <c r="D44" s="33"/>
      <c r="E44" s="33" t="n">
        <v>61</v>
      </c>
      <c r="F44" s="33" t="s">
        <v>38</v>
      </c>
      <c r="G44" s="33" t="s">
        <v>87</v>
      </c>
      <c r="H44" s="33" t="n">
        <v>2</v>
      </c>
      <c r="I44" s="33" t="n">
        <v>9</v>
      </c>
      <c r="J44" s="33" t="n">
        <v>9</v>
      </c>
      <c r="K44" s="32" t="n">
        <v>42.3</v>
      </c>
      <c r="L44" s="33" t="str">
        <f aca="false">IF($B44="","",IFERROR(INDEX('Code Mapping'!$D$5:$D$1753,MATCH($B44,'Code Mapping'!$A$5:$A$1753,0)),"Unmapped"))</f>
        <v>Qatar Foundation</v>
      </c>
      <c r="M44" s="33" t="str">
        <f aca="false">IF($B44="","",IFERROR(INDEX('Code Mapping'!$E$5:$E$1753,MATCH($B44,'Code Mapping'!$A$5:$A$1753,0)),"Unmapped"))</f>
        <v>Corporate discount</v>
      </c>
      <c r="N44" s="33" t="str">
        <f aca="false">IF($F44="","",$F44)</f>
        <v>Crayons &amp; Bricks Vendome</v>
      </c>
    </row>
    <row r="45" customFormat="false" ht="15" hidden="false" customHeight="false" outlineLevel="0" collapsed="false">
      <c r="A45" s="33" t="n">
        <v>6827</v>
      </c>
      <c r="B45" s="33" t="s">
        <v>182</v>
      </c>
      <c r="C45" s="33"/>
      <c r="D45" s="33"/>
      <c r="E45" s="33" t="n">
        <v>61</v>
      </c>
      <c r="F45" s="33" t="s">
        <v>38</v>
      </c>
      <c r="G45" s="33" t="s">
        <v>87</v>
      </c>
      <c r="H45" s="33" t="n">
        <v>8</v>
      </c>
      <c r="I45" s="33" t="n">
        <v>8</v>
      </c>
      <c r="J45" s="33" t="n">
        <v>8</v>
      </c>
      <c r="K45" s="32" t="n">
        <v>800</v>
      </c>
      <c r="L45" s="33" t="str">
        <f aca="false">IF($B45="","",IFERROR(INDEX('Code Mapping'!$D$5:$D$1753,MATCH($B45,'Code Mapping'!$A$5:$A$1753,0)),"Unmapped"))</f>
        <v>My Book</v>
      </c>
      <c r="M45" s="33" t="str">
        <f aca="false">IF($B45="","",IFERROR(INDEX('Code Mapping'!$E$5:$E$1753,MATCH($B45,'Code Mapping'!$A$5:$A$1753,0)),"Unmapped"))</f>
        <v>Aggregator BOGO</v>
      </c>
      <c r="N45" s="33" t="str">
        <f aca="false">IF($F45="","",$F45)</f>
        <v>Crayons &amp; Bricks Vendome</v>
      </c>
    </row>
    <row r="46" customFormat="false" ht="15" hidden="false" customHeight="false" outlineLevel="0" collapsed="false">
      <c r="A46" s="33" t="n">
        <v>8065</v>
      </c>
      <c r="B46" s="33" t="s">
        <v>138</v>
      </c>
      <c r="C46" s="33" t="s">
        <v>139</v>
      </c>
      <c r="D46" s="33" t="s">
        <v>140</v>
      </c>
      <c r="E46" s="33" t="n">
        <v>94</v>
      </c>
      <c r="F46" s="33" t="s">
        <v>37</v>
      </c>
      <c r="G46" s="33" t="s">
        <v>87</v>
      </c>
      <c r="H46" s="33" t="n">
        <v>2</v>
      </c>
      <c r="I46" s="33" t="n">
        <v>4</v>
      </c>
      <c r="J46" s="33" t="n">
        <v>4</v>
      </c>
      <c r="K46" s="32" t="n">
        <v>21</v>
      </c>
      <c r="L46" s="33" t="str">
        <f aca="false">IF($B46="","",IFERROR(INDEX('Code Mapping'!$D$5:$D$1753,MATCH($B46,'Code Mapping'!$A$5:$A$1753,0)),"Unmapped"))</f>
        <v>Imtyazat</v>
      </c>
      <c r="M46" s="33" t="str">
        <f aca="false">IF($B46="","",IFERROR(INDEX('Code Mapping'!$E$5:$E$1753,MATCH($B46,'Code Mapping'!$A$5:$A$1753,0)),"Unmapped"))</f>
        <v>Corporate discount</v>
      </c>
      <c r="N46" s="33" t="str">
        <f aca="false">IF($F46="","",$F46)</f>
        <v>Kids City Driving School</v>
      </c>
    </row>
    <row r="47" customFormat="false" ht="15" hidden="false" customHeight="false" outlineLevel="0" collapsed="false">
      <c r="A47" s="33" t="n">
        <v>8322</v>
      </c>
      <c r="B47" s="33" t="s">
        <v>121</v>
      </c>
      <c r="C47" s="33" t="s">
        <v>122</v>
      </c>
      <c r="D47" s="33" t="s">
        <v>140</v>
      </c>
      <c r="E47" s="33" t="n">
        <v>94</v>
      </c>
      <c r="F47" s="33" t="s">
        <v>37</v>
      </c>
      <c r="G47" s="33" t="s">
        <v>87</v>
      </c>
      <c r="H47" s="33" t="n">
        <v>33</v>
      </c>
      <c r="I47" s="33" t="n">
        <v>33</v>
      </c>
      <c r="J47" s="33" t="n">
        <v>33</v>
      </c>
      <c r="K47" s="32" t="n">
        <v>1485</v>
      </c>
      <c r="L47" s="33" t="str">
        <f aca="false">IF($B47="","",IFERROR(INDEX('Code Mapping'!$D$5:$D$1753,MATCH($B47,'Code Mapping'!$A$5:$A$1753,0)),"Unmapped"))</f>
        <v>Internal / promotion</v>
      </c>
      <c r="M47" s="33" t="str">
        <f aca="false">IF($B47="","",IFERROR(INDEX('Code Mapping'!$E$5:$E$1753,MATCH($B47,'Code Mapping'!$A$5:$A$1753,0)),"Unmapped"))</f>
        <v>Internal / promotion</v>
      </c>
      <c r="N47" s="33" t="str">
        <f aca="false">IF($F47="","",$F47)</f>
        <v>Kids City Driving School</v>
      </c>
    </row>
    <row r="48" customFormat="false" ht="15" hidden="false" customHeight="false" outlineLevel="0" collapsed="false">
      <c r="A48" s="33" t="n">
        <v>8314</v>
      </c>
      <c r="B48" s="33" t="s">
        <v>119</v>
      </c>
      <c r="C48" s="33"/>
      <c r="D48" s="33" t="s">
        <v>140</v>
      </c>
      <c r="E48" s="33" t="n">
        <v>91</v>
      </c>
      <c r="F48" s="33" t="s">
        <v>36</v>
      </c>
      <c r="G48" s="33" t="s">
        <v>87</v>
      </c>
      <c r="H48" s="33" t="n">
        <v>2</v>
      </c>
      <c r="I48" s="33" t="n">
        <v>2</v>
      </c>
      <c r="J48" s="33" t="n">
        <v>2</v>
      </c>
      <c r="K48" s="32" t="n">
        <v>90</v>
      </c>
      <c r="L48" s="33" t="str">
        <f aca="false">IF($B48="","",IFERROR(INDEX('Code Mapping'!$D$5:$D$1753,MATCH($B48,'Code Mapping'!$A$5:$A$1753,0)),"Unmapped"))</f>
        <v>Internal / promotion</v>
      </c>
      <c r="M48" s="33" t="str">
        <f aca="false">IF($B48="","",IFERROR(INDEX('Code Mapping'!$E$5:$E$1753,MATCH($B48,'Code Mapping'!$A$5:$A$1753,0)),"Unmapped"))</f>
        <v>Internal / promotion</v>
      </c>
      <c r="N48" s="33" t="str">
        <f aca="false">IF($F48="","",$F48)</f>
        <v>InflataPark</v>
      </c>
    </row>
    <row r="49" customFormat="false" ht="15" hidden="false" customHeight="false" outlineLevel="0" collapsed="false">
      <c r="A49" s="33" t="n">
        <v>8313</v>
      </c>
      <c r="B49" s="33" t="s">
        <v>126</v>
      </c>
      <c r="C49" s="33" t="s">
        <v>127</v>
      </c>
      <c r="D49" s="33" t="s">
        <v>140</v>
      </c>
      <c r="E49" s="33" t="n">
        <v>133</v>
      </c>
      <c r="F49" s="33" t="s">
        <v>35</v>
      </c>
      <c r="G49" s="33" t="s">
        <v>87</v>
      </c>
      <c r="H49" s="33" t="n">
        <v>2</v>
      </c>
      <c r="I49" s="33" t="n">
        <v>2</v>
      </c>
      <c r="J49" s="33" t="n">
        <v>2</v>
      </c>
      <c r="K49" s="32" t="n">
        <v>90</v>
      </c>
      <c r="L49" s="33" t="str">
        <f aca="false">IF($B49="","",IFERROR(INDEX('Code Mapping'!$D$5:$D$1753,MATCH($B49,'Code Mapping'!$A$5:$A$1753,0)),"Unmapped"))</f>
        <v>Internal / promotion</v>
      </c>
      <c r="M49" s="33" t="str">
        <f aca="false">IF($B49="","",IFERROR(INDEX('Code Mapping'!$E$5:$E$1753,MATCH($B49,'Code Mapping'!$A$5:$A$1753,0)),"Unmapped"))</f>
        <v>Internal / promotion</v>
      </c>
      <c r="N49" s="33" t="str">
        <f aca="false">IF($F49="","",$F49)</f>
        <v>Urban Arena</v>
      </c>
    </row>
    <row r="50" customFormat="false" ht="15" hidden="false" customHeight="false" outlineLevel="0" collapsed="false">
      <c r="A50" s="33" t="n">
        <v>8081</v>
      </c>
      <c r="B50" s="33" t="s">
        <v>223</v>
      </c>
      <c r="C50" s="33" t="s">
        <v>224</v>
      </c>
      <c r="D50" s="33"/>
      <c r="E50" s="33" t="n">
        <v>133</v>
      </c>
      <c r="F50" s="33" t="s">
        <v>35</v>
      </c>
      <c r="G50" s="33" t="s">
        <v>87</v>
      </c>
      <c r="H50" s="33" t="n">
        <v>6</v>
      </c>
      <c r="I50" s="33" t="n">
        <v>24</v>
      </c>
      <c r="J50" s="33" t="n">
        <v>24</v>
      </c>
      <c r="K50" s="32" t="n">
        <v>161.25</v>
      </c>
      <c r="L50" s="33" t="str">
        <f aca="false">IF($B50="","",IFERROR(INDEX('Code Mapping'!$D$5:$D$1753,MATCH($B50,'Code Mapping'!$A$5:$A$1753,0)),"Unmapped"))</f>
        <v>Qatar Media Corporation</v>
      </c>
      <c r="M50" s="33" t="str">
        <f aca="false">IF($B50="","",IFERROR(INDEX('Code Mapping'!$E$5:$E$1753,MATCH($B50,'Code Mapping'!$A$5:$A$1753,0)),"Unmapped"))</f>
        <v>Corporate discount</v>
      </c>
      <c r="N50" s="33" t="str">
        <f aca="false">IF($F50="","",$F50)</f>
        <v>Urban Arena</v>
      </c>
    </row>
    <row r="51" customFormat="false" ht="15" hidden="false" customHeight="false" outlineLevel="0" collapsed="false">
      <c r="A51" s="33" t="n">
        <v>8075</v>
      </c>
      <c r="B51" s="33" t="s">
        <v>186</v>
      </c>
      <c r="C51" s="33" t="s">
        <v>139</v>
      </c>
      <c r="D51" s="33"/>
      <c r="E51" s="33" t="n">
        <v>133</v>
      </c>
      <c r="F51" s="33" t="s">
        <v>35</v>
      </c>
      <c r="G51" s="33" t="s">
        <v>87</v>
      </c>
      <c r="H51" s="33" t="n">
        <v>12</v>
      </c>
      <c r="I51" s="33" t="n">
        <v>31</v>
      </c>
      <c r="J51" s="33" t="n">
        <v>31</v>
      </c>
      <c r="K51" s="32" t="n">
        <v>239.25</v>
      </c>
      <c r="L51" s="33" t="str">
        <f aca="false">IF($B51="","",IFERROR(INDEX('Code Mapping'!$D$5:$D$1753,MATCH($B51,'Code Mapping'!$A$5:$A$1753,0)),"Unmapped"))</f>
        <v>Imtyazat</v>
      </c>
      <c r="M51" s="33" t="str">
        <f aca="false">IF($B51="","",IFERROR(INDEX('Code Mapping'!$E$5:$E$1753,MATCH($B51,'Code Mapping'!$A$5:$A$1753,0)),"Unmapped"))</f>
        <v>Corporate discount</v>
      </c>
      <c r="N51" s="33" t="str">
        <f aca="false">IF($F51="","",$F51)</f>
        <v>Urban Arena</v>
      </c>
    </row>
    <row r="52" customFormat="false" ht="15" hidden="false" customHeight="false" outlineLevel="0" collapsed="false">
      <c r="A52" s="33" t="n">
        <v>8078</v>
      </c>
      <c r="B52" s="33" t="s">
        <v>150</v>
      </c>
      <c r="C52" s="33" t="s">
        <v>151</v>
      </c>
      <c r="D52" s="33"/>
      <c r="E52" s="33" t="n">
        <v>133</v>
      </c>
      <c r="F52" s="33" t="s">
        <v>35</v>
      </c>
      <c r="G52" s="33" t="s">
        <v>87</v>
      </c>
      <c r="H52" s="33" t="n">
        <v>65</v>
      </c>
      <c r="I52" s="33" t="n">
        <v>190</v>
      </c>
      <c r="J52" s="33" t="n">
        <v>190</v>
      </c>
      <c r="K52" s="32" t="n">
        <v>1387.35</v>
      </c>
      <c r="L52" s="33" t="str">
        <f aca="false">IF($B52="","",IFERROR(INDEX('Code Mapping'!$D$5:$D$1753,MATCH($B52,'Code Mapping'!$A$5:$A$1753,0)),"Unmapped"))</f>
        <v>Qatar Airways</v>
      </c>
      <c r="M52" s="33" t="str">
        <f aca="false">IF($B52="","",IFERROR(INDEX('Code Mapping'!$E$5:$E$1753,MATCH($B52,'Code Mapping'!$A$5:$A$1753,0)),"Unmapped"))</f>
        <v>Corporate discount</v>
      </c>
      <c r="N52" s="33" t="str">
        <f aca="false">IF($F52="","",$F52)</f>
        <v>Urban Arena</v>
      </c>
    </row>
    <row r="53" customFormat="false" ht="15" hidden="false" customHeight="false" outlineLevel="0" collapsed="false">
      <c r="A53" s="33" t="n">
        <v>8080</v>
      </c>
      <c r="B53" s="33" t="s">
        <v>267</v>
      </c>
      <c r="C53" s="33" t="s">
        <v>245</v>
      </c>
      <c r="D53" s="33"/>
      <c r="E53" s="33" t="n">
        <v>133</v>
      </c>
      <c r="F53" s="33" t="s">
        <v>35</v>
      </c>
      <c r="G53" s="33" t="s">
        <v>87</v>
      </c>
      <c r="H53" s="33" t="n">
        <v>2</v>
      </c>
      <c r="I53" s="33" t="n">
        <v>13</v>
      </c>
      <c r="J53" s="33" t="n">
        <v>13</v>
      </c>
      <c r="K53" s="32" t="n">
        <v>108.75</v>
      </c>
      <c r="L53" s="33" t="str">
        <f aca="false">IF($B53="","",IFERROR(INDEX('Code Mapping'!$D$5:$D$1753,MATCH($B53,'Code Mapping'!$A$5:$A$1753,0)),"Unmapped"))</f>
        <v>Qatar Investment Authority</v>
      </c>
      <c r="M53" s="33" t="str">
        <f aca="false">IF($B53="","",IFERROR(INDEX('Code Mapping'!$E$5:$E$1753,MATCH($B53,'Code Mapping'!$A$5:$A$1753,0)),"Unmapped"))</f>
        <v>Corporate discount</v>
      </c>
      <c r="N53" s="33" t="str">
        <f aca="false">IF($F53="","",$F53)</f>
        <v>Urban Arena</v>
      </c>
    </row>
    <row r="54" customFormat="false" ht="15" hidden="false" customHeight="false" outlineLevel="0" collapsed="false">
      <c r="A54" s="33" t="n">
        <v>8071</v>
      </c>
      <c r="B54" s="33" t="s">
        <v>234</v>
      </c>
      <c r="C54" s="33" t="s">
        <v>235</v>
      </c>
      <c r="D54" s="33"/>
      <c r="E54" s="33" t="n">
        <v>133</v>
      </c>
      <c r="F54" s="33" t="s">
        <v>35</v>
      </c>
      <c r="G54" s="33" t="s">
        <v>87</v>
      </c>
      <c r="H54" s="33" t="n">
        <v>4</v>
      </c>
      <c r="I54" s="33" t="n">
        <v>25</v>
      </c>
      <c r="J54" s="33" t="n">
        <v>25</v>
      </c>
      <c r="K54" s="32" t="n">
        <v>171.75</v>
      </c>
      <c r="L54" s="33" t="str">
        <f aca="false">IF($B54="","",IFERROR(INDEX('Code Mapping'!$D$5:$D$1753,MATCH($B54,'Code Mapping'!$A$5:$A$1753,0)),"Unmapped"))</f>
        <v>Bein</v>
      </c>
      <c r="M54" s="33" t="str">
        <f aca="false">IF($B54="","",IFERROR(INDEX('Code Mapping'!$E$5:$E$1753,MATCH($B54,'Code Mapping'!$A$5:$A$1753,0)),"Unmapped"))</f>
        <v>Corporate discount</v>
      </c>
      <c r="N54" s="33" t="str">
        <f aca="false">IF($F54="","",$F54)</f>
        <v>Urban Arena</v>
      </c>
    </row>
    <row r="55" customFormat="false" ht="15" hidden="false" customHeight="false" outlineLevel="0" collapsed="false">
      <c r="A55" s="33" t="n">
        <v>8093</v>
      </c>
      <c r="B55" s="33" t="s">
        <v>167</v>
      </c>
      <c r="C55" s="33" t="s">
        <v>168</v>
      </c>
      <c r="D55" s="33"/>
      <c r="E55" s="33" t="n">
        <v>133</v>
      </c>
      <c r="F55" s="33" t="s">
        <v>35</v>
      </c>
      <c r="G55" s="33" t="s">
        <v>87</v>
      </c>
      <c r="H55" s="33" t="n">
        <v>65</v>
      </c>
      <c r="I55" s="33" t="n">
        <v>65</v>
      </c>
      <c r="J55" s="33" t="n">
        <v>65</v>
      </c>
      <c r="K55" s="32" t="n">
        <v>12935</v>
      </c>
      <c r="L55" s="33" t="str">
        <f aca="false">IF($B55="","",IFERROR(INDEX('Code Mapping'!$D$5:$D$1753,MATCH($B55,'Code Mapping'!$A$5:$A$1753,0)),"Unmapped"))</f>
        <v>My Book</v>
      </c>
      <c r="M55" s="33" t="str">
        <f aca="false">IF($B55="","",IFERROR(INDEX('Code Mapping'!$E$5:$E$1753,MATCH($B55,'Code Mapping'!$A$5:$A$1753,0)),"Unmapped"))</f>
        <v>Aggregator BOGO</v>
      </c>
      <c r="N55" s="33" t="str">
        <f aca="false">IF($F55="","",$F55)</f>
        <v>Urban Arena</v>
      </c>
    </row>
    <row r="56" customFormat="false" ht="15" hidden="false" customHeight="false" outlineLevel="0" collapsed="false">
      <c r="A56" s="33" t="n">
        <v>8094</v>
      </c>
      <c r="B56" s="33" t="s">
        <v>169</v>
      </c>
      <c r="C56" s="33" t="s">
        <v>170</v>
      </c>
      <c r="D56" s="33"/>
      <c r="E56" s="33" t="n">
        <v>133</v>
      </c>
      <c r="F56" s="33" t="s">
        <v>35</v>
      </c>
      <c r="G56" s="33" t="s">
        <v>87</v>
      </c>
      <c r="H56" s="33" t="n">
        <v>20</v>
      </c>
      <c r="I56" s="33" t="n">
        <v>20</v>
      </c>
      <c r="J56" s="33" t="n">
        <v>20</v>
      </c>
      <c r="K56" s="32" t="n">
        <v>3980</v>
      </c>
      <c r="L56" s="33" t="str">
        <f aca="false">IF($B56="","",IFERROR(INDEX('Code Mapping'!$D$5:$D$1753,MATCH($B56,'Code Mapping'!$A$5:$A$1753,0)),"Unmapped"))</f>
        <v>Urban Point</v>
      </c>
      <c r="M56" s="33" t="str">
        <f aca="false">IF($B56="","",IFERROR(INDEX('Code Mapping'!$E$5:$E$1753,MATCH($B56,'Code Mapping'!$A$5:$A$1753,0)),"Unmapped"))</f>
        <v>Aggregator BOGO</v>
      </c>
      <c r="N56" s="33" t="str">
        <f aca="false">IF($F56="","",$F56)</f>
        <v>Urban Arena</v>
      </c>
    </row>
    <row r="57" customFormat="false" ht="15" hidden="false" customHeight="false" outlineLevel="0" collapsed="false">
      <c r="A57" s="33" t="n">
        <v>8092</v>
      </c>
      <c r="B57" s="33" t="s">
        <v>214</v>
      </c>
      <c r="C57" s="33" t="s">
        <v>179</v>
      </c>
      <c r="D57" s="33"/>
      <c r="E57" s="33" t="n">
        <v>133</v>
      </c>
      <c r="F57" s="33" t="s">
        <v>35</v>
      </c>
      <c r="G57" s="33" t="s">
        <v>87</v>
      </c>
      <c r="H57" s="33" t="n">
        <v>3</v>
      </c>
      <c r="I57" s="33" t="n">
        <v>3</v>
      </c>
      <c r="J57" s="33" t="n">
        <v>3</v>
      </c>
      <c r="K57" s="32" t="n">
        <v>597</v>
      </c>
      <c r="L57" s="33" t="str">
        <f aca="false">IF($B57="","",IFERROR(INDEX('Code Mapping'!$D$5:$D$1753,MATCH($B57,'Code Mapping'!$A$5:$A$1753,0)),"Unmapped"))</f>
        <v>Entertainer</v>
      </c>
      <c r="M57" s="33" t="str">
        <f aca="false">IF($B57="","",IFERROR(INDEX('Code Mapping'!$E$5:$E$1753,MATCH($B57,'Code Mapping'!$A$5:$A$1753,0)),"Unmapped"))</f>
        <v>Aggregator BOGO</v>
      </c>
      <c r="N57" s="33" t="str">
        <f aca="false">IF($F57="","",$F57)</f>
        <v>Urban Arena</v>
      </c>
    </row>
    <row r="58" customFormat="false" ht="15" hidden="false" customHeight="false" outlineLevel="0" collapsed="false">
      <c r="A58" s="33" t="n">
        <v>8076</v>
      </c>
      <c r="B58" s="33" t="s">
        <v>157</v>
      </c>
      <c r="C58" s="33" t="s">
        <v>158</v>
      </c>
      <c r="D58" s="33"/>
      <c r="E58" s="33" t="n">
        <v>133</v>
      </c>
      <c r="F58" s="33" t="s">
        <v>35</v>
      </c>
      <c r="G58" s="33" t="s">
        <v>87</v>
      </c>
      <c r="H58" s="33" t="n">
        <v>53</v>
      </c>
      <c r="I58" s="33" t="n">
        <v>224</v>
      </c>
      <c r="J58" s="33" t="n">
        <v>224</v>
      </c>
      <c r="K58" s="32" t="n">
        <v>2543.4</v>
      </c>
      <c r="L58" s="33" t="str">
        <f aca="false">IF($B58="","",IFERROR(INDEX('Code Mapping'!$D$5:$D$1753,MATCH($B58,'Code Mapping'!$A$5:$A$1753,0)),"Unmapped"))</f>
        <v>Public Health Sector (Sogha)</v>
      </c>
      <c r="M58" s="33" t="str">
        <f aca="false">IF($B58="","",IFERROR(INDEX('Code Mapping'!$E$5:$E$1753,MATCH($B58,'Code Mapping'!$A$5:$A$1753,0)),"Unmapped"))</f>
        <v>Corporate discount</v>
      </c>
      <c r="N58" s="33" t="str">
        <f aca="false">IF($F58="","",$F58)</f>
        <v>Urban Arena</v>
      </c>
    </row>
    <row r="59" customFormat="false" ht="15" hidden="false" customHeight="false" outlineLevel="0" collapsed="false">
      <c r="A59" s="33" t="n">
        <v>8069</v>
      </c>
      <c r="B59" s="33" t="s">
        <v>209</v>
      </c>
      <c r="C59" s="33" t="s">
        <v>210</v>
      </c>
      <c r="D59" s="33"/>
      <c r="E59" s="33" t="n">
        <v>133</v>
      </c>
      <c r="F59" s="33" t="s">
        <v>35</v>
      </c>
      <c r="G59" s="33" t="s">
        <v>87</v>
      </c>
      <c r="H59" s="33" t="n">
        <v>6</v>
      </c>
      <c r="I59" s="33" t="n">
        <v>32</v>
      </c>
      <c r="J59" s="33" t="n">
        <v>32</v>
      </c>
      <c r="K59" s="32" t="n">
        <v>274.5</v>
      </c>
      <c r="L59" s="33" t="str">
        <f aca="false">IF($B59="","",IFERROR(INDEX('Code Mapping'!$D$5:$D$1753,MATCH($B59,'Code Mapping'!$A$5:$A$1753,0)),"Unmapped"))</f>
        <v>Al Jazeera Imtiyazat</v>
      </c>
      <c r="M59" s="33" t="str">
        <f aca="false">IF($B59="","",IFERROR(INDEX('Code Mapping'!$E$5:$E$1753,MATCH($B59,'Code Mapping'!$A$5:$A$1753,0)),"Unmapped"))</f>
        <v>Corporate discount</v>
      </c>
      <c r="N59" s="33" t="str">
        <f aca="false">IF($F59="","",$F59)</f>
        <v>Urban Arena</v>
      </c>
    </row>
    <row r="60" customFormat="false" ht="15" hidden="false" customHeight="false" outlineLevel="0" collapsed="false">
      <c r="A60" s="33" t="n">
        <v>8335</v>
      </c>
      <c r="B60" s="33" t="s">
        <v>165</v>
      </c>
      <c r="C60" s="33" t="s">
        <v>166</v>
      </c>
      <c r="D60" s="33" t="s">
        <v>140</v>
      </c>
      <c r="E60" s="33" t="n">
        <v>94</v>
      </c>
      <c r="F60" s="33" t="s">
        <v>37</v>
      </c>
      <c r="G60" s="33" t="s">
        <v>87</v>
      </c>
      <c r="H60" s="33" t="n">
        <v>136</v>
      </c>
      <c r="I60" s="33" t="n">
        <v>544</v>
      </c>
      <c r="J60" s="33" t="n">
        <v>544</v>
      </c>
      <c r="K60" s="32" t="n">
        <v>4178.25</v>
      </c>
      <c r="L60" s="33" t="str">
        <f aca="false">IF($B60="","",IFERROR(INDEX('Code Mapping'!$D$5:$D$1753,MATCH($B60,'Code Mapping'!$A$5:$A$1753,0)),"Unmapped"))</f>
        <v>Imtyazat</v>
      </c>
      <c r="M60" s="33" t="str">
        <f aca="false">IF($B60="","",IFERROR(INDEX('Code Mapping'!$E$5:$E$1753,MATCH($B60,'Code Mapping'!$A$5:$A$1753,0)),"Unmapped"))</f>
        <v>Corporate discount</v>
      </c>
      <c r="N60" s="33" t="str">
        <f aca="false">IF($F60="","",$F60)</f>
        <v>Kids City Driving School</v>
      </c>
    </row>
    <row r="61" customFormat="false" ht="15" hidden="false" customHeight="false" outlineLevel="0" collapsed="false">
      <c r="A61" s="33" t="n">
        <v>8338</v>
      </c>
      <c r="B61" s="33" t="s">
        <v>265</v>
      </c>
      <c r="C61" s="33" t="s">
        <v>151</v>
      </c>
      <c r="D61" s="33" t="s">
        <v>140</v>
      </c>
      <c r="E61" s="33" t="n">
        <v>94</v>
      </c>
      <c r="F61" s="33" t="s">
        <v>37</v>
      </c>
      <c r="G61" s="33" t="s">
        <v>87</v>
      </c>
      <c r="H61" s="33" t="n">
        <v>4</v>
      </c>
      <c r="I61" s="33" t="n">
        <v>14</v>
      </c>
      <c r="J61" s="33" t="n">
        <v>14</v>
      </c>
      <c r="K61" s="32" t="n">
        <v>102</v>
      </c>
      <c r="L61" s="33" t="str">
        <f aca="false">IF($B61="","",IFERROR(INDEX('Code Mapping'!$D$5:$D$1753,MATCH($B61,'Code Mapping'!$A$5:$A$1753,0)),"Unmapped"))</f>
        <v>Qatar Airways</v>
      </c>
      <c r="M61" s="33" t="str">
        <f aca="false">IF($B61="","",IFERROR(INDEX('Code Mapping'!$E$5:$E$1753,MATCH($B61,'Code Mapping'!$A$5:$A$1753,0)),"Unmapped"))</f>
        <v>Corporate discount</v>
      </c>
      <c r="N61" s="33" t="str">
        <f aca="false">IF($F61="","",$F61)</f>
        <v>Kids City Driving School</v>
      </c>
    </row>
    <row r="62" customFormat="false" ht="15" hidden="false" customHeight="false" outlineLevel="0" collapsed="false">
      <c r="A62" s="33" t="n">
        <v>8347</v>
      </c>
      <c r="B62" s="33" t="s">
        <v>188</v>
      </c>
      <c r="C62" s="33"/>
      <c r="D62" s="33" t="s">
        <v>140</v>
      </c>
      <c r="E62" s="33" t="n">
        <v>94</v>
      </c>
      <c r="F62" s="33" t="s">
        <v>37</v>
      </c>
      <c r="G62" s="33" t="s">
        <v>87</v>
      </c>
      <c r="H62" s="33" t="n">
        <v>40</v>
      </c>
      <c r="I62" s="33" t="n">
        <v>40</v>
      </c>
      <c r="J62" s="33" t="n">
        <v>40</v>
      </c>
      <c r="K62" s="32" t="n">
        <v>7960</v>
      </c>
      <c r="L62" s="33" t="str">
        <f aca="false">IF($B62="","",IFERROR(INDEX('Code Mapping'!$D$5:$D$1753,MATCH($B62,'Code Mapping'!$A$5:$A$1753,0)),"Unmapped"))</f>
        <v>My Book</v>
      </c>
      <c r="M62" s="33" t="str">
        <f aca="false">IF($B62="","",IFERROR(INDEX('Code Mapping'!$E$5:$E$1753,MATCH($B62,'Code Mapping'!$A$5:$A$1753,0)),"Unmapped"))</f>
        <v>Aggregator BOGO</v>
      </c>
      <c r="N62" s="33" t="str">
        <f aca="false">IF($F62="","",$F62)</f>
        <v>Kids City Driving School</v>
      </c>
    </row>
    <row r="63" customFormat="false" ht="15" hidden="false" customHeight="false" outlineLevel="0" collapsed="false">
      <c r="A63" s="33" t="n">
        <v>8105</v>
      </c>
      <c r="B63" s="33" t="s">
        <v>261</v>
      </c>
      <c r="C63" s="33" t="s">
        <v>151</v>
      </c>
      <c r="D63" s="33"/>
      <c r="E63" s="33" t="n">
        <v>61</v>
      </c>
      <c r="F63" s="33" t="s">
        <v>38</v>
      </c>
      <c r="G63" s="33" t="s">
        <v>87</v>
      </c>
      <c r="H63" s="33" t="n">
        <v>3</v>
      </c>
      <c r="I63" s="33" t="n">
        <v>6</v>
      </c>
      <c r="J63" s="33" t="n">
        <v>6</v>
      </c>
      <c r="K63" s="32" t="n">
        <v>21.75</v>
      </c>
      <c r="L63" s="33" t="str">
        <f aca="false">IF($B63="","",IFERROR(INDEX('Code Mapping'!$D$5:$D$1753,MATCH($B63,'Code Mapping'!$A$5:$A$1753,0)),"Unmapped"))</f>
        <v>Qatar Airways</v>
      </c>
      <c r="M63" s="33" t="str">
        <f aca="false">IF($B63="","",IFERROR(INDEX('Code Mapping'!$E$5:$E$1753,MATCH($B63,'Code Mapping'!$A$5:$A$1753,0)),"Unmapped"))</f>
        <v>Corporate discount</v>
      </c>
      <c r="N63" s="33" t="str">
        <f aca="false">IF($F63="","",$F63)</f>
        <v>Crayons &amp; Bricks Vendome</v>
      </c>
    </row>
    <row r="64" customFormat="false" ht="15" hidden="false" customHeight="false" outlineLevel="0" collapsed="false">
      <c r="A64" s="33" t="n">
        <v>8046</v>
      </c>
      <c r="B64" s="33" t="s">
        <v>222</v>
      </c>
      <c r="C64" s="33" t="s">
        <v>210</v>
      </c>
      <c r="D64" s="33"/>
      <c r="E64" s="33" t="n">
        <v>91</v>
      </c>
      <c r="F64" s="33" t="s">
        <v>36</v>
      </c>
      <c r="G64" s="33" t="s">
        <v>87</v>
      </c>
      <c r="H64" s="33" t="n">
        <v>10</v>
      </c>
      <c r="I64" s="33" t="n">
        <v>23</v>
      </c>
      <c r="J64" s="33" t="n">
        <v>23</v>
      </c>
      <c r="K64" s="32" t="n">
        <v>170.25</v>
      </c>
      <c r="L64" s="33" t="str">
        <f aca="false">IF($B64="","",IFERROR(INDEX('Code Mapping'!$D$5:$D$1753,MATCH($B64,'Code Mapping'!$A$5:$A$1753,0)),"Unmapped"))</f>
        <v>Al Jazeera Imtiyazat</v>
      </c>
      <c r="M64" s="33" t="str">
        <f aca="false">IF($B64="","",IFERROR(INDEX('Code Mapping'!$E$5:$E$1753,MATCH($B64,'Code Mapping'!$A$5:$A$1753,0)),"Unmapped"))</f>
        <v>Corporate discount</v>
      </c>
      <c r="N64" s="33" t="str">
        <f aca="false">IF($F64="","",$F64)</f>
        <v>InflataPark</v>
      </c>
    </row>
    <row r="65" customFormat="false" ht="15" hidden="false" customHeight="false" outlineLevel="0" collapsed="false">
      <c r="A65" s="33" t="n">
        <v>8326</v>
      </c>
      <c r="B65" s="33" t="s">
        <v>207</v>
      </c>
      <c r="C65" s="33"/>
      <c r="D65" s="33" t="s">
        <v>140</v>
      </c>
      <c r="E65" s="33" t="n">
        <v>91</v>
      </c>
      <c r="F65" s="33" t="s">
        <v>36</v>
      </c>
      <c r="G65" s="33" t="s">
        <v>87</v>
      </c>
      <c r="H65" s="33" t="n">
        <v>20</v>
      </c>
      <c r="I65" s="33" t="n">
        <v>20</v>
      </c>
      <c r="J65" s="33" t="n">
        <v>20</v>
      </c>
      <c r="K65" s="32" t="n">
        <v>3980</v>
      </c>
      <c r="L65" s="33" t="str">
        <f aca="false">IF($B65="","",IFERROR(INDEX('Code Mapping'!$D$5:$D$1753,MATCH($B65,'Code Mapping'!$A$5:$A$1753,0)),"Unmapped"))</f>
        <v>Urban Point</v>
      </c>
      <c r="M65" s="33" t="str">
        <f aca="false">IF($B65="","",IFERROR(INDEX('Code Mapping'!$E$5:$E$1753,MATCH($B65,'Code Mapping'!$A$5:$A$1753,0)),"Unmapped"))</f>
        <v>Aggregator BOGO</v>
      </c>
      <c r="N65" s="33" t="str">
        <f aca="false">IF($F65="","",$F65)</f>
        <v>InflataPark</v>
      </c>
    </row>
    <row r="66" customFormat="false" ht="15" hidden="false" customHeight="false" outlineLevel="0" collapsed="false">
      <c r="A66" s="33" t="n">
        <v>8070</v>
      </c>
      <c r="B66" s="33" t="s">
        <v>199</v>
      </c>
      <c r="C66" s="33" t="s">
        <v>200</v>
      </c>
      <c r="D66" s="33"/>
      <c r="E66" s="33" t="n">
        <v>133</v>
      </c>
      <c r="F66" s="33" t="s">
        <v>35</v>
      </c>
      <c r="G66" s="33" t="s">
        <v>87</v>
      </c>
      <c r="H66" s="33" t="n">
        <v>9</v>
      </c>
      <c r="I66" s="33" t="n">
        <v>25</v>
      </c>
      <c r="J66" s="33" t="n">
        <v>25</v>
      </c>
      <c r="K66" s="32" t="n">
        <v>262.05</v>
      </c>
      <c r="L66" s="33" t="str">
        <f aca="false">IF($B66="","",IFERROR(INDEX('Code Mapping'!$D$5:$D$1753,MATCH($B66,'Code Mapping'!$A$5:$A$1753,0)),"Unmapped"))</f>
        <v>Aspire</v>
      </c>
      <c r="M66" s="33" t="str">
        <f aca="false">IF($B66="","",IFERROR(INDEX('Code Mapping'!$E$5:$E$1753,MATCH($B66,'Code Mapping'!$A$5:$A$1753,0)),"Unmapped"))</f>
        <v>Corporate discount</v>
      </c>
      <c r="N66" s="33" t="str">
        <f aca="false">IF($F66="","",$F66)</f>
        <v>Urban Arena</v>
      </c>
    </row>
    <row r="67" customFormat="false" ht="15" hidden="false" customHeight="false" outlineLevel="0" collapsed="false">
      <c r="A67" s="33" t="n">
        <v>8079</v>
      </c>
      <c r="B67" s="33" t="s">
        <v>154</v>
      </c>
      <c r="C67" s="33" t="s">
        <v>155</v>
      </c>
      <c r="D67" s="33" t="s">
        <v>140</v>
      </c>
      <c r="E67" s="33" t="n">
        <v>133</v>
      </c>
      <c r="F67" s="33" t="s">
        <v>35</v>
      </c>
      <c r="G67" s="33" t="s">
        <v>87</v>
      </c>
      <c r="H67" s="33" t="n">
        <v>61</v>
      </c>
      <c r="I67" s="33" t="n">
        <v>242</v>
      </c>
      <c r="J67" s="33" t="n">
        <v>242</v>
      </c>
      <c r="K67" s="32" t="n">
        <v>2058.6</v>
      </c>
      <c r="L67" s="33" t="str">
        <f aca="false">IF($B67="","",IFERROR(INDEX('Code Mapping'!$D$5:$D$1753,MATCH($B67,'Code Mapping'!$A$5:$A$1753,0)),"Unmapped"))</f>
        <v>Qatar Foundation</v>
      </c>
      <c r="M67" s="33" t="str">
        <f aca="false">IF($B67="","",IFERROR(INDEX('Code Mapping'!$E$5:$E$1753,MATCH($B67,'Code Mapping'!$A$5:$A$1753,0)),"Unmapped"))</f>
        <v>Corporate discount</v>
      </c>
      <c r="N67" s="33" t="str">
        <f aca="false">IF($F67="","",$F67)</f>
        <v>Urban Arena</v>
      </c>
    </row>
    <row r="68" customFormat="false" ht="15" hidden="false" customHeight="false" outlineLevel="0" collapsed="false">
      <c r="A68" s="33" t="n">
        <v>8077</v>
      </c>
      <c r="B68" s="33" t="s">
        <v>219</v>
      </c>
      <c r="C68" s="33" t="s">
        <v>220</v>
      </c>
      <c r="D68" s="33"/>
      <c r="E68" s="33" t="n">
        <v>133</v>
      </c>
      <c r="F68" s="33" t="s">
        <v>35</v>
      </c>
      <c r="G68" s="33" t="s">
        <v>87</v>
      </c>
      <c r="H68" s="33" t="n">
        <v>5</v>
      </c>
      <c r="I68" s="33" t="n">
        <v>19</v>
      </c>
      <c r="J68" s="33" t="n">
        <v>19</v>
      </c>
      <c r="K68" s="32" t="n">
        <v>120</v>
      </c>
      <c r="L68" s="33" t="str">
        <f aca="false">IF($B68="","",IFERROR(INDEX('Code Mapping'!$D$5:$D$1753,MATCH($B68,'Code Mapping'!$A$5:$A$1753,0)),"Unmapped"))</f>
        <v>QIB</v>
      </c>
      <c r="M68" s="33" t="str">
        <f aca="false">IF($B68="","",IFERROR(INDEX('Code Mapping'!$E$5:$E$1753,MATCH($B68,'Code Mapping'!$A$5:$A$1753,0)),"Unmapped"))</f>
        <v>Corporate discount</v>
      </c>
      <c r="N68" s="33" t="str">
        <f aca="false">IF($F68="","",$F68)</f>
        <v>Urban Arena</v>
      </c>
    </row>
    <row r="69" customFormat="false" ht="15" hidden="false" customHeight="false" outlineLevel="0" collapsed="false">
      <c r="A69" s="33" t="n">
        <v>8038</v>
      </c>
      <c r="B69" s="33" t="s">
        <v>123</v>
      </c>
      <c r="C69" s="33" t="s">
        <v>124</v>
      </c>
      <c r="D69" s="33"/>
      <c r="E69" s="33" t="n">
        <v>133</v>
      </c>
      <c r="F69" s="33" t="s">
        <v>35</v>
      </c>
      <c r="G69" s="33" t="s">
        <v>87</v>
      </c>
      <c r="H69" s="33" t="n">
        <v>96</v>
      </c>
      <c r="I69" s="33" t="n">
        <v>124</v>
      </c>
      <c r="J69" s="33" t="n">
        <v>124</v>
      </c>
      <c r="K69" s="32" t="n">
        <v>604.5</v>
      </c>
      <c r="L69" s="33" t="str">
        <f aca="false">IF($B69="","",IFERROR(INDEX('Code Mapping'!$D$5:$D$1753,MATCH($B69,'Code Mapping'!$A$5:$A$1753,0)),"Unmapped"))</f>
        <v>Internal / promotion</v>
      </c>
      <c r="M69" s="33" t="str">
        <f aca="false">IF($B69="","",IFERROR(INDEX('Code Mapping'!$E$5:$E$1753,MATCH($B69,'Code Mapping'!$A$5:$A$1753,0)),"Unmapped"))</f>
        <v>Internal / promotion</v>
      </c>
      <c r="N69" s="33" t="str">
        <f aca="false">IF($F69="","",$F69)</f>
        <v>Urban Arena</v>
      </c>
    </row>
    <row r="70" customFormat="false" ht="15" hidden="false" customHeight="false" outlineLevel="0" collapsed="false">
      <c r="A70" s="33" t="n">
        <v>8097</v>
      </c>
      <c r="B70" s="33" t="s">
        <v>171</v>
      </c>
      <c r="C70" s="33" t="s">
        <v>170</v>
      </c>
      <c r="D70" s="33"/>
      <c r="E70" s="33" t="n">
        <v>61</v>
      </c>
      <c r="F70" s="33" t="s">
        <v>38</v>
      </c>
      <c r="G70" s="33" t="s">
        <v>87</v>
      </c>
      <c r="H70" s="33" t="n">
        <v>29</v>
      </c>
      <c r="I70" s="33" t="n">
        <v>29</v>
      </c>
      <c r="J70" s="33" t="n">
        <v>29</v>
      </c>
      <c r="K70" s="32" t="n">
        <v>2900</v>
      </c>
      <c r="L70" s="33" t="str">
        <f aca="false">IF($B70="","",IFERROR(INDEX('Code Mapping'!$D$5:$D$1753,MATCH($B70,'Code Mapping'!$A$5:$A$1753,0)),"Unmapped"))</f>
        <v>Urban Point</v>
      </c>
      <c r="M70" s="33" t="str">
        <f aca="false">IF($B70="","",IFERROR(INDEX('Code Mapping'!$E$5:$E$1753,MATCH($B70,'Code Mapping'!$A$5:$A$1753,0)),"Unmapped"))</f>
        <v>Aggregator BOGO</v>
      </c>
      <c r="N70" s="33" t="str">
        <f aca="false">IF($F70="","",$F70)</f>
        <v>Crayons &amp; Bricks Vendome</v>
      </c>
    </row>
    <row r="71" customFormat="false" ht="15" hidden="false" customHeight="false" outlineLevel="0" collapsed="false">
      <c r="A71" s="33" t="n">
        <v>8323</v>
      </c>
      <c r="B71" s="33" t="s">
        <v>289</v>
      </c>
      <c r="C71" s="33"/>
      <c r="D71" s="33" t="s">
        <v>140</v>
      </c>
      <c r="E71" s="33" t="n">
        <v>91</v>
      </c>
      <c r="F71" s="33" t="s">
        <v>36</v>
      </c>
      <c r="G71" s="33" t="s">
        <v>87</v>
      </c>
      <c r="H71" s="33" t="n">
        <v>3</v>
      </c>
      <c r="I71" s="33" t="n">
        <v>3</v>
      </c>
      <c r="J71" s="33" t="n">
        <v>3</v>
      </c>
      <c r="K71" s="32" t="n">
        <v>597</v>
      </c>
      <c r="L71" s="33" t="str">
        <f aca="false">IF($B71="","",IFERROR(INDEX('Code Mapping'!$D$5:$D$1753,MATCH($B71,'Code Mapping'!$A$5:$A$1753,0)),"Unmapped"))</f>
        <v>Unmapped</v>
      </c>
      <c r="M71" s="33" t="str">
        <f aca="false">IF($B71="","",IFERROR(INDEX('Code Mapping'!$E$5:$E$1753,MATCH($B71,'Code Mapping'!$A$5:$A$1753,0)),"Unmapped"))</f>
        <v>Unmapped</v>
      </c>
      <c r="N71" s="33" t="str">
        <f aca="false">IF($F71="","",$F71)</f>
        <v>InflataPark</v>
      </c>
    </row>
    <row r="72" customFormat="false" ht="15" hidden="false" customHeight="false" outlineLevel="0" collapsed="false">
      <c r="A72" s="33" t="n">
        <v>8318</v>
      </c>
      <c r="B72" s="33" t="s">
        <v>193</v>
      </c>
      <c r="C72" s="33"/>
      <c r="D72" s="33" t="s">
        <v>194</v>
      </c>
      <c r="E72" s="33" t="n">
        <v>133</v>
      </c>
      <c r="F72" s="33" t="s">
        <v>35</v>
      </c>
      <c r="G72" s="33" t="s">
        <v>87</v>
      </c>
      <c r="H72" s="33" t="n">
        <v>24</v>
      </c>
      <c r="I72" s="33" t="n">
        <v>83</v>
      </c>
      <c r="J72" s="33" t="n">
        <v>83</v>
      </c>
      <c r="K72" s="32" t="n">
        <v>675</v>
      </c>
      <c r="L72" s="33" t="str">
        <f aca="false">IF($B72="","",IFERROR(INDEX('Code Mapping'!$D$5:$D$1753,MATCH($B72,'Code Mapping'!$A$5:$A$1753,0)),"Unmapped"))</f>
        <v>QNB Rewards</v>
      </c>
      <c r="M72" s="33" t="str">
        <f aca="false">IF($B72="","",IFERROR(INDEX('Code Mapping'!$E$5:$E$1753,MATCH($B72,'Code Mapping'!$A$5:$A$1753,0)),"Unmapped"))</f>
        <v>Corporate discount</v>
      </c>
      <c r="N72" s="33" t="str">
        <f aca="false">IF($F72="","",$F72)</f>
        <v>Urban Arena</v>
      </c>
    </row>
    <row r="73" customFormat="false" ht="15" hidden="false" customHeight="false" outlineLevel="0" collapsed="false">
      <c r="A73" s="33" t="n">
        <v>8095</v>
      </c>
      <c r="B73" s="33" t="s">
        <v>178</v>
      </c>
      <c r="C73" s="33" t="s">
        <v>179</v>
      </c>
      <c r="D73" s="33"/>
      <c r="E73" s="33" t="n">
        <v>61</v>
      </c>
      <c r="F73" s="33" t="s">
        <v>38</v>
      </c>
      <c r="G73" s="33" t="s">
        <v>87</v>
      </c>
      <c r="H73" s="33" t="n">
        <v>12</v>
      </c>
      <c r="I73" s="33" t="n">
        <v>12</v>
      </c>
      <c r="J73" s="33" t="n">
        <v>12</v>
      </c>
      <c r="K73" s="32" t="n">
        <v>1200</v>
      </c>
      <c r="L73" s="33" t="str">
        <f aca="false">IF($B73="","",IFERROR(INDEX('Code Mapping'!$D$5:$D$1753,MATCH($B73,'Code Mapping'!$A$5:$A$1753,0)),"Unmapped"))</f>
        <v>Entertainer</v>
      </c>
      <c r="M73" s="33" t="str">
        <f aca="false">IF($B73="","",IFERROR(INDEX('Code Mapping'!$E$5:$E$1753,MATCH($B73,'Code Mapping'!$A$5:$A$1753,0)),"Unmapped"))</f>
        <v>Aggregator BOGO</v>
      </c>
      <c r="N73" s="33" t="str">
        <f aca="false">IF($F73="","",$F73)</f>
        <v>Crayons &amp; Bricks Vendome</v>
      </c>
    </row>
    <row r="74" customFormat="false" ht="15" hidden="false" customHeight="false" outlineLevel="0" collapsed="false">
      <c r="A74" s="33" t="n">
        <v>8325</v>
      </c>
      <c r="B74" s="33" t="s">
        <v>272</v>
      </c>
      <c r="C74" s="33"/>
      <c r="D74" s="33" t="s">
        <v>140</v>
      </c>
      <c r="E74" s="33" t="n">
        <v>91</v>
      </c>
      <c r="F74" s="33" t="s">
        <v>36</v>
      </c>
      <c r="G74" s="33" t="s">
        <v>87</v>
      </c>
      <c r="H74" s="33" t="n">
        <v>3</v>
      </c>
      <c r="I74" s="33" t="n">
        <v>3</v>
      </c>
      <c r="J74" s="33" t="n">
        <v>3</v>
      </c>
      <c r="K74" s="32" t="n">
        <v>597</v>
      </c>
      <c r="L74" s="33" t="str">
        <f aca="false">IF($B74="","",IFERROR(INDEX('Code Mapping'!$D$5:$D$1753,MATCH($B74,'Code Mapping'!$A$5:$A$1753,0)),"Unmapped"))</f>
        <v>My Book</v>
      </c>
      <c r="M74" s="33" t="str">
        <f aca="false">IF($B74="","",IFERROR(INDEX('Code Mapping'!$E$5:$E$1753,MATCH($B74,'Code Mapping'!$A$5:$A$1753,0)),"Unmapped"))</f>
        <v>Aggregator BOGO</v>
      </c>
      <c r="N74" s="33" t="str">
        <f aca="false">IF($F74="","",$F74)</f>
        <v>InflataPark</v>
      </c>
    </row>
    <row r="75" customFormat="false" ht="15" hidden="false" customHeight="false" outlineLevel="0" collapsed="false">
      <c r="A75" s="33" t="n">
        <v>8324</v>
      </c>
      <c r="B75" s="33" t="s">
        <v>232</v>
      </c>
      <c r="C75" s="33"/>
      <c r="D75" s="33" t="s">
        <v>140</v>
      </c>
      <c r="E75" s="33" t="n">
        <v>91</v>
      </c>
      <c r="F75" s="33" t="s">
        <v>36</v>
      </c>
      <c r="G75" s="33" t="s">
        <v>87</v>
      </c>
      <c r="H75" s="33" t="n">
        <v>4</v>
      </c>
      <c r="I75" s="33" t="n">
        <v>4</v>
      </c>
      <c r="J75" s="33" t="n">
        <v>4</v>
      </c>
      <c r="K75" s="32" t="n">
        <v>796</v>
      </c>
      <c r="L75" s="33" t="str">
        <f aca="false">IF($B75="","",IFERROR(INDEX('Code Mapping'!$D$5:$D$1753,MATCH($B75,'Code Mapping'!$A$5:$A$1753,0)),"Unmapped"))</f>
        <v>Entertainer</v>
      </c>
      <c r="M75" s="33" t="str">
        <f aca="false">IF($B75="","",IFERROR(INDEX('Code Mapping'!$E$5:$E$1753,MATCH($B75,'Code Mapping'!$A$5:$A$1753,0)),"Unmapped"))</f>
        <v>Aggregator BOGO</v>
      </c>
      <c r="N75" s="33" t="str">
        <f aca="false">IF($F75="","",$F75)</f>
        <v>InflataPark</v>
      </c>
    </row>
    <row r="76" customFormat="false" ht="15" hidden="false" customHeight="false" outlineLevel="0" collapsed="false">
      <c r="A76" s="33" t="n">
        <v>8052</v>
      </c>
      <c r="B76" s="33" t="s">
        <v>149</v>
      </c>
      <c r="C76" s="33" t="s">
        <v>139</v>
      </c>
      <c r="D76" s="33" t="s">
        <v>140</v>
      </c>
      <c r="E76" s="33" t="n">
        <v>91</v>
      </c>
      <c r="F76" s="33" t="s">
        <v>36</v>
      </c>
      <c r="G76" s="33" t="s">
        <v>87</v>
      </c>
      <c r="H76" s="33" t="n">
        <v>108</v>
      </c>
      <c r="I76" s="33" t="n">
        <v>447</v>
      </c>
      <c r="J76" s="33" t="n">
        <v>447</v>
      </c>
      <c r="K76" s="32" t="n">
        <v>3444</v>
      </c>
      <c r="L76" s="33" t="str">
        <f aca="false">IF($B76="","",IFERROR(INDEX('Code Mapping'!$D$5:$D$1753,MATCH($B76,'Code Mapping'!$A$5:$A$1753,0)),"Unmapped"))</f>
        <v>Imtyazat</v>
      </c>
      <c r="M76" s="33" t="str">
        <f aca="false">IF($B76="","",IFERROR(INDEX('Code Mapping'!$E$5:$E$1753,MATCH($B76,'Code Mapping'!$A$5:$A$1753,0)),"Unmapped"))</f>
        <v>Corporate discount</v>
      </c>
      <c r="N76" s="33" t="str">
        <f aca="false">IF($F76="","",$F76)</f>
        <v>InflataPark</v>
      </c>
    </row>
    <row r="77" customFormat="false" ht="15" hidden="false" customHeight="false" outlineLevel="0" collapsed="false">
      <c r="A77" s="33" t="n">
        <v>8053</v>
      </c>
      <c r="B77" s="33" t="s">
        <v>160</v>
      </c>
      <c r="C77" s="33" t="s">
        <v>158</v>
      </c>
      <c r="D77" s="33"/>
      <c r="E77" s="33" t="n">
        <v>91</v>
      </c>
      <c r="F77" s="33" t="s">
        <v>36</v>
      </c>
      <c r="G77" s="33" t="s">
        <v>87</v>
      </c>
      <c r="H77" s="33" t="n">
        <v>66</v>
      </c>
      <c r="I77" s="33" t="n">
        <v>210</v>
      </c>
      <c r="J77" s="33" t="n">
        <v>210</v>
      </c>
      <c r="K77" s="32" t="n">
        <v>2064</v>
      </c>
      <c r="L77" s="33" t="str">
        <f aca="false">IF($B77="","",IFERROR(INDEX('Code Mapping'!$D$5:$D$1753,MATCH($B77,'Code Mapping'!$A$5:$A$1753,0)),"Unmapped"))</f>
        <v>Public Health Sector (Sogha)</v>
      </c>
      <c r="M77" s="33" t="str">
        <f aca="false">IF($B77="","",IFERROR(INDEX('Code Mapping'!$E$5:$E$1753,MATCH($B77,'Code Mapping'!$A$5:$A$1753,0)),"Unmapped"))</f>
        <v>Corporate discount</v>
      </c>
      <c r="N77" s="33" t="str">
        <f aca="false">IF($F77="","",$F77)</f>
        <v>InflataPark</v>
      </c>
    </row>
    <row r="78" customFormat="false" ht="15" hidden="false" customHeight="false" outlineLevel="0" collapsed="false">
      <c r="A78" s="33" t="n">
        <v>8055</v>
      </c>
      <c r="B78" s="33" t="s">
        <v>161</v>
      </c>
      <c r="C78" s="33" t="s">
        <v>151</v>
      </c>
      <c r="D78" s="33"/>
      <c r="E78" s="33" t="n">
        <v>91</v>
      </c>
      <c r="F78" s="33" t="s">
        <v>36</v>
      </c>
      <c r="G78" s="33" t="s">
        <v>87</v>
      </c>
      <c r="H78" s="33" t="n">
        <v>68</v>
      </c>
      <c r="I78" s="33" t="n">
        <v>177</v>
      </c>
      <c r="J78" s="33" t="n">
        <v>177</v>
      </c>
      <c r="K78" s="32" t="n">
        <v>1223.25</v>
      </c>
      <c r="L78" s="33" t="str">
        <f aca="false">IF($B78="","",IFERROR(INDEX('Code Mapping'!$D$5:$D$1753,MATCH($B78,'Code Mapping'!$A$5:$A$1753,0)),"Unmapped"))</f>
        <v>Qatar Airways</v>
      </c>
      <c r="M78" s="33" t="str">
        <f aca="false">IF($B78="","",IFERROR(INDEX('Code Mapping'!$E$5:$E$1753,MATCH($B78,'Code Mapping'!$A$5:$A$1753,0)),"Unmapped"))</f>
        <v>Corporate discount</v>
      </c>
      <c r="N78" s="33" t="str">
        <f aca="false">IF($F78="","",$F78)</f>
        <v>InflataPark</v>
      </c>
    </row>
    <row r="79" customFormat="false" ht="15" hidden="false" customHeight="false" outlineLevel="0" collapsed="false">
      <c r="A79" s="33" t="n">
        <v>8056</v>
      </c>
      <c r="B79" s="33" t="s">
        <v>189</v>
      </c>
      <c r="C79" s="33" t="s">
        <v>155</v>
      </c>
      <c r="D79" s="33"/>
      <c r="E79" s="33" t="n">
        <v>91</v>
      </c>
      <c r="F79" s="33" t="s">
        <v>36</v>
      </c>
      <c r="G79" s="33" t="s">
        <v>87</v>
      </c>
      <c r="H79" s="33" t="n">
        <v>17</v>
      </c>
      <c r="I79" s="33" t="n">
        <v>76</v>
      </c>
      <c r="J79" s="33" t="n">
        <v>76</v>
      </c>
      <c r="K79" s="32" t="n">
        <v>643.5</v>
      </c>
      <c r="L79" s="33" t="str">
        <f aca="false">IF($B79="","",IFERROR(INDEX('Code Mapping'!$D$5:$D$1753,MATCH($B79,'Code Mapping'!$A$5:$A$1753,0)),"Unmapped"))</f>
        <v>Qatar Foundation</v>
      </c>
      <c r="M79" s="33" t="str">
        <f aca="false">IF($B79="","",IFERROR(INDEX('Code Mapping'!$E$5:$E$1753,MATCH($B79,'Code Mapping'!$A$5:$A$1753,0)),"Unmapped"))</f>
        <v>Corporate discount</v>
      </c>
      <c r="N79" s="33" t="str">
        <f aca="false">IF($F79="","",$F79)</f>
        <v>InflataPark</v>
      </c>
    </row>
    <row r="80" customFormat="false" ht="15" hidden="false" customHeight="false" outlineLevel="0" collapsed="false">
      <c r="A80" s="33" t="n">
        <v>8316</v>
      </c>
      <c r="B80" s="33" t="s">
        <v>300</v>
      </c>
      <c r="C80" s="33"/>
      <c r="D80" s="33" t="s">
        <v>194</v>
      </c>
      <c r="E80" s="33" t="n">
        <v>91</v>
      </c>
      <c r="F80" s="33" t="s">
        <v>36</v>
      </c>
      <c r="G80" s="33" t="s">
        <v>87</v>
      </c>
      <c r="H80" s="33" t="n">
        <v>2</v>
      </c>
      <c r="I80" s="33" t="n">
        <v>9</v>
      </c>
      <c r="J80" s="33" t="n">
        <v>9</v>
      </c>
      <c r="K80" s="32" t="n">
        <v>57.75</v>
      </c>
      <c r="L80" s="33" t="str">
        <f aca="false">IF($B80="","",IFERROR(INDEX('Code Mapping'!$D$5:$D$1753,MATCH($B80,'Code Mapping'!$A$5:$A$1753,0)),"Unmapped"))</f>
        <v>QNB Rewards</v>
      </c>
      <c r="M80" s="33" t="str">
        <f aca="false">IF($B80="","",IFERROR(INDEX('Code Mapping'!$E$5:$E$1753,MATCH($B80,'Code Mapping'!$A$5:$A$1753,0)),"Unmapped"))</f>
        <v>Corporate discount</v>
      </c>
      <c r="N80" s="33" t="str">
        <f aca="false">IF($F80="","",$F80)</f>
        <v>InflataPark</v>
      </c>
    </row>
    <row r="81" customFormat="false" ht="15" hidden="false" customHeight="false" outlineLevel="0" collapsed="false">
      <c r="A81" s="33" t="n">
        <v>8048</v>
      </c>
      <c r="B81" s="33" t="s">
        <v>275</v>
      </c>
      <c r="C81" s="33" t="s">
        <v>235</v>
      </c>
      <c r="D81" s="33"/>
      <c r="E81" s="33" t="n">
        <v>91</v>
      </c>
      <c r="F81" s="33" t="s">
        <v>36</v>
      </c>
      <c r="G81" s="33" t="s">
        <v>87</v>
      </c>
      <c r="H81" s="33" t="n">
        <v>1</v>
      </c>
      <c r="I81" s="33" t="n">
        <v>2</v>
      </c>
      <c r="J81" s="33" t="n">
        <v>2</v>
      </c>
      <c r="K81" s="32" t="n">
        <v>10.5</v>
      </c>
      <c r="L81" s="33" t="str">
        <f aca="false">IF($B81="","",IFERROR(INDEX('Code Mapping'!$D$5:$D$1753,MATCH($B81,'Code Mapping'!$A$5:$A$1753,0)),"Unmapped"))</f>
        <v>Bein</v>
      </c>
      <c r="M81" s="33" t="str">
        <f aca="false">IF($B81="","",IFERROR(INDEX('Code Mapping'!$E$5:$E$1753,MATCH($B81,'Code Mapping'!$A$5:$A$1753,0)),"Unmapped"))</f>
        <v>Corporate discount</v>
      </c>
      <c r="N81" s="33" t="str">
        <f aca="false">IF($F81="","",$F81)</f>
        <v>InflataPark</v>
      </c>
    </row>
    <row r="82" customFormat="false" ht="15" hidden="false" customHeight="false" outlineLevel="0" collapsed="false">
      <c r="A82" s="33" t="n">
        <v>8322</v>
      </c>
      <c r="B82" s="33" t="s">
        <v>121</v>
      </c>
      <c r="C82" s="33" t="s">
        <v>122</v>
      </c>
      <c r="D82" s="33" t="s">
        <v>140</v>
      </c>
      <c r="E82" s="33" t="n">
        <v>94</v>
      </c>
      <c r="F82" s="33" t="s">
        <v>37</v>
      </c>
      <c r="G82" s="33" t="s">
        <v>115</v>
      </c>
      <c r="H82" s="33" t="n">
        <v>8</v>
      </c>
      <c r="I82" s="33" t="n">
        <v>8</v>
      </c>
      <c r="J82" s="33" t="n">
        <v>8</v>
      </c>
      <c r="K82" s="32" t="n">
        <v>360</v>
      </c>
      <c r="L82" s="33" t="str">
        <f aca="false">IF($B82="","",IFERROR(INDEX('Code Mapping'!$D$5:$D$1753,MATCH($B82,'Code Mapping'!$A$5:$A$1753,0)),"Unmapped"))</f>
        <v>Internal / promotion</v>
      </c>
      <c r="M82" s="33" t="str">
        <f aca="false">IF($B82="","",IFERROR(INDEX('Code Mapping'!$E$5:$E$1753,MATCH($B82,'Code Mapping'!$A$5:$A$1753,0)),"Unmapped"))</f>
        <v>Internal / promotion</v>
      </c>
      <c r="N82" s="33" t="str">
        <f aca="false">IF($F82="","",$F82)</f>
        <v>Kids City Driving School</v>
      </c>
    </row>
    <row r="83" customFormat="false" ht="15" hidden="false" customHeight="false" outlineLevel="0" collapsed="false">
      <c r="A83" s="33" t="n">
        <v>8114</v>
      </c>
      <c r="B83" s="33" t="s">
        <v>262</v>
      </c>
      <c r="C83" s="33"/>
      <c r="D83" s="33" t="s">
        <v>140</v>
      </c>
      <c r="E83" s="33" t="n">
        <v>133</v>
      </c>
      <c r="F83" s="33" t="s">
        <v>35</v>
      </c>
      <c r="G83" s="33" t="s">
        <v>115</v>
      </c>
      <c r="H83" s="33" t="n">
        <v>1</v>
      </c>
      <c r="I83" s="33" t="n">
        <v>1</v>
      </c>
      <c r="J83" s="33" t="n">
        <v>1</v>
      </c>
      <c r="K83" s="32" t="n">
        <v>3</v>
      </c>
      <c r="L83" s="33" t="str">
        <f aca="false">IF($B83="","",IFERROR(INDEX('Code Mapping'!$D$5:$D$1753,MATCH($B83,'Code Mapping'!$A$5:$A$1753,0)),"Unmapped"))</f>
        <v>Internal / promotion</v>
      </c>
      <c r="M83" s="33" t="str">
        <f aca="false">IF($B83="","",IFERROR(INDEX('Code Mapping'!$E$5:$E$1753,MATCH($B83,'Code Mapping'!$A$5:$A$1753,0)),"Unmapped"))</f>
        <v>Internal / promotion</v>
      </c>
      <c r="N83" s="33" t="str">
        <f aca="false">IF($F83="","",$F83)</f>
        <v>Urban Arena</v>
      </c>
    </row>
    <row r="84" customFormat="false" ht="15" hidden="false" customHeight="false" outlineLevel="0" collapsed="false">
      <c r="A84" s="33" t="n">
        <v>6827</v>
      </c>
      <c r="B84" s="33" t="s">
        <v>182</v>
      </c>
      <c r="C84" s="33"/>
      <c r="D84" s="33"/>
      <c r="E84" s="33" t="n">
        <v>61</v>
      </c>
      <c r="F84" s="33" t="s">
        <v>38</v>
      </c>
      <c r="G84" s="33" t="s">
        <v>115</v>
      </c>
      <c r="H84" s="33" t="n">
        <v>8</v>
      </c>
      <c r="I84" s="33" t="n">
        <v>8</v>
      </c>
      <c r="J84" s="33" t="n">
        <v>8</v>
      </c>
      <c r="K84" s="32" t="n">
        <v>800</v>
      </c>
      <c r="L84" s="33" t="str">
        <f aca="false">IF($B84="","",IFERROR(INDEX('Code Mapping'!$D$5:$D$1753,MATCH($B84,'Code Mapping'!$A$5:$A$1753,0)),"Unmapped"))</f>
        <v>My Book</v>
      </c>
      <c r="M84" s="33" t="str">
        <f aca="false">IF($B84="","",IFERROR(INDEX('Code Mapping'!$E$5:$E$1753,MATCH($B84,'Code Mapping'!$A$5:$A$1753,0)),"Unmapped"))</f>
        <v>Aggregator BOGO</v>
      </c>
      <c r="N84" s="33" t="str">
        <f aca="false">IF($F84="","",$F84)</f>
        <v>Crayons &amp; Bricks Vendome</v>
      </c>
    </row>
    <row r="85" customFormat="false" ht="15" hidden="false" customHeight="false" outlineLevel="0" collapsed="false">
      <c r="A85" s="33" t="n">
        <v>8159</v>
      </c>
      <c r="B85" s="33" t="s">
        <v>420</v>
      </c>
      <c r="C85" s="33" t="s">
        <v>419</v>
      </c>
      <c r="D85" s="33" t="s">
        <v>140</v>
      </c>
      <c r="E85" s="33" t="n">
        <v>94</v>
      </c>
      <c r="F85" s="33" t="s">
        <v>37</v>
      </c>
      <c r="G85" s="33" t="s">
        <v>115</v>
      </c>
      <c r="H85" s="33" t="n">
        <v>1</v>
      </c>
      <c r="I85" s="33" t="n">
        <v>1</v>
      </c>
      <c r="J85" s="33" t="n">
        <v>1</v>
      </c>
      <c r="K85" s="32" t="n">
        <v>199</v>
      </c>
      <c r="L85" s="33" t="str">
        <f aca="false">IF($B85="","",IFERROR(INDEX('Code Mapping'!$D$5:$D$1753,MATCH($B85,'Code Mapping'!$A$5:$A$1753,0)),"Unmapped"))</f>
        <v>Unmapped</v>
      </c>
      <c r="M85" s="33" t="str">
        <f aca="false">IF($B85="","",IFERROR(INDEX('Code Mapping'!$E$5:$E$1753,MATCH($B85,'Code Mapping'!$A$5:$A$1753,0)),"Unmapped"))</f>
        <v>Unmapped</v>
      </c>
      <c r="N85" s="33" t="str">
        <f aca="false">IF($F85="","",$F85)</f>
        <v>Kids City Driving School</v>
      </c>
    </row>
    <row r="86" customFormat="false" ht="15" hidden="false" customHeight="false" outlineLevel="0" collapsed="false">
      <c r="A86" s="33" t="n">
        <v>8158</v>
      </c>
      <c r="B86" s="33" t="s">
        <v>418</v>
      </c>
      <c r="C86" s="33" t="s">
        <v>419</v>
      </c>
      <c r="D86" s="33" t="s">
        <v>140</v>
      </c>
      <c r="E86" s="33" t="n">
        <v>94</v>
      </c>
      <c r="F86" s="33" t="s">
        <v>37</v>
      </c>
      <c r="G86" s="33" t="s">
        <v>115</v>
      </c>
      <c r="H86" s="33" t="n">
        <v>1</v>
      </c>
      <c r="I86" s="33" t="n">
        <v>1</v>
      </c>
      <c r="J86" s="33" t="n">
        <v>1</v>
      </c>
      <c r="K86" s="32" t="n">
        <v>199</v>
      </c>
      <c r="L86" s="33" t="str">
        <f aca="false">IF($B86="","",IFERROR(INDEX('Code Mapping'!$D$5:$D$1753,MATCH($B86,'Code Mapping'!$A$5:$A$1753,0)),"Unmapped"))</f>
        <v>Unmapped</v>
      </c>
      <c r="M86" s="33" t="str">
        <f aca="false">IF($B86="","",IFERROR(INDEX('Code Mapping'!$E$5:$E$1753,MATCH($B86,'Code Mapping'!$A$5:$A$1753,0)),"Unmapped"))</f>
        <v>Unmapped</v>
      </c>
      <c r="N86" s="33" t="str">
        <f aca="false">IF($F86="","",$F86)</f>
        <v>Kids City Driving School</v>
      </c>
    </row>
    <row r="87" customFormat="false" ht="15" hidden="false" customHeight="false" outlineLevel="0" collapsed="false">
      <c r="A87" s="33" t="n">
        <v>8347</v>
      </c>
      <c r="B87" s="33" t="s">
        <v>188</v>
      </c>
      <c r="C87" s="33"/>
      <c r="D87" s="33" t="s">
        <v>140</v>
      </c>
      <c r="E87" s="33" t="n">
        <v>94</v>
      </c>
      <c r="F87" s="33" t="s">
        <v>37</v>
      </c>
      <c r="G87" s="33" t="s">
        <v>115</v>
      </c>
      <c r="H87" s="33" t="n">
        <v>11</v>
      </c>
      <c r="I87" s="33" t="n">
        <v>11</v>
      </c>
      <c r="J87" s="33" t="n">
        <v>11</v>
      </c>
      <c r="K87" s="32" t="n">
        <v>2189</v>
      </c>
      <c r="L87" s="33" t="str">
        <f aca="false">IF($B87="","",IFERROR(INDEX('Code Mapping'!$D$5:$D$1753,MATCH($B87,'Code Mapping'!$A$5:$A$1753,0)),"Unmapped"))</f>
        <v>My Book</v>
      </c>
      <c r="M87" s="33" t="str">
        <f aca="false">IF($B87="","",IFERROR(INDEX('Code Mapping'!$E$5:$E$1753,MATCH($B87,'Code Mapping'!$A$5:$A$1753,0)),"Unmapped"))</f>
        <v>Aggregator BOGO</v>
      </c>
      <c r="N87" s="33" t="str">
        <f aca="false">IF($F87="","",$F87)</f>
        <v>Kids City Driving School</v>
      </c>
    </row>
    <row r="88" customFormat="false" ht="15" hidden="false" customHeight="false" outlineLevel="0" collapsed="false">
      <c r="A88" s="33" t="n">
        <v>8314</v>
      </c>
      <c r="B88" s="33" t="s">
        <v>119</v>
      </c>
      <c r="C88" s="33"/>
      <c r="D88" s="33" t="s">
        <v>140</v>
      </c>
      <c r="E88" s="33" t="n">
        <v>91</v>
      </c>
      <c r="F88" s="33" t="s">
        <v>36</v>
      </c>
      <c r="G88" s="33" t="s">
        <v>115</v>
      </c>
      <c r="H88" s="33" t="n">
        <v>2</v>
      </c>
      <c r="I88" s="33" t="n">
        <v>2</v>
      </c>
      <c r="J88" s="33" t="n">
        <v>2</v>
      </c>
      <c r="K88" s="32" t="n">
        <v>90</v>
      </c>
      <c r="L88" s="33" t="str">
        <f aca="false">IF($B88="","",IFERROR(INDEX('Code Mapping'!$D$5:$D$1753,MATCH($B88,'Code Mapping'!$A$5:$A$1753,0)),"Unmapped"))</f>
        <v>Internal / promotion</v>
      </c>
      <c r="M88" s="33" t="str">
        <f aca="false">IF($B88="","",IFERROR(INDEX('Code Mapping'!$E$5:$E$1753,MATCH($B88,'Code Mapping'!$A$5:$A$1753,0)),"Unmapped"))</f>
        <v>Internal / promotion</v>
      </c>
      <c r="N88" s="33" t="str">
        <f aca="false">IF($F88="","",$F88)</f>
        <v>InflataPark</v>
      </c>
    </row>
    <row r="89" customFormat="false" ht="15" hidden="false" customHeight="false" outlineLevel="0" collapsed="false">
      <c r="A89" s="33" t="n">
        <v>8313</v>
      </c>
      <c r="B89" s="33" t="s">
        <v>126</v>
      </c>
      <c r="C89" s="33" t="s">
        <v>127</v>
      </c>
      <c r="D89" s="33" t="s">
        <v>140</v>
      </c>
      <c r="E89" s="33" t="n">
        <v>133</v>
      </c>
      <c r="F89" s="33" t="s">
        <v>35</v>
      </c>
      <c r="G89" s="33" t="s">
        <v>115</v>
      </c>
      <c r="H89" s="33" t="n">
        <v>2</v>
      </c>
      <c r="I89" s="33" t="n">
        <v>2</v>
      </c>
      <c r="J89" s="33" t="n">
        <v>2</v>
      </c>
      <c r="K89" s="32" t="n">
        <v>90</v>
      </c>
      <c r="L89" s="33" t="str">
        <f aca="false">IF($B89="","",IFERROR(INDEX('Code Mapping'!$D$5:$D$1753,MATCH($B89,'Code Mapping'!$A$5:$A$1753,0)),"Unmapped"))</f>
        <v>Internal / promotion</v>
      </c>
      <c r="M89" s="33" t="str">
        <f aca="false">IF($B89="","",IFERROR(INDEX('Code Mapping'!$E$5:$E$1753,MATCH($B89,'Code Mapping'!$A$5:$A$1753,0)),"Unmapped"))</f>
        <v>Internal / promotion</v>
      </c>
      <c r="N89" s="33" t="str">
        <f aca="false">IF($F89="","",$F89)</f>
        <v>Urban Arena</v>
      </c>
    </row>
    <row r="90" customFormat="false" ht="15" hidden="false" customHeight="false" outlineLevel="0" collapsed="false">
      <c r="A90" s="33" t="n">
        <v>8068</v>
      </c>
      <c r="B90" s="33" t="s">
        <v>190</v>
      </c>
      <c r="C90" s="33" t="s">
        <v>170</v>
      </c>
      <c r="D90" s="33"/>
      <c r="E90" s="33" t="n">
        <v>94</v>
      </c>
      <c r="F90" s="33" t="s">
        <v>37</v>
      </c>
      <c r="G90" s="33" t="s">
        <v>115</v>
      </c>
      <c r="H90" s="33" t="n">
        <v>18</v>
      </c>
      <c r="I90" s="33" t="n">
        <v>22</v>
      </c>
      <c r="J90" s="33" t="n">
        <v>22</v>
      </c>
      <c r="K90" s="32" t="n">
        <v>4378</v>
      </c>
      <c r="L90" s="33" t="str">
        <f aca="false">IF($B90="","",IFERROR(INDEX('Code Mapping'!$D$5:$D$1753,MATCH($B90,'Code Mapping'!$A$5:$A$1753,0)),"Unmapped"))</f>
        <v>Urban Point</v>
      </c>
      <c r="M90" s="33" t="str">
        <f aca="false">IF($B90="","",IFERROR(INDEX('Code Mapping'!$E$5:$E$1753,MATCH($B90,'Code Mapping'!$A$5:$A$1753,0)),"Unmapped"))</f>
        <v>Aggregator BOGO</v>
      </c>
      <c r="N90" s="33" t="str">
        <f aca="false">IF($F90="","",$F90)</f>
        <v>Kids City Driving School</v>
      </c>
    </row>
    <row r="91" customFormat="false" ht="15" hidden="false" customHeight="false" outlineLevel="0" collapsed="false">
      <c r="A91" s="33" t="n">
        <v>8328</v>
      </c>
      <c r="B91" s="33" t="s">
        <v>296</v>
      </c>
      <c r="C91" s="33" t="s">
        <v>297</v>
      </c>
      <c r="D91" s="33" t="s">
        <v>140</v>
      </c>
      <c r="E91" s="33" t="n">
        <v>91</v>
      </c>
      <c r="F91" s="33" t="s">
        <v>36</v>
      </c>
      <c r="G91" s="33" t="s">
        <v>115</v>
      </c>
      <c r="H91" s="33" t="n">
        <v>2</v>
      </c>
      <c r="I91" s="33" t="n">
        <v>50</v>
      </c>
      <c r="J91" s="33" t="n">
        <v>50</v>
      </c>
      <c r="K91" s="32" t="n">
        <v>337.5</v>
      </c>
      <c r="L91" s="33" t="str">
        <f aca="false">IF($B91="","",IFERROR(INDEX('Code Mapping'!$D$5:$D$1753,MATCH($B91,'Code Mapping'!$A$5:$A$1753,0)),"Unmapped"))</f>
        <v>Unmapped</v>
      </c>
      <c r="M91" s="33" t="str">
        <f aca="false">IF($B91="","",IFERROR(INDEX('Code Mapping'!$E$5:$E$1753,MATCH($B91,'Code Mapping'!$A$5:$A$1753,0)),"Unmapped"))</f>
        <v>Unmapped</v>
      </c>
      <c r="N91" s="33" t="str">
        <f aca="false">IF($F91="","",$F91)</f>
        <v>InflataPark</v>
      </c>
    </row>
    <row r="92" customFormat="false" ht="15" hidden="false" customHeight="false" outlineLevel="0" collapsed="false">
      <c r="A92" s="33" t="n">
        <v>8075</v>
      </c>
      <c r="B92" s="33" t="s">
        <v>186</v>
      </c>
      <c r="C92" s="33" t="s">
        <v>139</v>
      </c>
      <c r="D92" s="33"/>
      <c r="E92" s="33" t="n">
        <v>133</v>
      </c>
      <c r="F92" s="33" t="s">
        <v>35</v>
      </c>
      <c r="G92" s="33" t="s">
        <v>115</v>
      </c>
      <c r="H92" s="33" t="n">
        <v>27</v>
      </c>
      <c r="I92" s="33" t="n">
        <v>116</v>
      </c>
      <c r="J92" s="33" t="n">
        <v>116</v>
      </c>
      <c r="K92" s="32" t="n">
        <v>955.8</v>
      </c>
      <c r="L92" s="33" t="str">
        <f aca="false">IF($B92="","",IFERROR(INDEX('Code Mapping'!$D$5:$D$1753,MATCH($B92,'Code Mapping'!$A$5:$A$1753,0)),"Unmapped"))</f>
        <v>Imtyazat</v>
      </c>
      <c r="M92" s="33" t="str">
        <f aca="false">IF($B92="","",IFERROR(INDEX('Code Mapping'!$E$5:$E$1753,MATCH($B92,'Code Mapping'!$A$5:$A$1753,0)),"Unmapped"))</f>
        <v>Corporate discount</v>
      </c>
      <c r="N92" s="33" t="str">
        <f aca="false">IF($F92="","",$F92)</f>
        <v>Urban Arena</v>
      </c>
    </row>
    <row r="93" customFormat="false" ht="15" hidden="false" customHeight="false" outlineLevel="0" collapsed="false">
      <c r="A93" s="33" t="n">
        <v>8076</v>
      </c>
      <c r="B93" s="33" t="s">
        <v>157</v>
      </c>
      <c r="C93" s="33" t="s">
        <v>158</v>
      </c>
      <c r="D93" s="33"/>
      <c r="E93" s="33" t="n">
        <v>133</v>
      </c>
      <c r="F93" s="33" t="s">
        <v>35</v>
      </c>
      <c r="G93" s="33" t="s">
        <v>115</v>
      </c>
      <c r="H93" s="33" t="n">
        <v>70</v>
      </c>
      <c r="I93" s="33" t="n">
        <v>250</v>
      </c>
      <c r="J93" s="33" t="n">
        <v>250</v>
      </c>
      <c r="K93" s="32" t="n">
        <v>2576</v>
      </c>
      <c r="L93" s="33" t="str">
        <f aca="false">IF($B93="","",IFERROR(INDEX('Code Mapping'!$D$5:$D$1753,MATCH($B93,'Code Mapping'!$A$5:$A$1753,0)),"Unmapped"))</f>
        <v>Public Health Sector (Sogha)</v>
      </c>
      <c r="M93" s="33" t="str">
        <f aca="false">IF($B93="","",IFERROR(INDEX('Code Mapping'!$E$5:$E$1753,MATCH($B93,'Code Mapping'!$A$5:$A$1753,0)),"Unmapped"))</f>
        <v>Corporate discount</v>
      </c>
      <c r="N93" s="33" t="str">
        <f aca="false">IF($F93="","",$F93)</f>
        <v>Urban Arena</v>
      </c>
    </row>
    <row r="94" customFormat="false" ht="15" hidden="false" customHeight="false" outlineLevel="0" collapsed="false">
      <c r="A94" s="33" t="n">
        <v>8312</v>
      </c>
      <c r="B94" s="33" t="s">
        <v>290</v>
      </c>
      <c r="C94" s="33" t="s">
        <v>291</v>
      </c>
      <c r="D94" s="33" t="s">
        <v>140</v>
      </c>
      <c r="E94" s="33" t="n">
        <v>133</v>
      </c>
      <c r="F94" s="33" t="s">
        <v>35</v>
      </c>
      <c r="G94" s="33" t="s">
        <v>115</v>
      </c>
      <c r="H94" s="33" t="n">
        <v>2</v>
      </c>
      <c r="I94" s="33" t="n">
        <v>7</v>
      </c>
      <c r="J94" s="33" t="n">
        <v>7</v>
      </c>
      <c r="K94" s="32" t="n">
        <v>237.5</v>
      </c>
      <c r="L94" s="33" t="str">
        <f aca="false">IF($B94="","",IFERROR(INDEX('Code Mapping'!$D$5:$D$1753,MATCH($B94,'Code Mapping'!$A$5:$A$1753,0)),"Unmapped"))</f>
        <v>Unmapped</v>
      </c>
      <c r="M94" s="33" t="str">
        <f aca="false">IF($B94="","",IFERROR(INDEX('Code Mapping'!$E$5:$E$1753,MATCH($B94,'Code Mapping'!$A$5:$A$1753,0)),"Unmapped"))</f>
        <v>Unmapped</v>
      </c>
      <c r="N94" s="33" t="str">
        <f aca="false">IF($F94="","",$F94)</f>
        <v>Urban Arena</v>
      </c>
    </row>
    <row r="95" customFormat="false" ht="15" hidden="false" customHeight="false" outlineLevel="0" collapsed="false">
      <c r="A95" s="33" t="n">
        <v>8081</v>
      </c>
      <c r="B95" s="33" t="s">
        <v>223</v>
      </c>
      <c r="C95" s="33" t="s">
        <v>224</v>
      </c>
      <c r="D95" s="33"/>
      <c r="E95" s="33" t="n">
        <v>133</v>
      </c>
      <c r="F95" s="33" t="s">
        <v>35</v>
      </c>
      <c r="G95" s="33" t="s">
        <v>115</v>
      </c>
      <c r="H95" s="33" t="n">
        <v>8</v>
      </c>
      <c r="I95" s="33" t="n">
        <v>42</v>
      </c>
      <c r="J95" s="33" t="n">
        <v>42</v>
      </c>
      <c r="K95" s="32" t="n">
        <v>310.5</v>
      </c>
      <c r="L95" s="33" t="str">
        <f aca="false">IF($B95="","",IFERROR(INDEX('Code Mapping'!$D$5:$D$1753,MATCH($B95,'Code Mapping'!$A$5:$A$1753,0)),"Unmapped"))</f>
        <v>Qatar Media Corporation</v>
      </c>
      <c r="M95" s="33" t="str">
        <f aca="false">IF($B95="","",IFERROR(INDEX('Code Mapping'!$E$5:$E$1753,MATCH($B95,'Code Mapping'!$A$5:$A$1753,0)),"Unmapped"))</f>
        <v>Corporate discount</v>
      </c>
      <c r="N95" s="33" t="str">
        <f aca="false">IF($F95="","",$F95)</f>
        <v>Urban Arena</v>
      </c>
    </row>
    <row r="96" customFormat="false" ht="15" hidden="false" customHeight="false" outlineLevel="0" collapsed="false">
      <c r="A96" s="33" t="n">
        <v>8080</v>
      </c>
      <c r="B96" s="33" t="s">
        <v>267</v>
      </c>
      <c r="C96" s="33" t="s">
        <v>245</v>
      </c>
      <c r="D96" s="33"/>
      <c r="E96" s="33" t="n">
        <v>133</v>
      </c>
      <c r="F96" s="33" t="s">
        <v>35</v>
      </c>
      <c r="G96" s="33" t="s">
        <v>115</v>
      </c>
      <c r="H96" s="33" t="n">
        <v>3</v>
      </c>
      <c r="I96" s="33" t="n">
        <v>10</v>
      </c>
      <c r="J96" s="33" t="n">
        <v>10</v>
      </c>
      <c r="K96" s="32" t="n">
        <v>84</v>
      </c>
      <c r="L96" s="33" t="str">
        <f aca="false">IF($B96="","",IFERROR(INDEX('Code Mapping'!$D$5:$D$1753,MATCH($B96,'Code Mapping'!$A$5:$A$1753,0)),"Unmapped"))</f>
        <v>Qatar Investment Authority</v>
      </c>
      <c r="M96" s="33" t="str">
        <f aca="false">IF($B96="","",IFERROR(INDEX('Code Mapping'!$E$5:$E$1753,MATCH($B96,'Code Mapping'!$A$5:$A$1753,0)),"Unmapped"))</f>
        <v>Corporate discount</v>
      </c>
      <c r="N96" s="33" t="str">
        <f aca="false">IF($F96="","",$F96)</f>
        <v>Urban Arena</v>
      </c>
    </row>
    <row r="97" customFormat="false" ht="15" hidden="false" customHeight="false" outlineLevel="0" collapsed="false">
      <c r="A97" s="33" t="n">
        <v>8071</v>
      </c>
      <c r="B97" s="33" t="s">
        <v>234</v>
      </c>
      <c r="C97" s="33" t="s">
        <v>235</v>
      </c>
      <c r="D97" s="33"/>
      <c r="E97" s="33" t="n">
        <v>133</v>
      </c>
      <c r="F97" s="33" t="s">
        <v>35</v>
      </c>
      <c r="G97" s="33" t="s">
        <v>115</v>
      </c>
      <c r="H97" s="33" t="n">
        <v>8</v>
      </c>
      <c r="I97" s="33" t="n">
        <v>46</v>
      </c>
      <c r="J97" s="33" t="n">
        <v>46</v>
      </c>
      <c r="K97" s="32" t="n">
        <v>414</v>
      </c>
      <c r="L97" s="33" t="str">
        <f aca="false">IF($B97="","",IFERROR(INDEX('Code Mapping'!$D$5:$D$1753,MATCH($B97,'Code Mapping'!$A$5:$A$1753,0)),"Unmapped"))</f>
        <v>Bein</v>
      </c>
      <c r="M97" s="33" t="str">
        <f aca="false">IF($B97="","",IFERROR(INDEX('Code Mapping'!$E$5:$E$1753,MATCH($B97,'Code Mapping'!$A$5:$A$1753,0)),"Unmapped"))</f>
        <v>Corporate discount</v>
      </c>
      <c r="N97" s="33" t="str">
        <f aca="false">IF($F97="","",$F97)</f>
        <v>Urban Arena</v>
      </c>
    </row>
    <row r="98" customFormat="false" ht="15" hidden="false" customHeight="false" outlineLevel="0" collapsed="false">
      <c r="A98" s="33" t="n">
        <v>8093</v>
      </c>
      <c r="B98" s="33" t="s">
        <v>167</v>
      </c>
      <c r="C98" s="33" t="s">
        <v>168</v>
      </c>
      <c r="D98" s="33"/>
      <c r="E98" s="33" t="n">
        <v>133</v>
      </c>
      <c r="F98" s="33" t="s">
        <v>35</v>
      </c>
      <c r="G98" s="33" t="s">
        <v>115</v>
      </c>
      <c r="H98" s="33" t="n">
        <v>38</v>
      </c>
      <c r="I98" s="33" t="n">
        <v>38</v>
      </c>
      <c r="J98" s="33" t="n">
        <v>38</v>
      </c>
      <c r="K98" s="32" t="n">
        <v>7562</v>
      </c>
      <c r="L98" s="33" t="str">
        <f aca="false">IF($B98="","",IFERROR(INDEX('Code Mapping'!$D$5:$D$1753,MATCH($B98,'Code Mapping'!$A$5:$A$1753,0)),"Unmapped"))</f>
        <v>My Book</v>
      </c>
      <c r="M98" s="33" t="str">
        <f aca="false">IF($B98="","",IFERROR(INDEX('Code Mapping'!$E$5:$E$1753,MATCH($B98,'Code Mapping'!$A$5:$A$1753,0)),"Unmapped"))</f>
        <v>Aggregator BOGO</v>
      </c>
      <c r="N98" s="33" t="str">
        <f aca="false">IF($F98="","",$F98)</f>
        <v>Urban Arena</v>
      </c>
    </row>
    <row r="99" customFormat="false" ht="15" hidden="false" customHeight="false" outlineLevel="0" collapsed="false">
      <c r="A99" s="33" t="n">
        <v>8091</v>
      </c>
      <c r="B99" s="33" t="s">
        <v>252</v>
      </c>
      <c r="C99" s="33" t="s">
        <v>253</v>
      </c>
      <c r="D99" s="33"/>
      <c r="E99" s="33" t="n">
        <v>133</v>
      </c>
      <c r="F99" s="33" t="s">
        <v>35</v>
      </c>
      <c r="G99" s="33" t="s">
        <v>115</v>
      </c>
      <c r="H99" s="33" t="n">
        <v>6</v>
      </c>
      <c r="I99" s="33" t="n">
        <v>6</v>
      </c>
      <c r="J99" s="33" t="n">
        <v>6</v>
      </c>
      <c r="K99" s="32" t="n">
        <v>1194</v>
      </c>
      <c r="L99" s="33" t="str">
        <f aca="false">IF($B99="","",IFERROR(INDEX('Code Mapping'!$D$5:$D$1753,MATCH($B99,'Code Mapping'!$A$5:$A$1753,0)),"Unmapped"))</f>
        <v>Classmate</v>
      </c>
      <c r="M99" s="33" t="str">
        <f aca="false">IF($B99="","",IFERROR(INDEX('Code Mapping'!$E$5:$E$1753,MATCH($B99,'Code Mapping'!$A$5:$A$1753,0)),"Unmapped"))</f>
        <v>Aggregator BOGO</v>
      </c>
      <c r="N99" s="33" t="str">
        <f aca="false">IF($F99="","",$F99)</f>
        <v>Urban Arena</v>
      </c>
    </row>
    <row r="100" customFormat="false" ht="15" hidden="false" customHeight="false" outlineLevel="0" collapsed="false">
      <c r="A100" s="33" t="n">
        <v>8078</v>
      </c>
      <c r="B100" s="33" t="s">
        <v>150</v>
      </c>
      <c r="C100" s="33" t="s">
        <v>151</v>
      </c>
      <c r="D100" s="33"/>
      <c r="E100" s="33" t="n">
        <v>133</v>
      </c>
      <c r="F100" s="33" t="s">
        <v>35</v>
      </c>
      <c r="G100" s="33" t="s">
        <v>115</v>
      </c>
      <c r="H100" s="33" t="n">
        <v>56</v>
      </c>
      <c r="I100" s="33" t="n">
        <v>247</v>
      </c>
      <c r="J100" s="33" t="n">
        <v>247</v>
      </c>
      <c r="K100" s="32" t="n">
        <v>2101.2</v>
      </c>
      <c r="L100" s="33" t="str">
        <f aca="false">IF($B100="","",IFERROR(INDEX('Code Mapping'!$D$5:$D$1753,MATCH($B100,'Code Mapping'!$A$5:$A$1753,0)),"Unmapped"))</f>
        <v>Qatar Airways</v>
      </c>
      <c r="M100" s="33" t="str">
        <f aca="false">IF($B100="","",IFERROR(INDEX('Code Mapping'!$E$5:$E$1753,MATCH($B100,'Code Mapping'!$A$5:$A$1753,0)),"Unmapped"))</f>
        <v>Corporate discount</v>
      </c>
      <c r="N100" s="33" t="str">
        <f aca="false">IF($F100="","",$F100)</f>
        <v>Urban Arena</v>
      </c>
    </row>
    <row r="101" customFormat="false" ht="15" hidden="false" customHeight="false" outlineLevel="0" collapsed="false">
      <c r="A101" s="33" t="n">
        <v>8094</v>
      </c>
      <c r="B101" s="33" t="s">
        <v>169</v>
      </c>
      <c r="C101" s="33" t="s">
        <v>170</v>
      </c>
      <c r="D101" s="33"/>
      <c r="E101" s="33" t="n">
        <v>133</v>
      </c>
      <c r="F101" s="33" t="s">
        <v>35</v>
      </c>
      <c r="G101" s="33" t="s">
        <v>115</v>
      </c>
      <c r="H101" s="33" t="n">
        <v>30</v>
      </c>
      <c r="I101" s="33" t="n">
        <v>30</v>
      </c>
      <c r="J101" s="33" t="n">
        <v>30</v>
      </c>
      <c r="K101" s="32" t="n">
        <v>5970</v>
      </c>
      <c r="L101" s="33" t="str">
        <f aca="false">IF($B101="","",IFERROR(INDEX('Code Mapping'!$D$5:$D$1753,MATCH($B101,'Code Mapping'!$A$5:$A$1753,0)),"Unmapped"))</f>
        <v>Urban Point</v>
      </c>
      <c r="M101" s="33" t="str">
        <f aca="false">IF($B101="","",IFERROR(INDEX('Code Mapping'!$E$5:$E$1753,MATCH($B101,'Code Mapping'!$A$5:$A$1753,0)),"Unmapped"))</f>
        <v>Aggregator BOGO</v>
      </c>
      <c r="N101" s="33" t="str">
        <f aca="false">IF($F101="","",$F101)</f>
        <v>Urban Arena</v>
      </c>
    </row>
    <row r="102" customFormat="false" ht="15" hidden="false" customHeight="false" outlineLevel="0" collapsed="false">
      <c r="A102" s="33" t="n">
        <v>8092</v>
      </c>
      <c r="B102" s="33" t="s">
        <v>214</v>
      </c>
      <c r="C102" s="33" t="s">
        <v>179</v>
      </c>
      <c r="D102" s="33"/>
      <c r="E102" s="33" t="n">
        <v>133</v>
      </c>
      <c r="F102" s="33" t="s">
        <v>35</v>
      </c>
      <c r="G102" s="33" t="s">
        <v>115</v>
      </c>
      <c r="H102" s="33" t="n">
        <v>5</v>
      </c>
      <c r="I102" s="33" t="n">
        <v>5</v>
      </c>
      <c r="J102" s="33" t="n">
        <v>5</v>
      </c>
      <c r="K102" s="32" t="n">
        <v>995</v>
      </c>
      <c r="L102" s="33" t="str">
        <f aca="false">IF($B102="","",IFERROR(INDEX('Code Mapping'!$D$5:$D$1753,MATCH($B102,'Code Mapping'!$A$5:$A$1753,0)),"Unmapped"))</f>
        <v>Entertainer</v>
      </c>
      <c r="M102" s="33" t="str">
        <f aca="false">IF($B102="","",IFERROR(INDEX('Code Mapping'!$E$5:$E$1753,MATCH($B102,'Code Mapping'!$A$5:$A$1753,0)),"Unmapped"))</f>
        <v>Aggregator BOGO</v>
      </c>
      <c r="N102" s="33" t="str">
        <f aca="false">IF($F102="","",$F102)</f>
        <v>Urban Arena</v>
      </c>
    </row>
    <row r="103" customFormat="false" ht="15" hidden="false" customHeight="false" outlineLevel="0" collapsed="false">
      <c r="A103" s="33" t="n">
        <v>8069</v>
      </c>
      <c r="B103" s="33" t="s">
        <v>209</v>
      </c>
      <c r="C103" s="33" t="s">
        <v>210</v>
      </c>
      <c r="D103" s="33"/>
      <c r="E103" s="33" t="n">
        <v>133</v>
      </c>
      <c r="F103" s="33" t="s">
        <v>35</v>
      </c>
      <c r="G103" s="33" t="s">
        <v>115</v>
      </c>
      <c r="H103" s="33" t="n">
        <v>6</v>
      </c>
      <c r="I103" s="33" t="n">
        <v>30</v>
      </c>
      <c r="J103" s="33" t="n">
        <v>30</v>
      </c>
      <c r="K103" s="32" t="n">
        <v>231</v>
      </c>
      <c r="L103" s="33" t="str">
        <f aca="false">IF($B103="","",IFERROR(INDEX('Code Mapping'!$D$5:$D$1753,MATCH($B103,'Code Mapping'!$A$5:$A$1753,0)),"Unmapped"))</f>
        <v>Al Jazeera Imtiyazat</v>
      </c>
      <c r="M103" s="33" t="str">
        <f aca="false">IF($B103="","",IFERROR(INDEX('Code Mapping'!$E$5:$E$1753,MATCH($B103,'Code Mapping'!$A$5:$A$1753,0)),"Unmapped"))</f>
        <v>Corporate discount</v>
      </c>
      <c r="N103" s="33" t="str">
        <f aca="false">IF($F103="","",$F103)</f>
        <v>Urban Arena</v>
      </c>
    </row>
    <row r="104" customFormat="false" ht="15" hidden="false" customHeight="false" outlineLevel="0" collapsed="false">
      <c r="A104" s="33" t="n">
        <v>8061</v>
      </c>
      <c r="B104" s="33" t="s">
        <v>277</v>
      </c>
      <c r="C104" s="33" t="s">
        <v>278</v>
      </c>
      <c r="D104" s="33"/>
      <c r="E104" s="33" t="n">
        <v>94</v>
      </c>
      <c r="F104" s="33" t="s">
        <v>37</v>
      </c>
      <c r="G104" s="33" t="s">
        <v>115</v>
      </c>
      <c r="H104" s="33" t="n">
        <v>3</v>
      </c>
      <c r="I104" s="33" t="n">
        <v>11</v>
      </c>
      <c r="J104" s="33" t="n">
        <v>11</v>
      </c>
      <c r="K104" s="32" t="n">
        <v>93.75</v>
      </c>
      <c r="L104" s="33" t="str">
        <f aca="false">IF($B104="","",IFERROR(INDEX('Code Mapping'!$D$5:$D$1753,MATCH($B104,'Code Mapping'!$A$5:$A$1753,0)),"Unmapped"))</f>
        <v>Bein</v>
      </c>
      <c r="M104" s="33" t="str">
        <f aca="false">IF($B104="","",IFERROR(INDEX('Code Mapping'!$E$5:$E$1753,MATCH($B104,'Code Mapping'!$A$5:$A$1753,0)),"Unmapped"))</f>
        <v>Corporate discount</v>
      </c>
      <c r="N104" s="33" t="str">
        <f aca="false">IF($F104="","",$F104)</f>
        <v>Kids City Driving School</v>
      </c>
    </row>
    <row r="105" customFormat="false" ht="15" hidden="false" customHeight="false" outlineLevel="0" collapsed="false">
      <c r="A105" s="33" t="n">
        <v>8065</v>
      </c>
      <c r="B105" s="33" t="s">
        <v>138</v>
      </c>
      <c r="C105" s="33" t="s">
        <v>139</v>
      </c>
      <c r="D105" s="33" t="s">
        <v>140</v>
      </c>
      <c r="E105" s="33" t="n">
        <v>94</v>
      </c>
      <c r="F105" s="33" t="s">
        <v>37</v>
      </c>
      <c r="G105" s="33" t="s">
        <v>115</v>
      </c>
      <c r="H105" s="33" t="n">
        <v>176</v>
      </c>
      <c r="I105" s="33" t="n">
        <v>629</v>
      </c>
      <c r="J105" s="33" t="n">
        <v>629</v>
      </c>
      <c r="K105" s="32" t="n">
        <v>4721.25</v>
      </c>
      <c r="L105" s="33" t="str">
        <f aca="false">IF($B105="","",IFERROR(INDEX('Code Mapping'!$D$5:$D$1753,MATCH($B105,'Code Mapping'!$A$5:$A$1753,0)),"Unmapped"))</f>
        <v>Imtyazat</v>
      </c>
      <c r="M105" s="33" t="str">
        <f aca="false">IF($B105="","",IFERROR(INDEX('Code Mapping'!$E$5:$E$1753,MATCH($B105,'Code Mapping'!$A$5:$A$1753,0)),"Unmapped"))</f>
        <v>Corporate discount</v>
      </c>
      <c r="N105" s="33" t="str">
        <f aca="false">IF($F105="","",$F105)</f>
        <v>Kids City Driving School</v>
      </c>
    </row>
    <row r="106" customFormat="false" ht="15" hidden="false" customHeight="false" outlineLevel="0" collapsed="false">
      <c r="A106" s="33" t="n">
        <v>8067</v>
      </c>
      <c r="B106" s="33" t="s">
        <v>233</v>
      </c>
      <c r="C106" s="33" t="s">
        <v>168</v>
      </c>
      <c r="D106" s="33"/>
      <c r="E106" s="33" t="n">
        <v>94</v>
      </c>
      <c r="F106" s="33" t="s">
        <v>37</v>
      </c>
      <c r="G106" s="33" t="s">
        <v>115</v>
      </c>
      <c r="H106" s="33" t="n">
        <v>4</v>
      </c>
      <c r="I106" s="33" t="n">
        <v>4</v>
      </c>
      <c r="J106" s="33" t="n">
        <v>4</v>
      </c>
      <c r="K106" s="32" t="n">
        <v>796</v>
      </c>
      <c r="L106" s="33" t="str">
        <f aca="false">IF($B106="","",IFERROR(INDEX('Code Mapping'!$D$5:$D$1753,MATCH($B106,'Code Mapping'!$A$5:$A$1753,0)),"Unmapped"))</f>
        <v>My Book</v>
      </c>
      <c r="M106" s="33" t="str">
        <f aca="false">IF($B106="","",IFERROR(INDEX('Code Mapping'!$E$5:$E$1753,MATCH($B106,'Code Mapping'!$A$5:$A$1753,0)),"Unmapped"))</f>
        <v>Aggregator BOGO</v>
      </c>
      <c r="N106" s="33" t="str">
        <f aca="false">IF($F106="","",$F106)</f>
        <v>Kids City Driving School</v>
      </c>
    </row>
    <row r="107" customFormat="false" ht="15" hidden="false" customHeight="false" outlineLevel="0" collapsed="false">
      <c r="A107" s="33" t="n">
        <v>8059</v>
      </c>
      <c r="B107" s="33" t="s">
        <v>217</v>
      </c>
      <c r="C107" s="33" t="s">
        <v>218</v>
      </c>
      <c r="D107" s="33"/>
      <c r="E107" s="33" t="n">
        <v>94</v>
      </c>
      <c r="F107" s="33" t="s">
        <v>37</v>
      </c>
      <c r="G107" s="33" t="s">
        <v>115</v>
      </c>
      <c r="H107" s="33" t="n">
        <v>4</v>
      </c>
      <c r="I107" s="33" t="n">
        <v>14</v>
      </c>
      <c r="J107" s="33" t="n">
        <v>14</v>
      </c>
      <c r="K107" s="32" t="n">
        <v>115.5</v>
      </c>
      <c r="L107" s="33" t="str">
        <f aca="false">IF($B107="","",IFERROR(INDEX('Code Mapping'!$D$5:$D$1753,MATCH($B107,'Code Mapping'!$A$5:$A$1753,0)),"Unmapped"))</f>
        <v>Al Jazeera Imtiyazat</v>
      </c>
      <c r="M107" s="33" t="str">
        <f aca="false">IF($B107="","",IFERROR(INDEX('Code Mapping'!$E$5:$E$1753,MATCH($B107,'Code Mapping'!$A$5:$A$1753,0)),"Unmapped"))</f>
        <v>Corporate discount</v>
      </c>
      <c r="N107" s="33" t="str">
        <f aca="false">IF($F107="","",$F107)</f>
        <v>Kids City Driving School</v>
      </c>
    </row>
    <row r="108" customFormat="false" ht="15" hidden="false" customHeight="false" outlineLevel="0" collapsed="false">
      <c r="A108" s="33" t="n">
        <v>8042</v>
      </c>
      <c r="B108" s="33" t="s">
        <v>269</v>
      </c>
      <c r="C108" s="33" t="s">
        <v>179</v>
      </c>
      <c r="D108" s="33"/>
      <c r="E108" s="33" t="n">
        <v>91</v>
      </c>
      <c r="F108" s="33" t="s">
        <v>36</v>
      </c>
      <c r="G108" s="33" t="s">
        <v>115</v>
      </c>
      <c r="H108" s="33" t="n">
        <v>2</v>
      </c>
      <c r="I108" s="33" t="n">
        <v>2</v>
      </c>
      <c r="J108" s="33" t="n">
        <v>2</v>
      </c>
      <c r="K108" s="32" t="n">
        <v>398</v>
      </c>
      <c r="L108" s="33" t="str">
        <f aca="false">IF($B108="","",IFERROR(INDEX('Code Mapping'!$D$5:$D$1753,MATCH($B108,'Code Mapping'!$A$5:$A$1753,0)),"Unmapped"))</f>
        <v>Entertainer</v>
      </c>
      <c r="M108" s="33" t="str">
        <f aca="false">IF($B108="","",IFERROR(INDEX('Code Mapping'!$E$5:$E$1753,MATCH($B108,'Code Mapping'!$A$5:$A$1753,0)),"Unmapped"))</f>
        <v>Aggregator BOGO</v>
      </c>
      <c r="N108" s="33" t="str">
        <f aca="false">IF($F108="","",$F108)</f>
        <v>InflataPark</v>
      </c>
    </row>
    <row r="109" customFormat="false" ht="15" hidden="false" customHeight="false" outlineLevel="0" collapsed="false">
      <c r="A109" s="33" t="n">
        <v>8338</v>
      </c>
      <c r="B109" s="33" t="s">
        <v>265</v>
      </c>
      <c r="C109" s="33" t="s">
        <v>151</v>
      </c>
      <c r="D109" s="33" t="s">
        <v>140</v>
      </c>
      <c r="E109" s="33" t="n">
        <v>94</v>
      </c>
      <c r="F109" s="33" t="s">
        <v>37</v>
      </c>
      <c r="G109" s="33" t="s">
        <v>115</v>
      </c>
      <c r="H109" s="33" t="n">
        <v>2</v>
      </c>
      <c r="I109" s="33" t="n">
        <v>7</v>
      </c>
      <c r="J109" s="33" t="n">
        <v>7</v>
      </c>
      <c r="K109" s="32" t="n">
        <v>53.25</v>
      </c>
      <c r="L109" s="33" t="str">
        <f aca="false">IF($B109="","",IFERROR(INDEX('Code Mapping'!$D$5:$D$1753,MATCH($B109,'Code Mapping'!$A$5:$A$1753,0)),"Unmapped"))</f>
        <v>Qatar Airways</v>
      </c>
      <c r="M109" s="33" t="str">
        <f aca="false">IF($B109="","",IFERROR(INDEX('Code Mapping'!$E$5:$E$1753,MATCH($B109,'Code Mapping'!$A$5:$A$1753,0)),"Unmapped"))</f>
        <v>Corporate discount</v>
      </c>
      <c r="N109" s="33" t="str">
        <f aca="false">IF($F109="","",$F109)</f>
        <v>Kids City Driving School</v>
      </c>
    </row>
    <row r="110" customFormat="false" ht="15" hidden="false" customHeight="false" outlineLevel="0" collapsed="false">
      <c r="A110" s="33" t="n">
        <v>8070</v>
      </c>
      <c r="B110" s="33" t="s">
        <v>199</v>
      </c>
      <c r="C110" s="33" t="s">
        <v>200</v>
      </c>
      <c r="D110" s="33"/>
      <c r="E110" s="33" t="n">
        <v>133</v>
      </c>
      <c r="F110" s="33" t="s">
        <v>35</v>
      </c>
      <c r="G110" s="33" t="s">
        <v>115</v>
      </c>
      <c r="H110" s="33" t="n">
        <v>6</v>
      </c>
      <c r="I110" s="33" t="n">
        <v>17</v>
      </c>
      <c r="J110" s="33" t="n">
        <v>17</v>
      </c>
      <c r="K110" s="32" t="n">
        <v>105.75</v>
      </c>
      <c r="L110" s="33" t="str">
        <f aca="false">IF($B110="","",IFERROR(INDEX('Code Mapping'!$D$5:$D$1753,MATCH($B110,'Code Mapping'!$A$5:$A$1753,0)),"Unmapped"))</f>
        <v>Aspire</v>
      </c>
      <c r="M110" s="33" t="str">
        <f aca="false">IF($B110="","",IFERROR(INDEX('Code Mapping'!$E$5:$E$1753,MATCH($B110,'Code Mapping'!$A$5:$A$1753,0)),"Unmapped"))</f>
        <v>Corporate discount</v>
      </c>
      <c r="N110" s="33" t="str">
        <f aca="false">IF($F110="","",$F110)</f>
        <v>Urban Arena</v>
      </c>
    </row>
    <row r="111" customFormat="false" ht="15" hidden="false" customHeight="false" outlineLevel="0" collapsed="false">
      <c r="A111" s="33" t="n">
        <v>8077</v>
      </c>
      <c r="B111" s="33" t="s">
        <v>219</v>
      </c>
      <c r="C111" s="33" t="s">
        <v>220</v>
      </c>
      <c r="D111" s="33"/>
      <c r="E111" s="33" t="n">
        <v>133</v>
      </c>
      <c r="F111" s="33" t="s">
        <v>35</v>
      </c>
      <c r="G111" s="33" t="s">
        <v>115</v>
      </c>
      <c r="H111" s="33" t="n">
        <v>7</v>
      </c>
      <c r="I111" s="33" t="n">
        <v>40</v>
      </c>
      <c r="J111" s="33" t="n">
        <v>40</v>
      </c>
      <c r="K111" s="32" t="n">
        <v>326.25</v>
      </c>
      <c r="L111" s="33" t="str">
        <f aca="false">IF($B111="","",IFERROR(INDEX('Code Mapping'!$D$5:$D$1753,MATCH($B111,'Code Mapping'!$A$5:$A$1753,0)),"Unmapped"))</f>
        <v>QIB</v>
      </c>
      <c r="M111" s="33" t="str">
        <f aca="false">IF($B111="","",IFERROR(INDEX('Code Mapping'!$E$5:$E$1753,MATCH($B111,'Code Mapping'!$A$5:$A$1753,0)),"Unmapped"))</f>
        <v>Corporate discount</v>
      </c>
      <c r="N111" s="33" t="str">
        <f aca="false">IF($F111="","",$F111)</f>
        <v>Urban Arena</v>
      </c>
    </row>
    <row r="112" customFormat="false" ht="15" hidden="false" customHeight="false" outlineLevel="0" collapsed="false">
      <c r="A112" s="33" t="n">
        <v>8038</v>
      </c>
      <c r="B112" s="33" t="s">
        <v>123</v>
      </c>
      <c r="C112" s="33" t="s">
        <v>124</v>
      </c>
      <c r="D112" s="33"/>
      <c r="E112" s="33" t="n">
        <v>133</v>
      </c>
      <c r="F112" s="33" t="s">
        <v>35</v>
      </c>
      <c r="G112" s="33" t="s">
        <v>115</v>
      </c>
      <c r="H112" s="33" t="n">
        <v>58</v>
      </c>
      <c r="I112" s="33" t="n">
        <v>71</v>
      </c>
      <c r="J112" s="33" t="n">
        <v>71</v>
      </c>
      <c r="K112" s="32" t="n">
        <v>363.5</v>
      </c>
      <c r="L112" s="33" t="str">
        <f aca="false">IF($B112="","",IFERROR(INDEX('Code Mapping'!$D$5:$D$1753,MATCH($B112,'Code Mapping'!$A$5:$A$1753,0)),"Unmapped"))</f>
        <v>Internal / promotion</v>
      </c>
      <c r="M112" s="33" t="str">
        <f aca="false">IF($B112="","",IFERROR(INDEX('Code Mapping'!$E$5:$E$1753,MATCH($B112,'Code Mapping'!$A$5:$A$1753,0)),"Unmapped"))</f>
        <v>Internal / promotion</v>
      </c>
      <c r="N112" s="33" t="str">
        <f aca="false">IF($F112="","",$F112)</f>
        <v>Urban Arena</v>
      </c>
    </row>
    <row r="113" customFormat="false" ht="15" hidden="false" customHeight="false" outlineLevel="0" collapsed="false">
      <c r="A113" s="33" t="n">
        <v>8095</v>
      </c>
      <c r="B113" s="33" t="s">
        <v>178</v>
      </c>
      <c r="C113" s="33" t="s">
        <v>179</v>
      </c>
      <c r="D113" s="33"/>
      <c r="E113" s="33" t="n">
        <v>61</v>
      </c>
      <c r="F113" s="33" t="s">
        <v>38</v>
      </c>
      <c r="G113" s="33" t="s">
        <v>115</v>
      </c>
      <c r="H113" s="33" t="n">
        <v>10</v>
      </c>
      <c r="I113" s="33" t="n">
        <v>10</v>
      </c>
      <c r="J113" s="33" t="n">
        <v>10</v>
      </c>
      <c r="K113" s="32" t="n">
        <v>1000</v>
      </c>
      <c r="L113" s="33" t="str">
        <f aca="false">IF($B113="","",IFERROR(INDEX('Code Mapping'!$D$5:$D$1753,MATCH($B113,'Code Mapping'!$A$5:$A$1753,0)),"Unmapped"))</f>
        <v>Entertainer</v>
      </c>
      <c r="M113" s="33" t="str">
        <f aca="false">IF($B113="","",IFERROR(INDEX('Code Mapping'!$E$5:$E$1753,MATCH($B113,'Code Mapping'!$A$5:$A$1753,0)),"Unmapped"))</f>
        <v>Aggregator BOGO</v>
      </c>
      <c r="N113" s="33" t="str">
        <f aca="false">IF($F113="","",$F113)</f>
        <v>Crayons &amp; Bricks Vendome</v>
      </c>
    </row>
    <row r="114" customFormat="false" ht="15" hidden="false" customHeight="false" outlineLevel="0" collapsed="false">
      <c r="A114" s="33" t="n">
        <v>8097</v>
      </c>
      <c r="B114" s="33" t="s">
        <v>171</v>
      </c>
      <c r="C114" s="33" t="s">
        <v>170</v>
      </c>
      <c r="D114" s="33"/>
      <c r="E114" s="33" t="n">
        <v>61</v>
      </c>
      <c r="F114" s="33" t="s">
        <v>38</v>
      </c>
      <c r="G114" s="33" t="s">
        <v>115</v>
      </c>
      <c r="H114" s="33" t="n">
        <v>21</v>
      </c>
      <c r="I114" s="33" t="n">
        <v>21</v>
      </c>
      <c r="J114" s="33" t="n">
        <v>21</v>
      </c>
      <c r="K114" s="32" t="n">
        <v>2100</v>
      </c>
      <c r="L114" s="33" t="str">
        <f aca="false">IF($B114="","",IFERROR(INDEX('Code Mapping'!$D$5:$D$1753,MATCH($B114,'Code Mapping'!$A$5:$A$1753,0)),"Unmapped"))</f>
        <v>Urban Point</v>
      </c>
      <c r="M114" s="33" t="str">
        <f aca="false">IF($B114="","",IFERROR(INDEX('Code Mapping'!$E$5:$E$1753,MATCH($B114,'Code Mapping'!$A$5:$A$1753,0)),"Unmapped"))</f>
        <v>Aggregator BOGO</v>
      </c>
      <c r="N114" s="33" t="str">
        <f aca="false">IF($F114="","",$F114)</f>
        <v>Crayons &amp; Bricks Vendome</v>
      </c>
    </row>
    <row r="115" customFormat="false" ht="15" hidden="false" customHeight="false" outlineLevel="0" collapsed="false">
      <c r="A115" s="33" t="n">
        <v>8318</v>
      </c>
      <c r="B115" s="33" t="s">
        <v>193</v>
      </c>
      <c r="C115" s="33"/>
      <c r="D115" s="33" t="s">
        <v>194</v>
      </c>
      <c r="E115" s="33" t="n">
        <v>133</v>
      </c>
      <c r="F115" s="33" t="s">
        <v>35</v>
      </c>
      <c r="G115" s="33" t="s">
        <v>115</v>
      </c>
      <c r="H115" s="33" t="n">
        <v>14</v>
      </c>
      <c r="I115" s="33" t="n">
        <v>50</v>
      </c>
      <c r="J115" s="33" t="n">
        <v>50</v>
      </c>
      <c r="K115" s="32" t="n">
        <v>422.7</v>
      </c>
      <c r="L115" s="33" t="str">
        <f aca="false">IF($B115="","",IFERROR(INDEX('Code Mapping'!$D$5:$D$1753,MATCH($B115,'Code Mapping'!$A$5:$A$1753,0)),"Unmapped"))</f>
        <v>QNB Rewards</v>
      </c>
      <c r="M115" s="33" t="str">
        <f aca="false">IF($B115="","",IFERROR(INDEX('Code Mapping'!$E$5:$E$1753,MATCH($B115,'Code Mapping'!$A$5:$A$1753,0)),"Unmapped"))</f>
        <v>Corporate discount</v>
      </c>
      <c r="N115" s="33" t="str">
        <f aca="false">IF($F115="","",$F115)</f>
        <v>Urban Arena</v>
      </c>
    </row>
    <row r="116" customFormat="false" ht="15" hidden="false" customHeight="false" outlineLevel="0" collapsed="false">
      <c r="A116" s="33" t="n">
        <v>8046</v>
      </c>
      <c r="B116" s="33" t="s">
        <v>222</v>
      </c>
      <c r="C116" s="33" t="s">
        <v>210</v>
      </c>
      <c r="D116" s="33"/>
      <c r="E116" s="33" t="n">
        <v>91</v>
      </c>
      <c r="F116" s="33" t="s">
        <v>36</v>
      </c>
      <c r="G116" s="33" t="s">
        <v>115</v>
      </c>
      <c r="H116" s="33" t="n">
        <v>6</v>
      </c>
      <c r="I116" s="33" t="n">
        <v>22</v>
      </c>
      <c r="J116" s="33" t="n">
        <v>22</v>
      </c>
      <c r="K116" s="32" t="n">
        <v>202.5</v>
      </c>
      <c r="L116" s="33" t="str">
        <f aca="false">IF($B116="","",IFERROR(INDEX('Code Mapping'!$D$5:$D$1753,MATCH($B116,'Code Mapping'!$A$5:$A$1753,0)),"Unmapped"))</f>
        <v>Al Jazeera Imtiyazat</v>
      </c>
      <c r="M116" s="33" t="str">
        <f aca="false">IF($B116="","",IFERROR(INDEX('Code Mapping'!$E$5:$E$1753,MATCH($B116,'Code Mapping'!$A$5:$A$1753,0)),"Unmapped"))</f>
        <v>Corporate discount</v>
      </c>
      <c r="N116" s="33" t="str">
        <f aca="false">IF($F116="","",$F116)</f>
        <v>InflataPark</v>
      </c>
    </row>
    <row r="117" customFormat="false" ht="15" hidden="false" customHeight="false" outlineLevel="0" collapsed="false">
      <c r="A117" s="33" t="n">
        <v>8043</v>
      </c>
      <c r="B117" s="33" t="s">
        <v>255</v>
      </c>
      <c r="C117" s="33" t="s">
        <v>168</v>
      </c>
      <c r="D117" s="33"/>
      <c r="E117" s="33" t="n">
        <v>91</v>
      </c>
      <c r="F117" s="33" t="s">
        <v>36</v>
      </c>
      <c r="G117" s="33" t="s">
        <v>115</v>
      </c>
      <c r="H117" s="33" t="n">
        <v>1</v>
      </c>
      <c r="I117" s="33" t="n">
        <v>1</v>
      </c>
      <c r="J117" s="33" t="n">
        <v>1</v>
      </c>
      <c r="K117" s="32" t="n">
        <v>199</v>
      </c>
      <c r="L117" s="33" t="str">
        <f aca="false">IF($B117="","",IFERROR(INDEX('Code Mapping'!$D$5:$D$1753,MATCH($B117,'Code Mapping'!$A$5:$A$1753,0)),"Unmapped"))</f>
        <v>My Book</v>
      </c>
      <c r="M117" s="33" t="str">
        <f aca="false">IF($B117="","",IFERROR(INDEX('Code Mapping'!$E$5:$E$1753,MATCH($B117,'Code Mapping'!$A$5:$A$1753,0)),"Unmapped"))</f>
        <v>Aggregator BOGO</v>
      </c>
      <c r="N117" s="33" t="str">
        <f aca="false">IF($F117="","",$F117)</f>
        <v>InflataPark</v>
      </c>
    </row>
    <row r="118" customFormat="false" ht="15" hidden="false" customHeight="false" outlineLevel="0" collapsed="false">
      <c r="A118" s="33" t="n">
        <v>8325</v>
      </c>
      <c r="B118" s="33" t="s">
        <v>272</v>
      </c>
      <c r="C118" s="33"/>
      <c r="D118" s="33" t="s">
        <v>140</v>
      </c>
      <c r="E118" s="33" t="n">
        <v>91</v>
      </c>
      <c r="F118" s="33" t="s">
        <v>36</v>
      </c>
      <c r="G118" s="33" t="s">
        <v>115</v>
      </c>
      <c r="H118" s="33" t="n">
        <v>2</v>
      </c>
      <c r="I118" s="33" t="n">
        <v>2</v>
      </c>
      <c r="J118" s="33" t="n">
        <v>2</v>
      </c>
      <c r="K118" s="32" t="n">
        <v>398</v>
      </c>
      <c r="L118" s="33" t="str">
        <f aca="false">IF($B118="","",IFERROR(INDEX('Code Mapping'!$D$5:$D$1753,MATCH($B118,'Code Mapping'!$A$5:$A$1753,0)),"Unmapped"))</f>
        <v>My Book</v>
      </c>
      <c r="M118" s="33" t="str">
        <f aca="false">IF($B118="","",IFERROR(INDEX('Code Mapping'!$E$5:$E$1753,MATCH($B118,'Code Mapping'!$A$5:$A$1753,0)),"Unmapped"))</f>
        <v>Aggregator BOGO</v>
      </c>
      <c r="N118" s="33" t="str">
        <f aca="false">IF($F118="","",$F118)</f>
        <v>InflataPark</v>
      </c>
    </row>
    <row r="119" customFormat="false" ht="15" hidden="false" customHeight="false" outlineLevel="0" collapsed="false">
      <c r="A119" s="33" t="n">
        <v>8047</v>
      </c>
      <c r="B119" s="33" t="s">
        <v>268</v>
      </c>
      <c r="C119" s="33" t="s">
        <v>200</v>
      </c>
      <c r="D119" s="33"/>
      <c r="E119" s="33" t="n">
        <v>91</v>
      </c>
      <c r="F119" s="33" t="s">
        <v>36</v>
      </c>
      <c r="G119" s="33" t="s">
        <v>115</v>
      </c>
      <c r="H119" s="33" t="n">
        <v>5</v>
      </c>
      <c r="I119" s="33" t="n">
        <v>18</v>
      </c>
      <c r="J119" s="33" t="n">
        <v>18</v>
      </c>
      <c r="K119" s="32" t="n">
        <v>103.5</v>
      </c>
      <c r="L119" s="33" t="str">
        <f aca="false">IF($B119="","",IFERROR(INDEX('Code Mapping'!$D$5:$D$1753,MATCH($B119,'Code Mapping'!$A$5:$A$1753,0)),"Unmapped"))</f>
        <v>Aspire</v>
      </c>
      <c r="M119" s="33" t="str">
        <f aca="false">IF($B119="","",IFERROR(INDEX('Code Mapping'!$E$5:$E$1753,MATCH($B119,'Code Mapping'!$A$5:$A$1753,0)),"Unmapped"))</f>
        <v>Corporate discount</v>
      </c>
      <c r="N119" s="33" t="str">
        <f aca="false">IF($F119="","",$F119)</f>
        <v>InflataPark</v>
      </c>
    </row>
    <row r="120" customFormat="false" ht="15" hidden="false" customHeight="false" outlineLevel="0" collapsed="false">
      <c r="A120" s="33" t="n">
        <v>8079</v>
      </c>
      <c r="B120" s="33" t="s">
        <v>154</v>
      </c>
      <c r="C120" s="33" t="s">
        <v>155</v>
      </c>
      <c r="D120" s="33" t="s">
        <v>140</v>
      </c>
      <c r="E120" s="33" t="n">
        <v>133</v>
      </c>
      <c r="F120" s="33" t="s">
        <v>35</v>
      </c>
      <c r="G120" s="33" t="s">
        <v>115</v>
      </c>
      <c r="H120" s="33" t="n">
        <v>55</v>
      </c>
      <c r="I120" s="33" t="n">
        <v>203</v>
      </c>
      <c r="J120" s="33" t="n">
        <v>203</v>
      </c>
      <c r="K120" s="32" t="n">
        <v>1641.75</v>
      </c>
      <c r="L120" s="33" t="str">
        <f aca="false">IF($B120="","",IFERROR(INDEX('Code Mapping'!$D$5:$D$1753,MATCH($B120,'Code Mapping'!$A$5:$A$1753,0)),"Unmapped"))</f>
        <v>Qatar Foundation</v>
      </c>
      <c r="M120" s="33" t="str">
        <f aca="false">IF($B120="","",IFERROR(INDEX('Code Mapping'!$E$5:$E$1753,MATCH($B120,'Code Mapping'!$A$5:$A$1753,0)),"Unmapped"))</f>
        <v>Corporate discount</v>
      </c>
      <c r="N120" s="33" t="str">
        <f aca="false">IF($F120="","",$F120)</f>
        <v>Urban Arena</v>
      </c>
    </row>
    <row r="121" customFormat="false" ht="15" hidden="false" customHeight="false" outlineLevel="0" collapsed="false">
      <c r="A121" s="33" t="n">
        <v>8324</v>
      </c>
      <c r="B121" s="33" t="s">
        <v>232</v>
      </c>
      <c r="C121" s="33"/>
      <c r="D121" s="33" t="s">
        <v>140</v>
      </c>
      <c r="E121" s="33" t="n">
        <v>91</v>
      </c>
      <c r="F121" s="33" t="s">
        <v>36</v>
      </c>
      <c r="G121" s="33" t="s">
        <v>115</v>
      </c>
      <c r="H121" s="33" t="n">
        <v>9</v>
      </c>
      <c r="I121" s="33" t="n">
        <v>9</v>
      </c>
      <c r="J121" s="33" t="n">
        <v>9</v>
      </c>
      <c r="K121" s="32" t="n">
        <v>1791</v>
      </c>
      <c r="L121" s="33" t="str">
        <f aca="false">IF($B121="","",IFERROR(INDEX('Code Mapping'!$D$5:$D$1753,MATCH($B121,'Code Mapping'!$A$5:$A$1753,0)),"Unmapped"))</f>
        <v>Entertainer</v>
      </c>
      <c r="M121" s="33" t="str">
        <f aca="false">IF($B121="","",IFERROR(INDEX('Code Mapping'!$E$5:$E$1753,MATCH($B121,'Code Mapping'!$A$5:$A$1753,0)),"Unmapped"))</f>
        <v>Aggregator BOGO</v>
      </c>
      <c r="N121" s="33" t="str">
        <f aca="false">IF($F121="","",$F121)</f>
        <v>InflataPark</v>
      </c>
    </row>
    <row r="122" customFormat="false" ht="15" hidden="false" customHeight="false" outlineLevel="0" collapsed="false">
      <c r="A122" s="33" t="n">
        <v>8326</v>
      </c>
      <c r="B122" s="33" t="s">
        <v>207</v>
      </c>
      <c r="C122" s="33"/>
      <c r="D122" s="33" t="s">
        <v>140</v>
      </c>
      <c r="E122" s="33" t="n">
        <v>91</v>
      </c>
      <c r="F122" s="33" t="s">
        <v>36</v>
      </c>
      <c r="G122" s="33" t="s">
        <v>115</v>
      </c>
      <c r="H122" s="33" t="n">
        <v>3</v>
      </c>
      <c r="I122" s="33" t="n">
        <v>3</v>
      </c>
      <c r="J122" s="33" t="n">
        <v>3</v>
      </c>
      <c r="K122" s="32" t="n">
        <v>597</v>
      </c>
      <c r="L122" s="33" t="str">
        <f aca="false">IF($B122="","",IFERROR(INDEX('Code Mapping'!$D$5:$D$1753,MATCH($B122,'Code Mapping'!$A$5:$A$1753,0)),"Unmapped"))</f>
        <v>Urban Point</v>
      </c>
      <c r="M122" s="33" t="str">
        <f aca="false">IF($B122="","",IFERROR(INDEX('Code Mapping'!$E$5:$E$1753,MATCH($B122,'Code Mapping'!$A$5:$A$1753,0)),"Unmapped"))</f>
        <v>Aggregator BOGO</v>
      </c>
      <c r="N122" s="33" t="str">
        <f aca="false">IF($F122="","",$F122)</f>
        <v>InflataPark</v>
      </c>
    </row>
    <row r="123" customFormat="false" ht="15" hidden="false" customHeight="false" outlineLevel="0" collapsed="false">
      <c r="A123" s="33" t="n">
        <v>8052</v>
      </c>
      <c r="B123" s="33" t="s">
        <v>149</v>
      </c>
      <c r="C123" s="33" t="s">
        <v>139</v>
      </c>
      <c r="D123" s="33" t="s">
        <v>140</v>
      </c>
      <c r="E123" s="33" t="n">
        <v>91</v>
      </c>
      <c r="F123" s="33" t="s">
        <v>36</v>
      </c>
      <c r="G123" s="33" t="s">
        <v>115</v>
      </c>
      <c r="H123" s="33" t="n">
        <v>101</v>
      </c>
      <c r="I123" s="33" t="n">
        <v>419</v>
      </c>
      <c r="J123" s="33" t="n">
        <v>419</v>
      </c>
      <c r="K123" s="32" t="n">
        <v>3288</v>
      </c>
      <c r="L123" s="33" t="str">
        <f aca="false">IF($B123="","",IFERROR(INDEX('Code Mapping'!$D$5:$D$1753,MATCH($B123,'Code Mapping'!$A$5:$A$1753,0)),"Unmapped"))</f>
        <v>Imtyazat</v>
      </c>
      <c r="M123" s="33" t="str">
        <f aca="false">IF($B123="","",IFERROR(INDEX('Code Mapping'!$E$5:$E$1753,MATCH($B123,'Code Mapping'!$A$5:$A$1753,0)),"Unmapped"))</f>
        <v>Corporate discount</v>
      </c>
      <c r="N123" s="33" t="str">
        <f aca="false">IF($F123="","",$F123)</f>
        <v>InflataPark</v>
      </c>
    </row>
    <row r="124" customFormat="false" ht="15" hidden="false" customHeight="false" outlineLevel="0" collapsed="false">
      <c r="A124" s="33" t="n">
        <v>8073</v>
      </c>
      <c r="B124" s="33" t="s">
        <v>303</v>
      </c>
      <c r="C124" s="33" t="s">
        <v>304</v>
      </c>
      <c r="D124" s="33"/>
      <c r="E124" s="33" t="n">
        <v>133</v>
      </c>
      <c r="F124" s="33" t="s">
        <v>35</v>
      </c>
      <c r="G124" s="33" t="s">
        <v>115</v>
      </c>
      <c r="H124" s="33" t="n">
        <v>1</v>
      </c>
      <c r="I124" s="33" t="n">
        <v>40</v>
      </c>
      <c r="J124" s="33" t="n">
        <v>40</v>
      </c>
      <c r="K124" s="32" t="n">
        <v>450</v>
      </c>
      <c r="L124" s="33" t="str">
        <f aca="false">IF($B124="","",IFERROR(INDEX('Code Mapping'!$D$5:$D$1753,MATCH($B124,'Code Mapping'!$A$5:$A$1753,0)),"Unmapped"))</f>
        <v>Dar App</v>
      </c>
      <c r="M124" s="33" t="str">
        <f aca="false">IF($B124="","",IFERROR(INDEX('Code Mapping'!$E$5:$E$1753,MATCH($B124,'Code Mapping'!$A$5:$A$1753,0)),"Unmapped"))</f>
        <v>Corporate discount</v>
      </c>
      <c r="N124" s="33" t="str">
        <f aca="false">IF($F124="","",$F124)</f>
        <v>Urban Arena</v>
      </c>
    </row>
    <row r="125" customFormat="false" ht="15" hidden="false" customHeight="false" outlineLevel="0" collapsed="false">
      <c r="A125" s="33" t="n">
        <v>8066</v>
      </c>
      <c r="B125" s="33" t="s">
        <v>264</v>
      </c>
      <c r="C125" s="33" t="s">
        <v>179</v>
      </c>
      <c r="D125" s="33"/>
      <c r="E125" s="33" t="n">
        <v>94</v>
      </c>
      <c r="F125" s="33" t="s">
        <v>37</v>
      </c>
      <c r="G125" s="33" t="s">
        <v>115</v>
      </c>
      <c r="H125" s="33" t="n">
        <v>7</v>
      </c>
      <c r="I125" s="33" t="n">
        <v>7</v>
      </c>
      <c r="J125" s="33" t="n">
        <v>7</v>
      </c>
      <c r="K125" s="32" t="n">
        <v>1393</v>
      </c>
      <c r="L125" s="33" t="str">
        <f aca="false">IF($B125="","",IFERROR(INDEX('Code Mapping'!$D$5:$D$1753,MATCH($B125,'Code Mapping'!$A$5:$A$1753,0)),"Unmapped"))</f>
        <v>Entertainer</v>
      </c>
      <c r="M125" s="33" t="str">
        <f aca="false">IF($B125="","",IFERROR(INDEX('Code Mapping'!$E$5:$E$1753,MATCH($B125,'Code Mapping'!$A$5:$A$1753,0)),"Unmapped"))</f>
        <v>Aggregator BOGO</v>
      </c>
      <c r="N125" s="33" t="str">
        <f aca="false">IF($F125="","",$F125)</f>
        <v>Kids City Driving School</v>
      </c>
    </row>
    <row r="126" customFormat="false" ht="15" hidden="false" customHeight="false" outlineLevel="0" collapsed="false">
      <c r="A126" s="33" t="n">
        <v>8255</v>
      </c>
      <c r="B126" s="33" t="s">
        <v>125</v>
      </c>
      <c r="C126" s="33"/>
      <c r="D126" s="33" t="s">
        <v>140</v>
      </c>
      <c r="E126" s="33" t="n">
        <v>133</v>
      </c>
      <c r="F126" s="33" t="s">
        <v>35</v>
      </c>
      <c r="G126" s="33" t="s">
        <v>115</v>
      </c>
      <c r="H126" s="33" t="n">
        <v>1</v>
      </c>
      <c r="I126" s="33" t="n">
        <v>2</v>
      </c>
      <c r="J126" s="33" t="n">
        <v>2</v>
      </c>
      <c r="K126" s="32" t="n">
        <v>10</v>
      </c>
      <c r="L126" s="33" t="str">
        <f aca="false">IF($B126="","",IFERROR(INDEX('Code Mapping'!$D$5:$D$1753,MATCH($B126,'Code Mapping'!$A$5:$A$1753,0)),"Unmapped"))</f>
        <v>Internal / promotion</v>
      </c>
      <c r="M126" s="33" t="str">
        <f aca="false">IF($B126="","",IFERROR(INDEX('Code Mapping'!$E$5:$E$1753,MATCH($B126,'Code Mapping'!$A$5:$A$1753,0)),"Unmapped"))</f>
        <v>Internal / promotion</v>
      </c>
      <c r="N126" s="33" t="str">
        <f aca="false">IF($F126="","",$F126)</f>
        <v>Urban Arena</v>
      </c>
    </row>
    <row r="127" customFormat="false" ht="15" hidden="false" customHeight="false" outlineLevel="0" collapsed="false">
      <c r="A127" s="33" t="n">
        <v>8335</v>
      </c>
      <c r="B127" s="33" t="s">
        <v>165</v>
      </c>
      <c r="C127" s="33" t="s">
        <v>166</v>
      </c>
      <c r="D127" s="33" t="s">
        <v>140</v>
      </c>
      <c r="E127" s="33" t="n">
        <v>94</v>
      </c>
      <c r="F127" s="33" t="s">
        <v>37</v>
      </c>
      <c r="G127" s="33" t="s">
        <v>115</v>
      </c>
      <c r="H127" s="33" t="n">
        <v>25</v>
      </c>
      <c r="I127" s="33" t="n">
        <v>101</v>
      </c>
      <c r="J127" s="33" t="n">
        <v>101</v>
      </c>
      <c r="K127" s="32" t="n">
        <v>841.5</v>
      </c>
      <c r="L127" s="33" t="str">
        <f aca="false">IF($B127="","",IFERROR(INDEX('Code Mapping'!$D$5:$D$1753,MATCH($B127,'Code Mapping'!$A$5:$A$1753,0)),"Unmapped"))</f>
        <v>Imtyazat</v>
      </c>
      <c r="M127" s="33" t="str">
        <f aca="false">IF($B127="","",IFERROR(INDEX('Code Mapping'!$E$5:$E$1753,MATCH($B127,'Code Mapping'!$A$5:$A$1753,0)),"Unmapped"))</f>
        <v>Corporate discount</v>
      </c>
      <c r="N127" s="33" t="str">
        <f aca="false">IF($F127="","",$F127)</f>
        <v>Kids City Driving School</v>
      </c>
    </row>
    <row r="128" customFormat="false" ht="15" hidden="false" customHeight="false" outlineLevel="0" collapsed="false">
      <c r="A128" s="33" t="n">
        <v>8045</v>
      </c>
      <c r="B128" s="33" t="s">
        <v>208</v>
      </c>
      <c r="C128" s="33" t="s">
        <v>170</v>
      </c>
      <c r="D128" s="33"/>
      <c r="E128" s="33" t="n">
        <v>91</v>
      </c>
      <c r="F128" s="33" t="s">
        <v>36</v>
      </c>
      <c r="G128" s="33" t="s">
        <v>115</v>
      </c>
      <c r="H128" s="33" t="n">
        <v>10</v>
      </c>
      <c r="I128" s="33" t="n">
        <v>10</v>
      </c>
      <c r="J128" s="33" t="n">
        <v>10</v>
      </c>
      <c r="K128" s="32" t="n">
        <v>1990</v>
      </c>
      <c r="L128" s="33" t="str">
        <f aca="false">IF($B128="","",IFERROR(INDEX('Code Mapping'!$D$5:$D$1753,MATCH($B128,'Code Mapping'!$A$5:$A$1753,0)),"Unmapped"))</f>
        <v>Urban Point</v>
      </c>
      <c r="M128" s="33" t="str">
        <f aca="false">IF($B128="","",IFERROR(INDEX('Code Mapping'!$E$5:$E$1753,MATCH($B128,'Code Mapping'!$A$5:$A$1753,0)),"Unmapped"))</f>
        <v>Aggregator BOGO</v>
      </c>
      <c r="N128" s="33" t="str">
        <f aca="false">IF($F128="","",$F128)</f>
        <v>InflataPark</v>
      </c>
    </row>
    <row r="129" customFormat="false" ht="15" hidden="false" customHeight="false" outlineLevel="0" collapsed="false">
      <c r="A129" s="33" t="n">
        <v>8056</v>
      </c>
      <c r="B129" s="33" t="s">
        <v>189</v>
      </c>
      <c r="C129" s="33" t="s">
        <v>155</v>
      </c>
      <c r="D129" s="33"/>
      <c r="E129" s="33" t="n">
        <v>91</v>
      </c>
      <c r="F129" s="33" t="s">
        <v>36</v>
      </c>
      <c r="G129" s="33" t="s">
        <v>115</v>
      </c>
      <c r="H129" s="33" t="n">
        <v>14</v>
      </c>
      <c r="I129" s="33" t="n">
        <v>43</v>
      </c>
      <c r="J129" s="33" t="n">
        <v>43</v>
      </c>
      <c r="K129" s="32" t="n">
        <v>322.5</v>
      </c>
      <c r="L129" s="33" t="str">
        <f aca="false">IF($B129="","",IFERROR(INDEX('Code Mapping'!$D$5:$D$1753,MATCH($B129,'Code Mapping'!$A$5:$A$1753,0)),"Unmapped"))</f>
        <v>Qatar Foundation</v>
      </c>
      <c r="M129" s="33" t="str">
        <f aca="false">IF($B129="","",IFERROR(INDEX('Code Mapping'!$E$5:$E$1753,MATCH($B129,'Code Mapping'!$A$5:$A$1753,0)),"Unmapped"))</f>
        <v>Corporate discount</v>
      </c>
      <c r="N129" s="33" t="str">
        <f aca="false">IF($F129="","",$F129)</f>
        <v>InflataPark</v>
      </c>
    </row>
    <row r="130" customFormat="false" ht="15" hidden="false" customHeight="false" outlineLevel="0" collapsed="false">
      <c r="A130" s="33" t="n">
        <v>8055</v>
      </c>
      <c r="B130" s="33" t="s">
        <v>161</v>
      </c>
      <c r="C130" s="33" t="s">
        <v>151</v>
      </c>
      <c r="D130" s="33"/>
      <c r="E130" s="33" t="n">
        <v>91</v>
      </c>
      <c r="F130" s="33" t="s">
        <v>36</v>
      </c>
      <c r="G130" s="33" t="s">
        <v>115</v>
      </c>
      <c r="H130" s="33" t="n">
        <v>54</v>
      </c>
      <c r="I130" s="33" t="n">
        <v>156</v>
      </c>
      <c r="J130" s="33" t="n">
        <v>156</v>
      </c>
      <c r="K130" s="32" t="n">
        <v>1184.25</v>
      </c>
      <c r="L130" s="33" t="str">
        <f aca="false">IF($B130="","",IFERROR(INDEX('Code Mapping'!$D$5:$D$1753,MATCH($B130,'Code Mapping'!$A$5:$A$1753,0)),"Unmapped"))</f>
        <v>Qatar Airways</v>
      </c>
      <c r="M130" s="33" t="str">
        <f aca="false">IF($B130="","",IFERROR(INDEX('Code Mapping'!$E$5:$E$1753,MATCH($B130,'Code Mapping'!$A$5:$A$1753,0)),"Unmapped"))</f>
        <v>Corporate discount</v>
      </c>
      <c r="N130" s="33" t="str">
        <f aca="false">IF($F130="","",$F130)</f>
        <v>InflataPark</v>
      </c>
    </row>
    <row r="131" customFormat="false" ht="15" hidden="false" customHeight="false" outlineLevel="0" collapsed="false">
      <c r="A131" s="33" t="n">
        <v>8053</v>
      </c>
      <c r="B131" s="33" t="s">
        <v>160</v>
      </c>
      <c r="C131" s="33" t="s">
        <v>158</v>
      </c>
      <c r="D131" s="33"/>
      <c r="E131" s="33" t="n">
        <v>91</v>
      </c>
      <c r="F131" s="33" t="s">
        <v>36</v>
      </c>
      <c r="G131" s="33" t="s">
        <v>115</v>
      </c>
      <c r="H131" s="33" t="n">
        <v>50</v>
      </c>
      <c r="I131" s="33" t="n">
        <v>156</v>
      </c>
      <c r="J131" s="33" t="n">
        <v>156</v>
      </c>
      <c r="K131" s="32" t="n">
        <v>1527</v>
      </c>
      <c r="L131" s="33" t="str">
        <f aca="false">IF($B131="","",IFERROR(INDEX('Code Mapping'!$D$5:$D$1753,MATCH($B131,'Code Mapping'!$A$5:$A$1753,0)),"Unmapped"))</f>
        <v>Public Health Sector (Sogha)</v>
      </c>
      <c r="M131" s="33" t="str">
        <f aca="false">IF($B131="","",IFERROR(INDEX('Code Mapping'!$E$5:$E$1753,MATCH($B131,'Code Mapping'!$A$5:$A$1753,0)),"Unmapped"))</f>
        <v>Corporate discount</v>
      </c>
      <c r="N131" s="33" t="str">
        <f aca="false">IF($F131="","",$F131)</f>
        <v>InflataPark</v>
      </c>
    </row>
    <row r="132" customFormat="false" ht="15" hidden="false" customHeight="false" outlineLevel="0" collapsed="false">
      <c r="A132" s="33" t="n">
        <v>8065</v>
      </c>
      <c r="B132" s="33" t="s">
        <v>138</v>
      </c>
      <c r="C132" s="33" t="s">
        <v>139</v>
      </c>
      <c r="D132" s="33" t="s">
        <v>140</v>
      </c>
      <c r="E132" s="33" t="n">
        <v>94</v>
      </c>
      <c r="F132" s="33" t="s">
        <v>37</v>
      </c>
      <c r="G132" s="33" t="s">
        <v>114</v>
      </c>
      <c r="H132" s="33" t="n">
        <v>151</v>
      </c>
      <c r="I132" s="33" t="n">
        <v>534</v>
      </c>
      <c r="J132" s="33" t="n">
        <v>534</v>
      </c>
      <c r="K132" s="32" t="n">
        <v>4089.45</v>
      </c>
      <c r="L132" s="33" t="str">
        <f aca="false">IF($B132="","",IFERROR(INDEX('Code Mapping'!$D$5:$D$1753,MATCH($B132,'Code Mapping'!$A$5:$A$1753,0)),"Unmapped"))</f>
        <v>Imtyazat</v>
      </c>
      <c r="M132" s="33" t="str">
        <f aca="false">IF($B132="","",IFERROR(INDEX('Code Mapping'!$E$5:$E$1753,MATCH($B132,'Code Mapping'!$A$5:$A$1753,0)),"Unmapped"))</f>
        <v>Corporate discount</v>
      </c>
      <c r="N132" s="33" t="str">
        <f aca="false">IF($F132="","",$F132)</f>
        <v>Kids City Driving School</v>
      </c>
    </row>
    <row r="133" customFormat="false" ht="15" hidden="false" customHeight="false" outlineLevel="0" collapsed="false">
      <c r="A133" s="33" t="n">
        <v>8075</v>
      </c>
      <c r="B133" s="33" t="s">
        <v>186</v>
      </c>
      <c r="C133" s="33" t="s">
        <v>139</v>
      </c>
      <c r="D133" s="33"/>
      <c r="E133" s="33" t="n">
        <v>133</v>
      </c>
      <c r="F133" s="33" t="s">
        <v>35</v>
      </c>
      <c r="G133" s="33" t="s">
        <v>114</v>
      </c>
      <c r="H133" s="33" t="n">
        <v>12</v>
      </c>
      <c r="I133" s="33" t="n">
        <v>55</v>
      </c>
      <c r="J133" s="33" t="n">
        <v>55</v>
      </c>
      <c r="K133" s="32" t="n">
        <v>390.75</v>
      </c>
      <c r="L133" s="33" t="str">
        <f aca="false">IF($B133="","",IFERROR(INDEX('Code Mapping'!$D$5:$D$1753,MATCH($B133,'Code Mapping'!$A$5:$A$1753,0)),"Unmapped"))</f>
        <v>Imtyazat</v>
      </c>
      <c r="M133" s="33" t="str">
        <f aca="false">IF($B133="","",IFERROR(INDEX('Code Mapping'!$E$5:$E$1753,MATCH($B133,'Code Mapping'!$A$5:$A$1753,0)),"Unmapped"))</f>
        <v>Corporate discount</v>
      </c>
      <c r="N133" s="33" t="str">
        <f aca="false">IF($F133="","",$F133)</f>
        <v>Urban Arena</v>
      </c>
    </row>
    <row r="134" customFormat="false" ht="15" hidden="false" customHeight="false" outlineLevel="0" collapsed="false">
      <c r="A134" s="33" t="n">
        <v>8067</v>
      </c>
      <c r="B134" s="33" t="s">
        <v>233</v>
      </c>
      <c r="C134" s="33" t="s">
        <v>168</v>
      </c>
      <c r="D134" s="33"/>
      <c r="E134" s="33" t="n">
        <v>94</v>
      </c>
      <c r="F134" s="33" t="s">
        <v>37</v>
      </c>
      <c r="G134" s="33" t="s">
        <v>114</v>
      </c>
      <c r="H134" s="33" t="n">
        <v>9</v>
      </c>
      <c r="I134" s="33" t="n">
        <v>10</v>
      </c>
      <c r="J134" s="33" t="n">
        <v>10</v>
      </c>
      <c r="K134" s="32" t="n">
        <v>1990</v>
      </c>
      <c r="L134" s="33" t="str">
        <f aca="false">IF($B134="","",IFERROR(INDEX('Code Mapping'!$D$5:$D$1753,MATCH($B134,'Code Mapping'!$A$5:$A$1753,0)),"Unmapped"))</f>
        <v>My Book</v>
      </c>
      <c r="M134" s="33" t="str">
        <f aca="false">IF($B134="","",IFERROR(INDEX('Code Mapping'!$E$5:$E$1753,MATCH($B134,'Code Mapping'!$A$5:$A$1753,0)),"Unmapped"))</f>
        <v>Aggregator BOGO</v>
      </c>
      <c r="N134" s="33" t="str">
        <f aca="false">IF($F134="","",$F134)</f>
        <v>Kids City Driving School</v>
      </c>
    </row>
    <row r="135" customFormat="false" ht="15" hidden="false" customHeight="false" outlineLevel="0" collapsed="false">
      <c r="A135" s="33" t="n">
        <v>8068</v>
      </c>
      <c r="B135" s="33" t="s">
        <v>190</v>
      </c>
      <c r="C135" s="33" t="s">
        <v>170</v>
      </c>
      <c r="D135" s="33"/>
      <c r="E135" s="33" t="n">
        <v>94</v>
      </c>
      <c r="F135" s="33" t="s">
        <v>37</v>
      </c>
      <c r="G135" s="33" t="s">
        <v>114</v>
      </c>
      <c r="H135" s="33" t="n">
        <v>12</v>
      </c>
      <c r="I135" s="33" t="n">
        <v>12</v>
      </c>
      <c r="J135" s="33" t="n">
        <v>12</v>
      </c>
      <c r="K135" s="32" t="n">
        <v>2388</v>
      </c>
      <c r="L135" s="33" t="str">
        <f aca="false">IF($B135="","",IFERROR(INDEX('Code Mapping'!$D$5:$D$1753,MATCH($B135,'Code Mapping'!$A$5:$A$1753,0)),"Unmapped"))</f>
        <v>Urban Point</v>
      </c>
      <c r="M135" s="33" t="str">
        <f aca="false">IF($B135="","",IFERROR(INDEX('Code Mapping'!$E$5:$E$1753,MATCH($B135,'Code Mapping'!$A$5:$A$1753,0)),"Unmapped"))</f>
        <v>Aggregator BOGO</v>
      </c>
      <c r="N135" s="33" t="str">
        <f aca="false">IF($F135="","",$F135)</f>
        <v>Kids City Driving School</v>
      </c>
    </row>
    <row r="136" customFormat="false" ht="15" hidden="false" customHeight="false" outlineLevel="0" collapsed="false">
      <c r="A136" s="33" t="n">
        <v>8313</v>
      </c>
      <c r="B136" s="33" t="s">
        <v>126</v>
      </c>
      <c r="C136" s="33" t="s">
        <v>127</v>
      </c>
      <c r="D136" s="33" t="s">
        <v>140</v>
      </c>
      <c r="E136" s="33" t="n">
        <v>133</v>
      </c>
      <c r="F136" s="33" t="s">
        <v>35</v>
      </c>
      <c r="G136" s="33" t="s">
        <v>114</v>
      </c>
      <c r="H136" s="33" t="n">
        <v>1</v>
      </c>
      <c r="I136" s="33" t="n">
        <v>1</v>
      </c>
      <c r="J136" s="33" t="n">
        <v>1</v>
      </c>
      <c r="K136" s="32" t="n">
        <v>45</v>
      </c>
      <c r="L136" s="33" t="str">
        <f aca="false">IF($B136="","",IFERROR(INDEX('Code Mapping'!$D$5:$D$1753,MATCH($B136,'Code Mapping'!$A$5:$A$1753,0)),"Unmapped"))</f>
        <v>Internal / promotion</v>
      </c>
      <c r="M136" s="33" t="str">
        <f aca="false">IF($B136="","",IFERROR(INDEX('Code Mapping'!$E$5:$E$1753,MATCH($B136,'Code Mapping'!$A$5:$A$1753,0)),"Unmapped"))</f>
        <v>Internal / promotion</v>
      </c>
      <c r="N136" s="33" t="str">
        <f aca="false">IF($F136="","",$F136)</f>
        <v>Urban Arena</v>
      </c>
    </row>
    <row r="137" customFormat="false" ht="15" hidden="false" customHeight="false" outlineLevel="0" collapsed="false">
      <c r="A137" s="33" t="n">
        <v>8103</v>
      </c>
      <c r="B137" s="33" t="s">
        <v>266</v>
      </c>
      <c r="C137" s="33" t="s">
        <v>139</v>
      </c>
      <c r="D137" s="33"/>
      <c r="E137" s="33" t="n">
        <v>61</v>
      </c>
      <c r="F137" s="33" t="s">
        <v>38</v>
      </c>
      <c r="G137" s="33" t="s">
        <v>114</v>
      </c>
      <c r="H137" s="33" t="n">
        <v>2</v>
      </c>
      <c r="I137" s="33" t="n">
        <v>3</v>
      </c>
      <c r="J137" s="33" t="n">
        <v>3</v>
      </c>
      <c r="K137" s="32" t="n">
        <v>15.75</v>
      </c>
      <c r="L137" s="33" t="str">
        <f aca="false">IF($B137="","",IFERROR(INDEX('Code Mapping'!$D$5:$D$1753,MATCH($B137,'Code Mapping'!$A$5:$A$1753,0)),"Unmapped"))</f>
        <v>Imtyazat</v>
      </c>
      <c r="M137" s="33" t="str">
        <f aca="false">IF($B137="","",IFERROR(INDEX('Code Mapping'!$E$5:$E$1753,MATCH($B137,'Code Mapping'!$A$5:$A$1753,0)),"Unmapped"))</f>
        <v>Corporate discount</v>
      </c>
      <c r="N137" s="33" t="str">
        <f aca="false">IF($F137="","",$F137)</f>
        <v>Crayons &amp; Bricks Vendome</v>
      </c>
    </row>
    <row r="138" customFormat="false" ht="15" hidden="false" customHeight="false" outlineLevel="0" collapsed="false">
      <c r="A138" s="33" t="n">
        <v>8211</v>
      </c>
      <c r="B138" s="33" t="s">
        <v>421</v>
      </c>
      <c r="C138" s="33" t="s">
        <v>419</v>
      </c>
      <c r="D138" s="33" t="s">
        <v>140</v>
      </c>
      <c r="E138" s="33" t="n">
        <v>91</v>
      </c>
      <c r="F138" s="33" t="s">
        <v>36</v>
      </c>
      <c r="G138" s="33" t="s">
        <v>114</v>
      </c>
      <c r="H138" s="33" t="n">
        <v>1</v>
      </c>
      <c r="I138" s="33" t="n">
        <v>1</v>
      </c>
      <c r="J138" s="33" t="n">
        <v>1</v>
      </c>
      <c r="K138" s="32" t="n">
        <v>199</v>
      </c>
      <c r="L138" s="33" t="str">
        <f aca="false">IF($B138="","",IFERROR(INDEX('Code Mapping'!$D$5:$D$1753,MATCH($B138,'Code Mapping'!$A$5:$A$1753,0)),"Unmapped"))</f>
        <v>Unmapped</v>
      </c>
      <c r="M138" s="33" t="str">
        <f aca="false">IF($B138="","",IFERROR(INDEX('Code Mapping'!$E$5:$E$1753,MATCH($B138,'Code Mapping'!$A$5:$A$1753,0)),"Unmapped"))</f>
        <v>Unmapped</v>
      </c>
      <c r="N138" s="33" t="str">
        <f aca="false">IF($F138="","",$F138)</f>
        <v>InflataPark</v>
      </c>
    </row>
    <row r="139" customFormat="false" ht="15" hidden="false" customHeight="false" outlineLevel="0" collapsed="false">
      <c r="A139" s="33" t="n">
        <v>6827</v>
      </c>
      <c r="B139" s="33" t="s">
        <v>182</v>
      </c>
      <c r="C139" s="33"/>
      <c r="D139" s="33"/>
      <c r="E139" s="33" t="n">
        <v>61</v>
      </c>
      <c r="F139" s="33" t="s">
        <v>38</v>
      </c>
      <c r="G139" s="33" t="s">
        <v>114</v>
      </c>
      <c r="H139" s="33" t="n">
        <v>5</v>
      </c>
      <c r="I139" s="33" t="n">
        <v>5</v>
      </c>
      <c r="J139" s="33" t="n">
        <v>5</v>
      </c>
      <c r="K139" s="32" t="n">
        <v>500</v>
      </c>
      <c r="L139" s="33" t="str">
        <f aca="false">IF($B139="","",IFERROR(INDEX('Code Mapping'!$D$5:$D$1753,MATCH($B139,'Code Mapping'!$A$5:$A$1753,0)),"Unmapped"))</f>
        <v>My Book</v>
      </c>
      <c r="M139" s="33" t="str">
        <f aca="false">IF($B139="","",IFERROR(INDEX('Code Mapping'!$E$5:$E$1753,MATCH($B139,'Code Mapping'!$A$5:$A$1753,0)),"Unmapped"))</f>
        <v>Aggregator BOGO</v>
      </c>
      <c r="N139" s="33" t="str">
        <f aca="false">IF($F139="","",$F139)</f>
        <v>Crayons &amp; Bricks Vendome</v>
      </c>
    </row>
    <row r="140" customFormat="false" ht="15" hidden="false" customHeight="false" outlineLevel="0" collapsed="false">
      <c r="A140" s="33" t="n">
        <v>8114</v>
      </c>
      <c r="B140" s="33" t="s">
        <v>262</v>
      </c>
      <c r="C140" s="33"/>
      <c r="D140" s="33" t="s">
        <v>140</v>
      </c>
      <c r="E140" s="33" t="n">
        <v>133</v>
      </c>
      <c r="F140" s="33" t="s">
        <v>35</v>
      </c>
      <c r="G140" s="33" t="s">
        <v>114</v>
      </c>
      <c r="H140" s="33" t="n">
        <v>2</v>
      </c>
      <c r="I140" s="33" t="n">
        <v>7</v>
      </c>
      <c r="J140" s="33" t="n">
        <v>7</v>
      </c>
      <c r="K140" s="32" t="n">
        <v>21</v>
      </c>
      <c r="L140" s="33" t="str">
        <f aca="false">IF($B140="","",IFERROR(INDEX('Code Mapping'!$D$5:$D$1753,MATCH($B140,'Code Mapping'!$A$5:$A$1753,0)),"Unmapped"))</f>
        <v>Internal / promotion</v>
      </c>
      <c r="M140" s="33" t="str">
        <f aca="false">IF($B140="","",IFERROR(INDEX('Code Mapping'!$E$5:$E$1753,MATCH($B140,'Code Mapping'!$A$5:$A$1753,0)),"Unmapped"))</f>
        <v>Internal / promotion</v>
      </c>
      <c r="N140" s="33" t="str">
        <f aca="false">IF($F140="","",$F140)</f>
        <v>Urban Arena</v>
      </c>
    </row>
    <row r="141" customFormat="false" ht="15" hidden="false" customHeight="false" outlineLevel="0" collapsed="false">
      <c r="A141" s="33" t="n">
        <v>8091</v>
      </c>
      <c r="B141" s="33" t="s">
        <v>252</v>
      </c>
      <c r="C141" s="33" t="s">
        <v>253</v>
      </c>
      <c r="D141" s="33"/>
      <c r="E141" s="33" t="n">
        <v>133</v>
      </c>
      <c r="F141" s="33" t="s">
        <v>35</v>
      </c>
      <c r="G141" s="33" t="s">
        <v>114</v>
      </c>
      <c r="H141" s="33" t="n">
        <v>2</v>
      </c>
      <c r="I141" s="33" t="n">
        <v>2</v>
      </c>
      <c r="J141" s="33" t="n">
        <v>2</v>
      </c>
      <c r="K141" s="32" t="n">
        <v>398</v>
      </c>
      <c r="L141" s="33" t="str">
        <f aca="false">IF($B141="","",IFERROR(INDEX('Code Mapping'!$D$5:$D$1753,MATCH($B141,'Code Mapping'!$A$5:$A$1753,0)),"Unmapped"))</f>
        <v>Classmate</v>
      </c>
      <c r="M141" s="33" t="str">
        <f aca="false">IF($B141="","",IFERROR(INDEX('Code Mapping'!$E$5:$E$1753,MATCH($B141,'Code Mapping'!$A$5:$A$1753,0)),"Unmapped"))</f>
        <v>Aggregator BOGO</v>
      </c>
      <c r="N141" s="33" t="str">
        <f aca="false">IF($F141="","",$F141)</f>
        <v>Urban Arena</v>
      </c>
    </row>
    <row r="142" customFormat="false" ht="15" hidden="false" customHeight="false" outlineLevel="0" collapsed="false">
      <c r="A142" s="33" t="n">
        <v>8081</v>
      </c>
      <c r="B142" s="33" t="s">
        <v>223</v>
      </c>
      <c r="C142" s="33" t="s">
        <v>224</v>
      </c>
      <c r="D142" s="33"/>
      <c r="E142" s="33" t="n">
        <v>133</v>
      </c>
      <c r="F142" s="33" t="s">
        <v>35</v>
      </c>
      <c r="G142" s="33" t="s">
        <v>114</v>
      </c>
      <c r="H142" s="33" t="n">
        <v>2</v>
      </c>
      <c r="I142" s="33" t="n">
        <v>9</v>
      </c>
      <c r="J142" s="33" t="n">
        <v>9</v>
      </c>
      <c r="K142" s="32" t="n">
        <v>60.75</v>
      </c>
      <c r="L142" s="33" t="str">
        <f aca="false">IF($B142="","",IFERROR(INDEX('Code Mapping'!$D$5:$D$1753,MATCH($B142,'Code Mapping'!$A$5:$A$1753,0)),"Unmapped"))</f>
        <v>Qatar Media Corporation</v>
      </c>
      <c r="M142" s="33" t="str">
        <f aca="false">IF($B142="","",IFERROR(INDEX('Code Mapping'!$E$5:$E$1753,MATCH($B142,'Code Mapping'!$A$5:$A$1753,0)),"Unmapped"))</f>
        <v>Corporate discount</v>
      </c>
      <c r="N142" s="33" t="str">
        <f aca="false">IF($F142="","",$F142)</f>
        <v>Urban Arena</v>
      </c>
    </row>
    <row r="143" customFormat="false" ht="15" hidden="false" customHeight="false" outlineLevel="0" collapsed="false">
      <c r="A143" s="33" t="n">
        <v>8080</v>
      </c>
      <c r="B143" s="33" t="s">
        <v>267</v>
      </c>
      <c r="C143" s="33" t="s">
        <v>245</v>
      </c>
      <c r="D143" s="33"/>
      <c r="E143" s="33" t="n">
        <v>133</v>
      </c>
      <c r="F143" s="33" t="s">
        <v>35</v>
      </c>
      <c r="G143" s="33" t="s">
        <v>114</v>
      </c>
      <c r="H143" s="33" t="n">
        <v>2</v>
      </c>
      <c r="I143" s="33" t="n">
        <v>13</v>
      </c>
      <c r="J143" s="33" t="n">
        <v>13</v>
      </c>
      <c r="K143" s="32" t="n">
        <v>197.25</v>
      </c>
      <c r="L143" s="33" t="str">
        <f aca="false">IF($B143="","",IFERROR(INDEX('Code Mapping'!$D$5:$D$1753,MATCH($B143,'Code Mapping'!$A$5:$A$1753,0)),"Unmapped"))</f>
        <v>Qatar Investment Authority</v>
      </c>
      <c r="M143" s="33" t="str">
        <f aca="false">IF($B143="","",IFERROR(INDEX('Code Mapping'!$E$5:$E$1753,MATCH($B143,'Code Mapping'!$A$5:$A$1753,0)),"Unmapped"))</f>
        <v>Corporate discount</v>
      </c>
      <c r="N143" s="33" t="str">
        <f aca="false">IF($F143="","",$F143)</f>
        <v>Urban Arena</v>
      </c>
    </row>
    <row r="144" customFormat="false" ht="15" hidden="false" customHeight="false" outlineLevel="0" collapsed="false">
      <c r="A144" s="33" t="n">
        <v>8071</v>
      </c>
      <c r="B144" s="33" t="s">
        <v>234</v>
      </c>
      <c r="C144" s="33" t="s">
        <v>235</v>
      </c>
      <c r="D144" s="33"/>
      <c r="E144" s="33" t="n">
        <v>133</v>
      </c>
      <c r="F144" s="33" t="s">
        <v>35</v>
      </c>
      <c r="G144" s="33" t="s">
        <v>114</v>
      </c>
      <c r="H144" s="33" t="n">
        <v>5</v>
      </c>
      <c r="I144" s="33" t="n">
        <v>15</v>
      </c>
      <c r="J144" s="33" t="n">
        <v>15</v>
      </c>
      <c r="K144" s="32" t="n">
        <v>86.25</v>
      </c>
      <c r="L144" s="33" t="str">
        <f aca="false">IF($B144="","",IFERROR(INDEX('Code Mapping'!$D$5:$D$1753,MATCH($B144,'Code Mapping'!$A$5:$A$1753,0)),"Unmapped"))</f>
        <v>Bein</v>
      </c>
      <c r="M144" s="33" t="str">
        <f aca="false">IF($B144="","",IFERROR(INDEX('Code Mapping'!$E$5:$E$1753,MATCH($B144,'Code Mapping'!$A$5:$A$1753,0)),"Unmapped"))</f>
        <v>Corporate discount</v>
      </c>
      <c r="N144" s="33" t="str">
        <f aca="false">IF($F144="","",$F144)</f>
        <v>Urban Arena</v>
      </c>
    </row>
    <row r="145" customFormat="false" ht="15" hidden="false" customHeight="false" outlineLevel="0" collapsed="false">
      <c r="A145" s="33" t="n">
        <v>8093</v>
      </c>
      <c r="B145" s="33" t="s">
        <v>167</v>
      </c>
      <c r="C145" s="33" t="s">
        <v>168</v>
      </c>
      <c r="D145" s="33"/>
      <c r="E145" s="33" t="n">
        <v>133</v>
      </c>
      <c r="F145" s="33" t="s">
        <v>35</v>
      </c>
      <c r="G145" s="33" t="s">
        <v>114</v>
      </c>
      <c r="H145" s="33" t="n">
        <v>37</v>
      </c>
      <c r="I145" s="33" t="n">
        <v>37</v>
      </c>
      <c r="J145" s="33" t="n">
        <v>37</v>
      </c>
      <c r="K145" s="32" t="n">
        <v>7363</v>
      </c>
      <c r="L145" s="33" t="str">
        <f aca="false">IF($B145="","",IFERROR(INDEX('Code Mapping'!$D$5:$D$1753,MATCH($B145,'Code Mapping'!$A$5:$A$1753,0)),"Unmapped"))</f>
        <v>My Book</v>
      </c>
      <c r="M145" s="33" t="str">
        <f aca="false">IF($B145="","",IFERROR(INDEX('Code Mapping'!$E$5:$E$1753,MATCH($B145,'Code Mapping'!$A$5:$A$1753,0)),"Unmapped"))</f>
        <v>Aggregator BOGO</v>
      </c>
      <c r="N145" s="33" t="str">
        <f aca="false">IF($F145="","",$F145)</f>
        <v>Urban Arena</v>
      </c>
    </row>
    <row r="146" customFormat="false" ht="15" hidden="false" customHeight="false" outlineLevel="0" collapsed="false">
      <c r="A146" s="33" t="n">
        <v>8078</v>
      </c>
      <c r="B146" s="33" t="s">
        <v>150</v>
      </c>
      <c r="C146" s="33" t="s">
        <v>151</v>
      </c>
      <c r="D146" s="33"/>
      <c r="E146" s="33" t="n">
        <v>133</v>
      </c>
      <c r="F146" s="33" t="s">
        <v>35</v>
      </c>
      <c r="G146" s="33" t="s">
        <v>114</v>
      </c>
      <c r="H146" s="33" t="n">
        <v>66</v>
      </c>
      <c r="I146" s="33" t="n">
        <v>229</v>
      </c>
      <c r="J146" s="33" t="n">
        <v>229</v>
      </c>
      <c r="K146" s="32" t="n">
        <v>1749.75</v>
      </c>
      <c r="L146" s="33" t="str">
        <f aca="false">IF($B146="","",IFERROR(INDEX('Code Mapping'!$D$5:$D$1753,MATCH($B146,'Code Mapping'!$A$5:$A$1753,0)),"Unmapped"))</f>
        <v>Qatar Airways</v>
      </c>
      <c r="M146" s="33" t="str">
        <f aca="false">IF($B146="","",IFERROR(INDEX('Code Mapping'!$E$5:$E$1753,MATCH($B146,'Code Mapping'!$A$5:$A$1753,0)),"Unmapped"))</f>
        <v>Corporate discount</v>
      </c>
      <c r="N146" s="33" t="str">
        <f aca="false">IF($F146="","",$F146)</f>
        <v>Urban Arena</v>
      </c>
    </row>
    <row r="147" customFormat="false" ht="15" hidden="false" customHeight="false" outlineLevel="0" collapsed="false">
      <c r="A147" s="33" t="n">
        <v>8094</v>
      </c>
      <c r="B147" s="33" t="s">
        <v>169</v>
      </c>
      <c r="C147" s="33" t="s">
        <v>170</v>
      </c>
      <c r="D147" s="33"/>
      <c r="E147" s="33" t="n">
        <v>133</v>
      </c>
      <c r="F147" s="33" t="s">
        <v>35</v>
      </c>
      <c r="G147" s="33" t="s">
        <v>114</v>
      </c>
      <c r="H147" s="33" t="n">
        <v>40</v>
      </c>
      <c r="I147" s="33" t="n">
        <v>40</v>
      </c>
      <c r="J147" s="33" t="n">
        <v>40</v>
      </c>
      <c r="K147" s="32" t="n">
        <v>7960</v>
      </c>
      <c r="L147" s="33" t="str">
        <f aca="false">IF($B147="","",IFERROR(INDEX('Code Mapping'!$D$5:$D$1753,MATCH($B147,'Code Mapping'!$A$5:$A$1753,0)),"Unmapped"))</f>
        <v>Urban Point</v>
      </c>
      <c r="M147" s="33" t="str">
        <f aca="false">IF($B147="","",IFERROR(INDEX('Code Mapping'!$E$5:$E$1753,MATCH($B147,'Code Mapping'!$A$5:$A$1753,0)),"Unmapped"))</f>
        <v>Aggregator BOGO</v>
      </c>
      <c r="N147" s="33" t="str">
        <f aca="false">IF($F147="","",$F147)</f>
        <v>Urban Arena</v>
      </c>
    </row>
    <row r="148" customFormat="false" ht="15" hidden="false" customHeight="false" outlineLevel="0" collapsed="false">
      <c r="A148" s="33" t="n">
        <v>8092</v>
      </c>
      <c r="B148" s="33" t="s">
        <v>214</v>
      </c>
      <c r="C148" s="33" t="s">
        <v>179</v>
      </c>
      <c r="D148" s="33"/>
      <c r="E148" s="33" t="n">
        <v>133</v>
      </c>
      <c r="F148" s="33" t="s">
        <v>35</v>
      </c>
      <c r="G148" s="33" t="s">
        <v>114</v>
      </c>
      <c r="H148" s="33" t="n">
        <v>5</v>
      </c>
      <c r="I148" s="33" t="n">
        <v>5</v>
      </c>
      <c r="J148" s="33" t="n">
        <v>5</v>
      </c>
      <c r="K148" s="32" t="n">
        <v>995</v>
      </c>
      <c r="L148" s="33" t="str">
        <f aca="false">IF($B148="","",IFERROR(INDEX('Code Mapping'!$D$5:$D$1753,MATCH($B148,'Code Mapping'!$A$5:$A$1753,0)),"Unmapped"))</f>
        <v>Entertainer</v>
      </c>
      <c r="M148" s="33" t="str">
        <f aca="false">IF($B148="","",IFERROR(INDEX('Code Mapping'!$E$5:$E$1753,MATCH($B148,'Code Mapping'!$A$5:$A$1753,0)),"Unmapped"))</f>
        <v>Aggregator BOGO</v>
      </c>
      <c r="N148" s="33" t="str">
        <f aca="false">IF($F148="","",$F148)</f>
        <v>Urban Arena</v>
      </c>
    </row>
    <row r="149" customFormat="false" ht="15" hidden="false" customHeight="false" outlineLevel="0" collapsed="false">
      <c r="A149" s="33" t="n">
        <v>8076</v>
      </c>
      <c r="B149" s="33" t="s">
        <v>157</v>
      </c>
      <c r="C149" s="33" t="s">
        <v>158</v>
      </c>
      <c r="D149" s="33"/>
      <c r="E149" s="33" t="n">
        <v>133</v>
      </c>
      <c r="F149" s="33" t="s">
        <v>35</v>
      </c>
      <c r="G149" s="33" t="s">
        <v>114</v>
      </c>
      <c r="H149" s="33" t="n">
        <v>49</v>
      </c>
      <c r="I149" s="33" t="n">
        <v>180</v>
      </c>
      <c r="J149" s="33" t="n">
        <v>180</v>
      </c>
      <c r="K149" s="32" t="n">
        <v>1746</v>
      </c>
      <c r="L149" s="33" t="str">
        <f aca="false">IF($B149="","",IFERROR(INDEX('Code Mapping'!$D$5:$D$1753,MATCH($B149,'Code Mapping'!$A$5:$A$1753,0)),"Unmapped"))</f>
        <v>Public Health Sector (Sogha)</v>
      </c>
      <c r="M149" s="33" t="str">
        <f aca="false">IF($B149="","",IFERROR(INDEX('Code Mapping'!$E$5:$E$1753,MATCH($B149,'Code Mapping'!$A$5:$A$1753,0)),"Unmapped"))</f>
        <v>Corporate discount</v>
      </c>
      <c r="N149" s="33" t="str">
        <f aca="false">IF($F149="","",$F149)</f>
        <v>Urban Arena</v>
      </c>
    </row>
    <row r="150" customFormat="false" ht="15" hidden="false" customHeight="false" outlineLevel="0" collapsed="false">
      <c r="A150" s="33" t="n">
        <v>8069</v>
      </c>
      <c r="B150" s="33" t="s">
        <v>209</v>
      </c>
      <c r="C150" s="33" t="s">
        <v>210</v>
      </c>
      <c r="D150" s="33"/>
      <c r="E150" s="33" t="n">
        <v>133</v>
      </c>
      <c r="F150" s="33" t="s">
        <v>35</v>
      </c>
      <c r="G150" s="33" t="s">
        <v>114</v>
      </c>
      <c r="H150" s="33" t="n">
        <v>4</v>
      </c>
      <c r="I150" s="33" t="n">
        <v>17</v>
      </c>
      <c r="J150" s="33" t="n">
        <v>17</v>
      </c>
      <c r="K150" s="32" t="n">
        <v>129.75</v>
      </c>
      <c r="L150" s="33" t="str">
        <f aca="false">IF($B150="","",IFERROR(INDEX('Code Mapping'!$D$5:$D$1753,MATCH($B150,'Code Mapping'!$A$5:$A$1753,0)),"Unmapped"))</f>
        <v>Al Jazeera Imtiyazat</v>
      </c>
      <c r="M150" s="33" t="str">
        <f aca="false">IF($B150="","",IFERROR(INDEX('Code Mapping'!$E$5:$E$1753,MATCH($B150,'Code Mapping'!$A$5:$A$1753,0)),"Unmapped"))</f>
        <v>Corporate discount</v>
      </c>
      <c r="N150" s="33" t="str">
        <f aca="false">IF($F150="","",$F150)</f>
        <v>Urban Arena</v>
      </c>
    </row>
    <row r="151" customFormat="false" ht="15" hidden="false" customHeight="false" outlineLevel="0" collapsed="false">
      <c r="A151" s="33" t="n">
        <v>8060</v>
      </c>
      <c r="B151" s="33" t="s">
        <v>410</v>
      </c>
      <c r="C151" s="33" t="s">
        <v>411</v>
      </c>
      <c r="D151" s="33"/>
      <c r="E151" s="33" t="n">
        <v>94</v>
      </c>
      <c r="F151" s="33" t="s">
        <v>37</v>
      </c>
      <c r="G151" s="33" t="s">
        <v>114</v>
      </c>
      <c r="H151" s="33" t="n">
        <v>1</v>
      </c>
      <c r="I151" s="33" t="n">
        <v>4</v>
      </c>
      <c r="J151" s="33" t="n">
        <v>4</v>
      </c>
      <c r="K151" s="32" t="n">
        <v>45</v>
      </c>
      <c r="L151" s="33" t="str">
        <f aca="false">IF($B151="","",IFERROR(INDEX('Code Mapping'!$D$5:$D$1753,MATCH($B151,'Code Mapping'!$A$5:$A$1753,0)),"Unmapped"))</f>
        <v>Aspire</v>
      </c>
      <c r="M151" s="33" t="str">
        <f aca="false">IF($B151="","",IFERROR(INDEX('Code Mapping'!$E$5:$E$1753,MATCH($B151,'Code Mapping'!$A$5:$A$1753,0)),"Unmapped"))</f>
        <v>Corporate discount</v>
      </c>
      <c r="N151" s="33" t="str">
        <f aca="false">IF($F151="","",$F151)</f>
        <v>Kids City Driving School</v>
      </c>
    </row>
    <row r="152" customFormat="false" ht="15" hidden="false" customHeight="false" outlineLevel="0" collapsed="false">
      <c r="A152" s="33" t="n">
        <v>8061</v>
      </c>
      <c r="B152" s="33" t="s">
        <v>277</v>
      </c>
      <c r="C152" s="33" t="s">
        <v>278</v>
      </c>
      <c r="D152" s="33"/>
      <c r="E152" s="33" t="n">
        <v>94</v>
      </c>
      <c r="F152" s="33" t="s">
        <v>37</v>
      </c>
      <c r="G152" s="33" t="s">
        <v>114</v>
      </c>
      <c r="H152" s="33" t="n">
        <v>1</v>
      </c>
      <c r="I152" s="33" t="n">
        <v>3</v>
      </c>
      <c r="J152" s="33" t="n">
        <v>3</v>
      </c>
      <c r="K152" s="32" t="n">
        <v>17.25</v>
      </c>
      <c r="L152" s="33" t="str">
        <f aca="false">IF($B152="","",IFERROR(INDEX('Code Mapping'!$D$5:$D$1753,MATCH($B152,'Code Mapping'!$A$5:$A$1753,0)),"Unmapped"))</f>
        <v>Bein</v>
      </c>
      <c r="M152" s="33" t="str">
        <f aca="false">IF($B152="","",IFERROR(INDEX('Code Mapping'!$E$5:$E$1753,MATCH($B152,'Code Mapping'!$A$5:$A$1753,0)),"Unmapped"))</f>
        <v>Corporate discount</v>
      </c>
      <c r="N152" s="33" t="str">
        <f aca="false">IF($F152="","",$F152)</f>
        <v>Kids City Driving School</v>
      </c>
    </row>
    <row r="153" customFormat="false" ht="15" hidden="false" customHeight="false" outlineLevel="0" collapsed="false">
      <c r="A153" s="33" t="n">
        <v>8105</v>
      </c>
      <c r="B153" s="33" t="s">
        <v>261</v>
      </c>
      <c r="C153" s="33" t="s">
        <v>151</v>
      </c>
      <c r="D153" s="33"/>
      <c r="E153" s="33" t="n">
        <v>61</v>
      </c>
      <c r="F153" s="33" t="s">
        <v>38</v>
      </c>
      <c r="G153" s="33" t="s">
        <v>114</v>
      </c>
      <c r="H153" s="33" t="n">
        <v>2</v>
      </c>
      <c r="I153" s="33" t="n">
        <v>4</v>
      </c>
      <c r="J153" s="33" t="n">
        <v>4</v>
      </c>
      <c r="K153" s="32" t="n">
        <v>40.5</v>
      </c>
      <c r="L153" s="33" t="str">
        <f aca="false">IF($B153="","",IFERROR(INDEX('Code Mapping'!$D$5:$D$1753,MATCH($B153,'Code Mapping'!$A$5:$A$1753,0)),"Unmapped"))</f>
        <v>Qatar Airways</v>
      </c>
      <c r="M153" s="33" t="str">
        <f aca="false">IF($B153="","",IFERROR(INDEX('Code Mapping'!$E$5:$E$1753,MATCH($B153,'Code Mapping'!$A$5:$A$1753,0)),"Unmapped"))</f>
        <v>Corporate discount</v>
      </c>
      <c r="N153" s="33" t="str">
        <f aca="false">IF($F153="","",$F153)</f>
        <v>Crayons &amp; Bricks Vendome</v>
      </c>
    </row>
    <row r="154" customFormat="false" ht="15" hidden="false" customHeight="false" outlineLevel="0" collapsed="false">
      <c r="A154" s="33" t="n">
        <v>8059</v>
      </c>
      <c r="B154" s="33" t="s">
        <v>217</v>
      </c>
      <c r="C154" s="33" t="s">
        <v>218</v>
      </c>
      <c r="D154" s="33"/>
      <c r="E154" s="33" t="n">
        <v>94</v>
      </c>
      <c r="F154" s="33" t="s">
        <v>37</v>
      </c>
      <c r="G154" s="33" t="s">
        <v>114</v>
      </c>
      <c r="H154" s="33" t="n">
        <v>4</v>
      </c>
      <c r="I154" s="33" t="n">
        <v>17</v>
      </c>
      <c r="J154" s="33" t="n">
        <v>17</v>
      </c>
      <c r="K154" s="32" t="n">
        <v>116.25</v>
      </c>
      <c r="L154" s="33" t="str">
        <f aca="false">IF($B154="","",IFERROR(INDEX('Code Mapping'!$D$5:$D$1753,MATCH($B154,'Code Mapping'!$A$5:$A$1753,0)),"Unmapped"))</f>
        <v>Al Jazeera Imtiyazat</v>
      </c>
      <c r="M154" s="33" t="str">
        <f aca="false">IF($B154="","",IFERROR(INDEX('Code Mapping'!$E$5:$E$1753,MATCH($B154,'Code Mapping'!$A$5:$A$1753,0)),"Unmapped"))</f>
        <v>Corporate discount</v>
      </c>
      <c r="N154" s="33" t="str">
        <f aca="false">IF($F154="","",$F154)</f>
        <v>Kids City Driving School</v>
      </c>
    </row>
    <row r="155" customFormat="false" ht="15" hidden="false" customHeight="false" outlineLevel="0" collapsed="false">
      <c r="A155" s="33" t="n">
        <v>8043</v>
      </c>
      <c r="B155" s="33" t="s">
        <v>255</v>
      </c>
      <c r="C155" s="33" t="s">
        <v>168</v>
      </c>
      <c r="D155" s="33"/>
      <c r="E155" s="33" t="n">
        <v>91</v>
      </c>
      <c r="F155" s="33" t="s">
        <v>36</v>
      </c>
      <c r="G155" s="33" t="s">
        <v>114</v>
      </c>
      <c r="H155" s="33" t="n">
        <v>7</v>
      </c>
      <c r="I155" s="33" t="n">
        <v>7</v>
      </c>
      <c r="J155" s="33" t="n">
        <v>7</v>
      </c>
      <c r="K155" s="32" t="n">
        <v>1393</v>
      </c>
      <c r="L155" s="33" t="str">
        <f aca="false">IF($B155="","",IFERROR(INDEX('Code Mapping'!$D$5:$D$1753,MATCH($B155,'Code Mapping'!$A$5:$A$1753,0)),"Unmapped"))</f>
        <v>My Book</v>
      </c>
      <c r="M155" s="33" t="str">
        <f aca="false">IF($B155="","",IFERROR(INDEX('Code Mapping'!$E$5:$E$1753,MATCH($B155,'Code Mapping'!$A$5:$A$1753,0)),"Unmapped"))</f>
        <v>Aggregator BOGO</v>
      </c>
      <c r="N155" s="33" t="str">
        <f aca="false">IF($F155="","",$F155)</f>
        <v>InflataPark</v>
      </c>
    </row>
    <row r="156" customFormat="false" ht="15" hidden="false" customHeight="false" outlineLevel="0" collapsed="false">
      <c r="A156" s="33" t="n">
        <v>8066</v>
      </c>
      <c r="B156" s="33" t="s">
        <v>264</v>
      </c>
      <c r="C156" s="33" t="s">
        <v>179</v>
      </c>
      <c r="D156" s="33"/>
      <c r="E156" s="33" t="n">
        <v>94</v>
      </c>
      <c r="F156" s="33" t="s">
        <v>37</v>
      </c>
      <c r="G156" s="33" t="s">
        <v>114</v>
      </c>
      <c r="H156" s="33" t="n">
        <v>1</v>
      </c>
      <c r="I156" s="33" t="n">
        <v>1</v>
      </c>
      <c r="J156" s="33" t="n">
        <v>1</v>
      </c>
      <c r="K156" s="32" t="n">
        <v>199</v>
      </c>
      <c r="L156" s="33" t="str">
        <f aca="false">IF($B156="","",IFERROR(INDEX('Code Mapping'!$D$5:$D$1753,MATCH($B156,'Code Mapping'!$A$5:$A$1753,0)),"Unmapped"))</f>
        <v>Entertainer</v>
      </c>
      <c r="M156" s="33" t="str">
        <f aca="false">IF($B156="","",IFERROR(INDEX('Code Mapping'!$E$5:$E$1753,MATCH($B156,'Code Mapping'!$A$5:$A$1753,0)),"Unmapped"))</f>
        <v>Aggregator BOGO</v>
      </c>
      <c r="N156" s="33" t="str">
        <f aca="false">IF($F156="","",$F156)</f>
        <v>Kids City Driving School</v>
      </c>
    </row>
    <row r="157" customFormat="false" ht="15" hidden="false" customHeight="false" outlineLevel="0" collapsed="false">
      <c r="A157" s="33" t="n">
        <v>8070</v>
      </c>
      <c r="B157" s="33" t="s">
        <v>199</v>
      </c>
      <c r="C157" s="33" t="s">
        <v>200</v>
      </c>
      <c r="D157" s="33"/>
      <c r="E157" s="33" t="n">
        <v>133</v>
      </c>
      <c r="F157" s="33" t="s">
        <v>35</v>
      </c>
      <c r="G157" s="33" t="s">
        <v>114</v>
      </c>
      <c r="H157" s="33" t="n">
        <v>9</v>
      </c>
      <c r="I157" s="33" t="n">
        <v>34</v>
      </c>
      <c r="J157" s="33" t="n">
        <v>34</v>
      </c>
      <c r="K157" s="32" t="n">
        <v>256.5</v>
      </c>
      <c r="L157" s="33" t="str">
        <f aca="false">IF($B157="","",IFERROR(INDEX('Code Mapping'!$D$5:$D$1753,MATCH($B157,'Code Mapping'!$A$5:$A$1753,0)),"Unmapped"))</f>
        <v>Aspire</v>
      </c>
      <c r="M157" s="33" t="str">
        <f aca="false">IF($B157="","",IFERROR(INDEX('Code Mapping'!$E$5:$E$1753,MATCH($B157,'Code Mapping'!$A$5:$A$1753,0)),"Unmapped"))</f>
        <v>Corporate discount</v>
      </c>
      <c r="N157" s="33" t="str">
        <f aca="false">IF($F157="","",$F157)</f>
        <v>Urban Arena</v>
      </c>
    </row>
    <row r="158" customFormat="false" ht="15" hidden="false" customHeight="false" outlineLevel="0" collapsed="false">
      <c r="A158" s="33" t="n">
        <v>8079</v>
      </c>
      <c r="B158" s="33" t="s">
        <v>154</v>
      </c>
      <c r="C158" s="33" t="s">
        <v>155</v>
      </c>
      <c r="D158" s="33" t="s">
        <v>140</v>
      </c>
      <c r="E158" s="33" t="n">
        <v>133</v>
      </c>
      <c r="F158" s="33" t="s">
        <v>35</v>
      </c>
      <c r="G158" s="33" t="s">
        <v>114</v>
      </c>
      <c r="H158" s="33" t="n">
        <v>67</v>
      </c>
      <c r="I158" s="33" t="n">
        <v>272</v>
      </c>
      <c r="J158" s="33" t="n">
        <v>272</v>
      </c>
      <c r="K158" s="32" t="n">
        <v>2379.9</v>
      </c>
      <c r="L158" s="33" t="str">
        <f aca="false">IF($B158="","",IFERROR(INDEX('Code Mapping'!$D$5:$D$1753,MATCH($B158,'Code Mapping'!$A$5:$A$1753,0)),"Unmapped"))</f>
        <v>Qatar Foundation</v>
      </c>
      <c r="M158" s="33" t="str">
        <f aca="false">IF($B158="","",IFERROR(INDEX('Code Mapping'!$E$5:$E$1753,MATCH($B158,'Code Mapping'!$A$5:$A$1753,0)),"Unmapped"))</f>
        <v>Corporate discount</v>
      </c>
      <c r="N158" s="33" t="str">
        <f aca="false">IF($F158="","",$F158)</f>
        <v>Urban Arena</v>
      </c>
    </row>
    <row r="159" customFormat="false" ht="15" hidden="false" customHeight="false" outlineLevel="0" collapsed="false">
      <c r="A159" s="33" t="n">
        <v>8077</v>
      </c>
      <c r="B159" s="33" t="s">
        <v>219</v>
      </c>
      <c r="C159" s="33" t="s">
        <v>220</v>
      </c>
      <c r="D159" s="33"/>
      <c r="E159" s="33" t="n">
        <v>133</v>
      </c>
      <c r="F159" s="33" t="s">
        <v>35</v>
      </c>
      <c r="G159" s="33" t="s">
        <v>114</v>
      </c>
      <c r="H159" s="33" t="n">
        <v>2</v>
      </c>
      <c r="I159" s="33" t="n">
        <v>10</v>
      </c>
      <c r="J159" s="33" t="n">
        <v>10</v>
      </c>
      <c r="K159" s="32" t="n">
        <v>82.5</v>
      </c>
      <c r="L159" s="33" t="str">
        <f aca="false">IF($B159="","",IFERROR(INDEX('Code Mapping'!$D$5:$D$1753,MATCH($B159,'Code Mapping'!$A$5:$A$1753,0)),"Unmapped"))</f>
        <v>QIB</v>
      </c>
      <c r="M159" s="33" t="str">
        <f aca="false">IF($B159="","",IFERROR(INDEX('Code Mapping'!$E$5:$E$1753,MATCH($B159,'Code Mapping'!$A$5:$A$1753,0)),"Unmapped"))</f>
        <v>Corporate discount</v>
      </c>
      <c r="N159" s="33" t="str">
        <f aca="false">IF($F159="","",$F159)</f>
        <v>Urban Arena</v>
      </c>
    </row>
    <row r="160" customFormat="false" ht="15" hidden="false" customHeight="false" outlineLevel="0" collapsed="false">
      <c r="A160" s="33" t="n">
        <v>8038</v>
      </c>
      <c r="B160" s="33" t="s">
        <v>123</v>
      </c>
      <c r="C160" s="33" t="s">
        <v>124</v>
      </c>
      <c r="D160" s="33"/>
      <c r="E160" s="33" t="n">
        <v>133</v>
      </c>
      <c r="F160" s="33" t="s">
        <v>35</v>
      </c>
      <c r="G160" s="33" t="s">
        <v>114</v>
      </c>
      <c r="H160" s="33" t="n">
        <v>103</v>
      </c>
      <c r="I160" s="33" t="n">
        <v>133</v>
      </c>
      <c r="J160" s="33" t="n">
        <v>133</v>
      </c>
      <c r="K160" s="32" t="n">
        <v>575.5</v>
      </c>
      <c r="L160" s="33" t="str">
        <f aca="false">IF($B160="","",IFERROR(INDEX('Code Mapping'!$D$5:$D$1753,MATCH($B160,'Code Mapping'!$A$5:$A$1753,0)),"Unmapped"))</f>
        <v>Internal / promotion</v>
      </c>
      <c r="M160" s="33" t="str">
        <f aca="false">IF($B160="","",IFERROR(INDEX('Code Mapping'!$E$5:$E$1753,MATCH($B160,'Code Mapping'!$A$5:$A$1753,0)),"Unmapped"))</f>
        <v>Internal / promotion</v>
      </c>
      <c r="N160" s="33" t="str">
        <f aca="false">IF($F160="","",$F160)</f>
        <v>Urban Arena</v>
      </c>
    </row>
    <row r="161" customFormat="false" ht="15" hidden="false" customHeight="false" outlineLevel="0" collapsed="false">
      <c r="A161" s="33" t="n">
        <v>8095</v>
      </c>
      <c r="B161" s="33" t="s">
        <v>178</v>
      </c>
      <c r="C161" s="33" t="s">
        <v>179</v>
      </c>
      <c r="D161" s="33"/>
      <c r="E161" s="33" t="n">
        <v>61</v>
      </c>
      <c r="F161" s="33" t="s">
        <v>38</v>
      </c>
      <c r="G161" s="33" t="s">
        <v>114</v>
      </c>
      <c r="H161" s="33" t="n">
        <v>23</v>
      </c>
      <c r="I161" s="33" t="n">
        <v>23</v>
      </c>
      <c r="J161" s="33" t="n">
        <v>23</v>
      </c>
      <c r="K161" s="32" t="n">
        <v>2300</v>
      </c>
      <c r="L161" s="33" t="str">
        <f aca="false">IF($B161="","",IFERROR(INDEX('Code Mapping'!$D$5:$D$1753,MATCH($B161,'Code Mapping'!$A$5:$A$1753,0)),"Unmapped"))</f>
        <v>Entertainer</v>
      </c>
      <c r="M161" s="33" t="str">
        <f aca="false">IF($B161="","",IFERROR(INDEX('Code Mapping'!$E$5:$E$1753,MATCH($B161,'Code Mapping'!$A$5:$A$1753,0)),"Unmapped"))</f>
        <v>Aggregator BOGO</v>
      </c>
      <c r="N161" s="33" t="str">
        <f aca="false">IF($F161="","",$F161)</f>
        <v>Crayons &amp; Bricks Vendome</v>
      </c>
    </row>
    <row r="162" customFormat="false" ht="15" hidden="false" customHeight="false" outlineLevel="0" collapsed="false">
      <c r="A162" s="33" t="n">
        <v>8097</v>
      </c>
      <c r="B162" s="33" t="s">
        <v>171</v>
      </c>
      <c r="C162" s="33" t="s">
        <v>170</v>
      </c>
      <c r="D162" s="33"/>
      <c r="E162" s="33" t="n">
        <v>61</v>
      </c>
      <c r="F162" s="33" t="s">
        <v>38</v>
      </c>
      <c r="G162" s="33" t="s">
        <v>114</v>
      </c>
      <c r="H162" s="33" t="n">
        <v>32</v>
      </c>
      <c r="I162" s="33" t="n">
        <v>32</v>
      </c>
      <c r="J162" s="33" t="n">
        <v>32</v>
      </c>
      <c r="K162" s="32" t="n">
        <v>3200</v>
      </c>
      <c r="L162" s="33" t="str">
        <f aca="false">IF($B162="","",IFERROR(INDEX('Code Mapping'!$D$5:$D$1753,MATCH($B162,'Code Mapping'!$A$5:$A$1753,0)),"Unmapped"))</f>
        <v>Urban Point</v>
      </c>
      <c r="M162" s="33" t="str">
        <f aca="false">IF($B162="","",IFERROR(INDEX('Code Mapping'!$E$5:$E$1753,MATCH($B162,'Code Mapping'!$A$5:$A$1753,0)),"Unmapped"))</f>
        <v>Aggregator BOGO</v>
      </c>
      <c r="N162" s="33" t="str">
        <f aca="false">IF($F162="","",$F162)</f>
        <v>Crayons &amp; Bricks Vendome</v>
      </c>
    </row>
    <row r="163" customFormat="false" ht="15" hidden="false" customHeight="false" outlineLevel="0" collapsed="false">
      <c r="A163" s="33" t="n">
        <v>8046</v>
      </c>
      <c r="B163" s="33" t="s">
        <v>222</v>
      </c>
      <c r="C163" s="33" t="s">
        <v>210</v>
      </c>
      <c r="D163" s="33"/>
      <c r="E163" s="33" t="n">
        <v>91</v>
      </c>
      <c r="F163" s="33" t="s">
        <v>36</v>
      </c>
      <c r="G163" s="33" t="s">
        <v>114</v>
      </c>
      <c r="H163" s="33" t="n">
        <v>2</v>
      </c>
      <c r="I163" s="33" t="n">
        <v>10</v>
      </c>
      <c r="J163" s="33" t="n">
        <v>10</v>
      </c>
      <c r="K163" s="32" t="n">
        <v>93</v>
      </c>
      <c r="L163" s="33" t="str">
        <f aca="false">IF($B163="","",IFERROR(INDEX('Code Mapping'!$D$5:$D$1753,MATCH($B163,'Code Mapping'!$A$5:$A$1753,0)),"Unmapped"))</f>
        <v>Al Jazeera Imtiyazat</v>
      </c>
      <c r="M163" s="33" t="str">
        <f aca="false">IF($B163="","",IFERROR(INDEX('Code Mapping'!$E$5:$E$1753,MATCH($B163,'Code Mapping'!$A$5:$A$1753,0)),"Unmapped"))</f>
        <v>Corporate discount</v>
      </c>
      <c r="N163" s="33" t="str">
        <f aca="false">IF($F163="","",$F163)</f>
        <v>InflataPark</v>
      </c>
    </row>
    <row r="164" customFormat="false" ht="15" hidden="false" customHeight="false" outlineLevel="0" collapsed="false">
      <c r="A164" s="33" t="n">
        <v>8098</v>
      </c>
      <c r="B164" s="33" t="s">
        <v>302</v>
      </c>
      <c r="C164" s="33" t="s">
        <v>210</v>
      </c>
      <c r="D164" s="33"/>
      <c r="E164" s="33" t="n">
        <v>61</v>
      </c>
      <c r="F164" s="33" t="s">
        <v>38</v>
      </c>
      <c r="G164" s="33" t="s">
        <v>114</v>
      </c>
      <c r="H164" s="33" t="n">
        <v>1</v>
      </c>
      <c r="I164" s="33" t="n">
        <v>1</v>
      </c>
      <c r="J164" s="33" t="n">
        <v>1</v>
      </c>
      <c r="K164" s="32" t="n">
        <v>5.25</v>
      </c>
      <c r="L164" s="33" t="str">
        <f aca="false">IF($B164="","",IFERROR(INDEX('Code Mapping'!$D$5:$D$1753,MATCH($B164,'Code Mapping'!$A$5:$A$1753,0)),"Unmapped"))</f>
        <v>Al Jazeera Imtiyazat</v>
      </c>
      <c r="M164" s="33" t="str">
        <f aca="false">IF($B164="","",IFERROR(INDEX('Code Mapping'!$E$5:$E$1753,MATCH($B164,'Code Mapping'!$A$5:$A$1753,0)),"Unmapped"))</f>
        <v>Corporate discount</v>
      </c>
      <c r="N164" s="33" t="str">
        <f aca="false">IF($F164="","",$F164)</f>
        <v>Crayons &amp; Bricks Vendome</v>
      </c>
    </row>
    <row r="165" customFormat="false" ht="15" hidden="false" customHeight="false" outlineLevel="0" collapsed="false">
      <c r="A165" s="33" t="n">
        <v>8047</v>
      </c>
      <c r="B165" s="33" t="s">
        <v>268</v>
      </c>
      <c r="C165" s="33" t="s">
        <v>200</v>
      </c>
      <c r="D165" s="33"/>
      <c r="E165" s="33" t="n">
        <v>91</v>
      </c>
      <c r="F165" s="33" t="s">
        <v>36</v>
      </c>
      <c r="G165" s="33" t="s">
        <v>114</v>
      </c>
      <c r="H165" s="33" t="n">
        <v>1</v>
      </c>
      <c r="I165" s="33" t="n">
        <v>8</v>
      </c>
      <c r="J165" s="33" t="n">
        <v>8</v>
      </c>
      <c r="K165" s="32" t="n">
        <v>78.75</v>
      </c>
      <c r="L165" s="33" t="str">
        <f aca="false">IF($B165="","",IFERROR(INDEX('Code Mapping'!$D$5:$D$1753,MATCH($B165,'Code Mapping'!$A$5:$A$1753,0)),"Unmapped"))</f>
        <v>Aspire</v>
      </c>
      <c r="M165" s="33" t="str">
        <f aca="false">IF($B165="","",IFERROR(INDEX('Code Mapping'!$E$5:$E$1753,MATCH($B165,'Code Mapping'!$A$5:$A$1753,0)),"Unmapped"))</f>
        <v>Corporate discount</v>
      </c>
      <c r="N165" s="33" t="str">
        <f aca="false">IF($F165="","",$F165)</f>
        <v>InflataPark</v>
      </c>
    </row>
    <row r="166" customFormat="false" ht="15" hidden="false" customHeight="false" outlineLevel="0" collapsed="false">
      <c r="A166" s="33" t="n">
        <v>8052</v>
      </c>
      <c r="B166" s="33" t="s">
        <v>149</v>
      </c>
      <c r="C166" s="33" t="s">
        <v>139</v>
      </c>
      <c r="D166" s="33" t="s">
        <v>140</v>
      </c>
      <c r="E166" s="33" t="n">
        <v>91</v>
      </c>
      <c r="F166" s="33" t="s">
        <v>36</v>
      </c>
      <c r="G166" s="33" t="s">
        <v>114</v>
      </c>
      <c r="H166" s="33" t="n">
        <v>101</v>
      </c>
      <c r="I166" s="33" t="n">
        <v>417</v>
      </c>
      <c r="J166" s="33" t="n">
        <v>417</v>
      </c>
      <c r="K166" s="32" t="n">
        <v>3174</v>
      </c>
      <c r="L166" s="33" t="str">
        <f aca="false">IF($B166="","",IFERROR(INDEX('Code Mapping'!$D$5:$D$1753,MATCH($B166,'Code Mapping'!$A$5:$A$1753,0)),"Unmapped"))</f>
        <v>Imtyazat</v>
      </c>
      <c r="M166" s="33" t="str">
        <f aca="false">IF($B166="","",IFERROR(INDEX('Code Mapping'!$E$5:$E$1753,MATCH($B166,'Code Mapping'!$A$5:$A$1753,0)),"Unmapped"))</f>
        <v>Corporate discount</v>
      </c>
      <c r="N166" s="33" t="str">
        <f aca="false">IF($F166="","",$F166)</f>
        <v>InflataPark</v>
      </c>
    </row>
    <row r="167" customFormat="false" ht="15" hidden="false" customHeight="false" outlineLevel="0" collapsed="false">
      <c r="A167" s="33" t="n">
        <v>8053</v>
      </c>
      <c r="B167" s="33" t="s">
        <v>160</v>
      </c>
      <c r="C167" s="33" t="s">
        <v>158</v>
      </c>
      <c r="D167" s="33"/>
      <c r="E167" s="33" t="n">
        <v>91</v>
      </c>
      <c r="F167" s="33" t="s">
        <v>36</v>
      </c>
      <c r="G167" s="33" t="s">
        <v>114</v>
      </c>
      <c r="H167" s="33" t="n">
        <v>56</v>
      </c>
      <c r="I167" s="33" t="n">
        <v>180</v>
      </c>
      <c r="J167" s="33" t="n">
        <v>180</v>
      </c>
      <c r="K167" s="32" t="n">
        <v>1776</v>
      </c>
      <c r="L167" s="33" t="str">
        <f aca="false">IF($B167="","",IFERROR(INDEX('Code Mapping'!$D$5:$D$1753,MATCH($B167,'Code Mapping'!$A$5:$A$1753,0)),"Unmapped"))</f>
        <v>Public Health Sector (Sogha)</v>
      </c>
      <c r="M167" s="33" t="str">
        <f aca="false">IF($B167="","",IFERROR(INDEX('Code Mapping'!$E$5:$E$1753,MATCH($B167,'Code Mapping'!$A$5:$A$1753,0)),"Unmapped"))</f>
        <v>Corporate discount</v>
      </c>
      <c r="N167" s="33" t="str">
        <f aca="false">IF($F167="","",$F167)</f>
        <v>InflataPark</v>
      </c>
    </row>
    <row r="168" customFormat="false" ht="15" hidden="false" customHeight="false" outlineLevel="0" collapsed="false">
      <c r="A168" s="33" t="n">
        <v>8055</v>
      </c>
      <c r="B168" s="33" t="s">
        <v>161</v>
      </c>
      <c r="C168" s="33" t="s">
        <v>151</v>
      </c>
      <c r="D168" s="33"/>
      <c r="E168" s="33" t="n">
        <v>91</v>
      </c>
      <c r="F168" s="33" t="s">
        <v>36</v>
      </c>
      <c r="G168" s="33" t="s">
        <v>114</v>
      </c>
      <c r="H168" s="33" t="n">
        <v>50</v>
      </c>
      <c r="I168" s="33" t="n">
        <v>156</v>
      </c>
      <c r="J168" s="33" t="n">
        <v>156</v>
      </c>
      <c r="K168" s="32" t="n">
        <v>1207.5</v>
      </c>
      <c r="L168" s="33" t="str">
        <f aca="false">IF($B168="","",IFERROR(INDEX('Code Mapping'!$D$5:$D$1753,MATCH($B168,'Code Mapping'!$A$5:$A$1753,0)),"Unmapped"))</f>
        <v>Qatar Airways</v>
      </c>
      <c r="M168" s="33" t="str">
        <f aca="false">IF($B168="","",IFERROR(INDEX('Code Mapping'!$E$5:$E$1753,MATCH($B168,'Code Mapping'!$A$5:$A$1753,0)),"Unmapped"))</f>
        <v>Corporate discount</v>
      </c>
      <c r="N168" s="33" t="str">
        <f aca="false">IF($F168="","",$F168)</f>
        <v>InflataPark</v>
      </c>
    </row>
    <row r="169" customFormat="false" ht="15" hidden="false" customHeight="false" outlineLevel="0" collapsed="false">
      <c r="A169" s="33" t="n">
        <v>8056</v>
      </c>
      <c r="B169" s="33" t="s">
        <v>189</v>
      </c>
      <c r="C169" s="33" t="s">
        <v>155</v>
      </c>
      <c r="D169" s="33"/>
      <c r="E169" s="33" t="n">
        <v>91</v>
      </c>
      <c r="F169" s="33" t="s">
        <v>36</v>
      </c>
      <c r="G169" s="33" t="s">
        <v>114</v>
      </c>
      <c r="H169" s="33" t="n">
        <v>10</v>
      </c>
      <c r="I169" s="33" t="n">
        <v>37</v>
      </c>
      <c r="J169" s="33" t="n">
        <v>37</v>
      </c>
      <c r="K169" s="32" t="n">
        <v>269.25</v>
      </c>
      <c r="L169" s="33" t="str">
        <f aca="false">IF($B169="","",IFERROR(INDEX('Code Mapping'!$D$5:$D$1753,MATCH($B169,'Code Mapping'!$A$5:$A$1753,0)),"Unmapped"))</f>
        <v>Qatar Foundation</v>
      </c>
      <c r="M169" s="33" t="str">
        <f aca="false">IF($B169="","",IFERROR(INDEX('Code Mapping'!$E$5:$E$1753,MATCH($B169,'Code Mapping'!$A$5:$A$1753,0)),"Unmapped"))</f>
        <v>Corporate discount</v>
      </c>
      <c r="N169" s="33" t="str">
        <f aca="false">IF($F169="","",$F169)</f>
        <v>InflataPark</v>
      </c>
    </row>
    <row r="170" customFormat="false" ht="15" hidden="false" customHeight="false" outlineLevel="0" collapsed="false">
      <c r="A170" s="33" t="n">
        <v>8057</v>
      </c>
      <c r="B170" s="33" t="s">
        <v>273</v>
      </c>
      <c r="C170" s="33" t="s">
        <v>245</v>
      </c>
      <c r="D170" s="33"/>
      <c r="E170" s="33" t="n">
        <v>91</v>
      </c>
      <c r="F170" s="33" t="s">
        <v>36</v>
      </c>
      <c r="G170" s="33" t="s">
        <v>114</v>
      </c>
      <c r="H170" s="33" t="n">
        <v>1</v>
      </c>
      <c r="I170" s="33" t="n">
        <v>2</v>
      </c>
      <c r="J170" s="33" t="n">
        <v>2</v>
      </c>
      <c r="K170" s="32" t="n">
        <v>10.5</v>
      </c>
      <c r="L170" s="33" t="str">
        <f aca="false">IF($B170="","",IFERROR(INDEX('Code Mapping'!$D$5:$D$1753,MATCH($B170,'Code Mapping'!$A$5:$A$1753,0)),"Unmapped"))</f>
        <v>Qatar Investment Authority</v>
      </c>
      <c r="M170" s="33" t="str">
        <f aca="false">IF($B170="","",IFERROR(INDEX('Code Mapping'!$E$5:$E$1753,MATCH($B170,'Code Mapping'!$A$5:$A$1753,0)),"Unmapped"))</f>
        <v>Corporate discount</v>
      </c>
      <c r="N170" s="33" t="str">
        <f aca="false">IF($F170="","",$F170)</f>
        <v>InflataPark</v>
      </c>
    </row>
    <row r="171" customFormat="false" ht="15" hidden="false" customHeight="false" outlineLevel="0" collapsed="false">
      <c r="A171" s="33" t="n">
        <v>8054</v>
      </c>
      <c r="B171" s="33" t="s">
        <v>276</v>
      </c>
      <c r="C171" s="33" t="s">
        <v>220</v>
      </c>
      <c r="D171" s="33"/>
      <c r="E171" s="33" t="n">
        <v>91</v>
      </c>
      <c r="F171" s="33" t="s">
        <v>36</v>
      </c>
      <c r="G171" s="33" t="s">
        <v>114</v>
      </c>
      <c r="H171" s="33" t="n">
        <v>4</v>
      </c>
      <c r="I171" s="33" t="n">
        <v>16</v>
      </c>
      <c r="J171" s="33" t="n">
        <v>16</v>
      </c>
      <c r="K171" s="32" t="n">
        <v>126.75</v>
      </c>
      <c r="L171" s="33" t="str">
        <f aca="false">IF($B171="","",IFERROR(INDEX('Code Mapping'!$D$5:$D$1753,MATCH($B171,'Code Mapping'!$A$5:$A$1753,0)),"Unmapped"))</f>
        <v>QIB</v>
      </c>
      <c r="M171" s="33" t="str">
        <f aca="false">IF($B171="","",IFERROR(INDEX('Code Mapping'!$E$5:$E$1753,MATCH($B171,'Code Mapping'!$A$5:$A$1753,0)),"Unmapped"))</f>
        <v>Corporate discount</v>
      </c>
      <c r="N171" s="33" t="str">
        <f aca="false">IF($F171="","",$F171)</f>
        <v>InflataPark</v>
      </c>
    </row>
    <row r="172" customFormat="false" ht="15" hidden="false" customHeight="false" outlineLevel="0" collapsed="false">
      <c r="A172" s="33" t="n">
        <v>8045</v>
      </c>
      <c r="B172" s="33" t="s">
        <v>208</v>
      </c>
      <c r="C172" s="33" t="s">
        <v>170</v>
      </c>
      <c r="D172" s="33"/>
      <c r="E172" s="33" t="n">
        <v>91</v>
      </c>
      <c r="F172" s="33" t="s">
        <v>36</v>
      </c>
      <c r="G172" s="33" t="s">
        <v>114</v>
      </c>
      <c r="H172" s="33" t="n">
        <v>13</v>
      </c>
      <c r="I172" s="33" t="n">
        <v>13</v>
      </c>
      <c r="J172" s="33" t="n">
        <v>13</v>
      </c>
      <c r="K172" s="32" t="n">
        <v>2587</v>
      </c>
      <c r="L172" s="33" t="str">
        <f aca="false">IF($B172="","",IFERROR(INDEX('Code Mapping'!$D$5:$D$1753,MATCH($B172,'Code Mapping'!$A$5:$A$1753,0)),"Unmapped"))</f>
        <v>Urban Point</v>
      </c>
      <c r="M172" s="33" t="str">
        <f aca="false">IF($B172="","",IFERROR(INDEX('Code Mapping'!$E$5:$E$1753,MATCH($B172,'Code Mapping'!$A$5:$A$1753,0)),"Unmapped"))</f>
        <v>Aggregator BOGO</v>
      </c>
      <c r="N172" s="33" t="str">
        <f aca="false">IF($F172="","",$F172)</f>
        <v>InflataPark</v>
      </c>
    </row>
    <row r="173" customFormat="false" ht="15" hidden="false" customHeight="false" outlineLevel="0" collapsed="false">
      <c r="A173" s="33" t="n">
        <v>8042</v>
      </c>
      <c r="B173" s="33" t="s">
        <v>269</v>
      </c>
      <c r="C173" s="33" t="s">
        <v>179</v>
      </c>
      <c r="D173" s="33"/>
      <c r="E173" s="33" t="n">
        <v>91</v>
      </c>
      <c r="F173" s="33" t="s">
        <v>36</v>
      </c>
      <c r="G173" s="33" t="s">
        <v>114</v>
      </c>
      <c r="H173" s="33" t="n">
        <v>5</v>
      </c>
      <c r="I173" s="33" t="n">
        <v>5</v>
      </c>
      <c r="J173" s="33" t="n">
        <v>5</v>
      </c>
      <c r="K173" s="32" t="n">
        <v>995</v>
      </c>
      <c r="L173" s="33" t="str">
        <f aca="false">IF($B173="","",IFERROR(INDEX('Code Mapping'!$D$5:$D$1753,MATCH($B173,'Code Mapping'!$A$5:$A$1753,0)),"Unmapped"))</f>
        <v>Entertainer</v>
      </c>
      <c r="M173" s="33" t="str">
        <f aca="false">IF($B173="","",IFERROR(INDEX('Code Mapping'!$E$5:$E$1753,MATCH($B173,'Code Mapping'!$A$5:$A$1753,0)),"Unmapped"))</f>
        <v>Aggregator BOGO</v>
      </c>
      <c r="N173" s="33" t="str">
        <f aca="false">IF($F173="","",$F173)</f>
        <v>InflataPark</v>
      </c>
    </row>
    <row r="174" customFormat="false" ht="15" hidden="false" customHeight="false" outlineLevel="0" collapsed="false">
      <c r="A174" s="33" t="n">
        <v>8253</v>
      </c>
      <c r="B174" s="33" t="s">
        <v>437</v>
      </c>
      <c r="C174" s="33" t="s">
        <v>438</v>
      </c>
      <c r="D174" s="33" t="s">
        <v>140</v>
      </c>
      <c r="E174" s="33" t="n">
        <v>133</v>
      </c>
      <c r="F174" s="33" t="s">
        <v>35</v>
      </c>
      <c r="G174" s="33" t="s">
        <v>113</v>
      </c>
      <c r="H174" s="33" t="n">
        <v>1</v>
      </c>
      <c r="I174" s="33" t="n">
        <v>7</v>
      </c>
      <c r="J174" s="33" t="n">
        <v>7</v>
      </c>
      <c r="K174" s="32" t="n">
        <v>262.5</v>
      </c>
      <c r="L174" s="33" t="str">
        <f aca="false">IF($B174="","",IFERROR(INDEX('Code Mapping'!$D$5:$D$1753,MATCH($B174,'Code Mapping'!$A$5:$A$1753,0)),"Unmapped"))</f>
        <v>Unmapped</v>
      </c>
      <c r="M174" s="33" t="str">
        <f aca="false">IF($B174="","",IFERROR(INDEX('Code Mapping'!$E$5:$E$1753,MATCH($B174,'Code Mapping'!$A$5:$A$1753,0)),"Unmapped"))</f>
        <v>Unmapped</v>
      </c>
      <c r="N174" s="33" t="str">
        <f aca="false">IF($F174="","",$F174)</f>
        <v>Urban Arena</v>
      </c>
    </row>
    <row r="175" customFormat="false" ht="15" hidden="false" customHeight="false" outlineLevel="0" collapsed="false">
      <c r="A175" s="33" t="n">
        <v>8075</v>
      </c>
      <c r="B175" s="33" t="s">
        <v>186</v>
      </c>
      <c r="C175" s="33" t="s">
        <v>139</v>
      </c>
      <c r="D175" s="33"/>
      <c r="E175" s="33" t="n">
        <v>133</v>
      </c>
      <c r="F175" s="33" t="s">
        <v>35</v>
      </c>
      <c r="G175" s="33" t="s">
        <v>113</v>
      </c>
      <c r="H175" s="33" t="n">
        <v>18</v>
      </c>
      <c r="I175" s="33" t="n">
        <v>67</v>
      </c>
      <c r="J175" s="33" t="n">
        <v>67</v>
      </c>
      <c r="K175" s="32" t="n">
        <v>501</v>
      </c>
      <c r="L175" s="33" t="str">
        <f aca="false">IF($B175="","",IFERROR(INDEX('Code Mapping'!$D$5:$D$1753,MATCH($B175,'Code Mapping'!$A$5:$A$1753,0)),"Unmapped"))</f>
        <v>Imtyazat</v>
      </c>
      <c r="M175" s="33" t="str">
        <f aca="false">IF($B175="","",IFERROR(INDEX('Code Mapping'!$E$5:$E$1753,MATCH($B175,'Code Mapping'!$A$5:$A$1753,0)),"Unmapped"))</f>
        <v>Corporate discount</v>
      </c>
      <c r="N175" s="33" t="str">
        <f aca="false">IF($F175="","",$F175)</f>
        <v>Urban Arena</v>
      </c>
    </row>
    <row r="176" customFormat="false" ht="15" hidden="false" customHeight="false" outlineLevel="0" collapsed="false">
      <c r="A176" s="33" t="n">
        <v>8114</v>
      </c>
      <c r="B176" s="33" t="s">
        <v>262</v>
      </c>
      <c r="C176" s="33"/>
      <c r="D176" s="33" t="s">
        <v>140</v>
      </c>
      <c r="E176" s="33" t="n">
        <v>133</v>
      </c>
      <c r="F176" s="33" t="s">
        <v>35</v>
      </c>
      <c r="G176" s="33" t="s">
        <v>113</v>
      </c>
      <c r="H176" s="33" t="n">
        <v>6</v>
      </c>
      <c r="I176" s="33" t="n">
        <v>6</v>
      </c>
      <c r="J176" s="33" t="n">
        <v>6</v>
      </c>
      <c r="K176" s="32" t="n">
        <v>22</v>
      </c>
      <c r="L176" s="33" t="str">
        <f aca="false">IF($B176="","",IFERROR(INDEX('Code Mapping'!$D$5:$D$1753,MATCH($B176,'Code Mapping'!$A$5:$A$1753,0)),"Unmapped"))</f>
        <v>Internal / promotion</v>
      </c>
      <c r="M176" s="33" t="str">
        <f aca="false">IF($B176="","",IFERROR(INDEX('Code Mapping'!$E$5:$E$1753,MATCH($B176,'Code Mapping'!$A$5:$A$1753,0)),"Unmapped"))</f>
        <v>Internal / promotion</v>
      </c>
      <c r="N176" s="33" t="str">
        <f aca="false">IF($F176="","",$F176)</f>
        <v>Urban Arena</v>
      </c>
    </row>
    <row r="177" customFormat="false" ht="15" hidden="false" customHeight="false" outlineLevel="0" collapsed="false">
      <c r="A177" s="33" t="n">
        <v>8067</v>
      </c>
      <c r="B177" s="33" t="s">
        <v>233</v>
      </c>
      <c r="C177" s="33" t="s">
        <v>168</v>
      </c>
      <c r="D177" s="33"/>
      <c r="E177" s="33" t="n">
        <v>94</v>
      </c>
      <c r="F177" s="33" t="s">
        <v>37</v>
      </c>
      <c r="G177" s="33" t="s">
        <v>113</v>
      </c>
      <c r="H177" s="33" t="n">
        <v>5</v>
      </c>
      <c r="I177" s="33" t="n">
        <v>5</v>
      </c>
      <c r="J177" s="33" t="n">
        <v>5</v>
      </c>
      <c r="K177" s="32" t="n">
        <v>995</v>
      </c>
      <c r="L177" s="33" t="str">
        <f aca="false">IF($B177="","",IFERROR(INDEX('Code Mapping'!$D$5:$D$1753,MATCH($B177,'Code Mapping'!$A$5:$A$1753,0)),"Unmapped"))</f>
        <v>My Book</v>
      </c>
      <c r="M177" s="33" t="str">
        <f aca="false">IF($B177="","",IFERROR(INDEX('Code Mapping'!$E$5:$E$1753,MATCH($B177,'Code Mapping'!$A$5:$A$1753,0)),"Unmapped"))</f>
        <v>Aggregator BOGO</v>
      </c>
      <c r="N177" s="33" t="str">
        <f aca="false">IF($F177="","",$F177)</f>
        <v>Kids City Driving School</v>
      </c>
    </row>
    <row r="178" customFormat="false" ht="15" hidden="false" customHeight="false" outlineLevel="0" collapsed="false">
      <c r="A178" s="33" t="n">
        <v>6827</v>
      </c>
      <c r="B178" s="33" t="s">
        <v>182</v>
      </c>
      <c r="C178" s="33"/>
      <c r="D178" s="33"/>
      <c r="E178" s="33" t="n">
        <v>61</v>
      </c>
      <c r="F178" s="33" t="s">
        <v>38</v>
      </c>
      <c r="G178" s="33" t="s">
        <v>113</v>
      </c>
      <c r="H178" s="33" t="n">
        <v>20</v>
      </c>
      <c r="I178" s="33" t="n">
        <v>20</v>
      </c>
      <c r="J178" s="33" t="n">
        <v>20</v>
      </c>
      <c r="K178" s="32" t="n">
        <v>2000</v>
      </c>
      <c r="L178" s="33" t="str">
        <f aca="false">IF($B178="","",IFERROR(INDEX('Code Mapping'!$D$5:$D$1753,MATCH($B178,'Code Mapping'!$A$5:$A$1753,0)),"Unmapped"))</f>
        <v>My Book</v>
      </c>
      <c r="M178" s="33" t="str">
        <f aca="false">IF($B178="","",IFERROR(INDEX('Code Mapping'!$E$5:$E$1753,MATCH($B178,'Code Mapping'!$A$5:$A$1753,0)),"Unmapped"))</f>
        <v>Aggregator BOGO</v>
      </c>
      <c r="N178" s="33" t="str">
        <f aca="false">IF($F178="","",$F178)</f>
        <v>Crayons &amp; Bricks Vendome</v>
      </c>
    </row>
    <row r="179" customFormat="false" ht="15" hidden="false" customHeight="false" outlineLevel="0" collapsed="false">
      <c r="A179" s="33" t="n">
        <v>8103</v>
      </c>
      <c r="B179" s="33" t="s">
        <v>266</v>
      </c>
      <c r="C179" s="33" t="s">
        <v>139</v>
      </c>
      <c r="D179" s="33"/>
      <c r="E179" s="33" t="n">
        <v>61</v>
      </c>
      <c r="F179" s="33" t="s">
        <v>38</v>
      </c>
      <c r="G179" s="33" t="s">
        <v>113</v>
      </c>
      <c r="H179" s="33" t="n">
        <v>3</v>
      </c>
      <c r="I179" s="33" t="n">
        <v>7</v>
      </c>
      <c r="J179" s="33" t="n">
        <v>7</v>
      </c>
      <c r="K179" s="32" t="n">
        <v>36.75</v>
      </c>
      <c r="L179" s="33" t="str">
        <f aca="false">IF($B179="","",IFERROR(INDEX('Code Mapping'!$D$5:$D$1753,MATCH($B179,'Code Mapping'!$A$5:$A$1753,0)),"Unmapped"))</f>
        <v>Imtyazat</v>
      </c>
      <c r="M179" s="33" t="str">
        <f aca="false">IF($B179="","",IFERROR(INDEX('Code Mapping'!$E$5:$E$1753,MATCH($B179,'Code Mapping'!$A$5:$A$1753,0)),"Unmapped"))</f>
        <v>Corporate discount</v>
      </c>
      <c r="N179" s="33" t="str">
        <f aca="false">IF($F179="","",$F179)</f>
        <v>Crayons &amp; Bricks Vendome</v>
      </c>
    </row>
    <row r="180" customFormat="false" ht="15" hidden="false" customHeight="false" outlineLevel="0" collapsed="false">
      <c r="A180" s="33" t="n">
        <v>8068</v>
      </c>
      <c r="B180" s="33" t="s">
        <v>190</v>
      </c>
      <c r="C180" s="33" t="s">
        <v>170</v>
      </c>
      <c r="D180" s="33"/>
      <c r="E180" s="33" t="n">
        <v>94</v>
      </c>
      <c r="F180" s="33" t="s">
        <v>37</v>
      </c>
      <c r="G180" s="33" t="s">
        <v>113</v>
      </c>
      <c r="H180" s="33" t="n">
        <v>19</v>
      </c>
      <c r="I180" s="33" t="n">
        <v>19</v>
      </c>
      <c r="J180" s="33" t="n">
        <v>19</v>
      </c>
      <c r="K180" s="32" t="n">
        <v>3781</v>
      </c>
      <c r="L180" s="33" t="str">
        <f aca="false">IF($B180="","",IFERROR(INDEX('Code Mapping'!$D$5:$D$1753,MATCH($B180,'Code Mapping'!$A$5:$A$1753,0)),"Unmapped"))</f>
        <v>Urban Point</v>
      </c>
      <c r="M180" s="33" t="str">
        <f aca="false">IF($B180="","",IFERROR(INDEX('Code Mapping'!$E$5:$E$1753,MATCH($B180,'Code Mapping'!$A$5:$A$1753,0)),"Unmapped"))</f>
        <v>Aggregator BOGO</v>
      </c>
      <c r="N180" s="33" t="str">
        <f aca="false">IF($F180="","",$F180)</f>
        <v>Kids City Driving School</v>
      </c>
    </row>
    <row r="181" customFormat="false" ht="15" hidden="false" customHeight="false" outlineLevel="0" collapsed="false">
      <c r="A181" s="33" t="n">
        <v>8244</v>
      </c>
      <c r="B181" s="33" t="s">
        <v>298</v>
      </c>
      <c r="C181" s="33" t="s">
        <v>299</v>
      </c>
      <c r="D181" s="33"/>
      <c r="E181" s="33" t="n">
        <v>133</v>
      </c>
      <c r="F181" s="33" t="s">
        <v>35</v>
      </c>
      <c r="G181" s="33" t="s">
        <v>113</v>
      </c>
      <c r="H181" s="33" t="n">
        <v>2</v>
      </c>
      <c r="I181" s="33" t="n">
        <v>2</v>
      </c>
      <c r="J181" s="33" t="n">
        <v>2</v>
      </c>
      <c r="K181" s="32" t="n">
        <v>90</v>
      </c>
      <c r="L181" s="33" t="str">
        <f aca="false">IF($B181="","",IFERROR(INDEX('Code Mapping'!$D$5:$D$1753,MATCH($B181,'Code Mapping'!$A$5:$A$1753,0)),"Unmapped"))</f>
        <v>Unmapped</v>
      </c>
      <c r="M181" s="33" t="str">
        <f aca="false">IF($B181="","",IFERROR(INDEX('Code Mapping'!$E$5:$E$1753,MATCH($B181,'Code Mapping'!$A$5:$A$1753,0)),"Unmapped"))</f>
        <v>Unmapped</v>
      </c>
      <c r="N181" s="33" t="str">
        <f aca="false">IF($F181="","",$F181)</f>
        <v>Urban Arena</v>
      </c>
    </row>
    <row r="182" customFormat="false" ht="15" hidden="false" customHeight="false" outlineLevel="0" collapsed="false">
      <c r="A182" s="33" t="n">
        <v>8312</v>
      </c>
      <c r="B182" s="33" t="s">
        <v>290</v>
      </c>
      <c r="C182" s="33" t="s">
        <v>291</v>
      </c>
      <c r="D182" s="33" t="s">
        <v>140</v>
      </c>
      <c r="E182" s="33" t="n">
        <v>133</v>
      </c>
      <c r="F182" s="33" t="s">
        <v>35</v>
      </c>
      <c r="G182" s="33" t="s">
        <v>113</v>
      </c>
      <c r="H182" s="33" t="n">
        <v>1</v>
      </c>
      <c r="I182" s="33" t="n">
        <v>3</v>
      </c>
      <c r="J182" s="33" t="n">
        <v>3</v>
      </c>
      <c r="K182" s="32" t="n">
        <v>92.5</v>
      </c>
      <c r="L182" s="33" t="str">
        <f aca="false">IF($B182="","",IFERROR(INDEX('Code Mapping'!$D$5:$D$1753,MATCH($B182,'Code Mapping'!$A$5:$A$1753,0)),"Unmapped"))</f>
        <v>Unmapped</v>
      </c>
      <c r="M182" s="33" t="str">
        <f aca="false">IF($B182="","",IFERROR(INDEX('Code Mapping'!$E$5:$E$1753,MATCH($B182,'Code Mapping'!$A$5:$A$1753,0)),"Unmapped"))</f>
        <v>Unmapped</v>
      </c>
      <c r="N182" s="33" t="str">
        <f aca="false">IF($F182="","",$F182)</f>
        <v>Urban Arena</v>
      </c>
    </row>
    <row r="183" customFormat="false" ht="15" hidden="false" customHeight="false" outlineLevel="0" collapsed="false">
      <c r="A183" s="33" t="n">
        <v>8078</v>
      </c>
      <c r="B183" s="33" t="s">
        <v>150</v>
      </c>
      <c r="C183" s="33" t="s">
        <v>151</v>
      </c>
      <c r="D183" s="33"/>
      <c r="E183" s="33" t="n">
        <v>133</v>
      </c>
      <c r="F183" s="33" t="s">
        <v>35</v>
      </c>
      <c r="G183" s="33" t="s">
        <v>113</v>
      </c>
      <c r="H183" s="33" t="n">
        <v>53</v>
      </c>
      <c r="I183" s="33" t="n">
        <v>185</v>
      </c>
      <c r="J183" s="33" t="n">
        <v>185</v>
      </c>
      <c r="K183" s="32" t="n">
        <v>1409.25</v>
      </c>
      <c r="L183" s="33" t="str">
        <f aca="false">IF($B183="","",IFERROR(INDEX('Code Mapping'!$D$5:$D$1753,MATCH($B183,'Code Mapping'!$A$5:$A$1753,0)),"Unmapped"))</f>
        <v>Qatar Airways</v>
      </c>
      <c r="M183" s="33" t="str">
        <f aca="false">IF($B183="","",IFERROR(INDEX('Code Mapping'!$E$5:$E$1753,MATCH($B183,'Code Mapping'!$A$5:$A$1753,0)),"Unmapped"))</f>
        <v>Corporate discount</v>
      </c>
      <c r="N183" s="33" t="str">
        <f aca="false">IF($F183="","",$F183)</f>
        <v>Urban Arena</v>
      </c>
    </row>
    <row r="184" customFormat="false" ht="15" hidden="false" customHeight="false" outlineLevel="0" collapsed="false">
      <c r="A184" s="33" t="n">
        <v>8081</v>
      </c>
      <c r="B184" s="33" t="s">
        <v>223</v>
      </c>
      <c r="C184" s="33" t="s">
        <v>224</v>
      </c>
      <c r="D184" s="33"/>
      <c r="E184" s="33" t="n">
        <v>133</v>
      </c>
      <c r="F184" s="33" t="s">
        <v>35</v>
      </c>
      <c r="G184" s="33" t="s">
        <v>113</v>
      </c>
      <c r="H184" s="33" t="n">
        <v>3</v>
      </c>
      <c r="I184" s="33" t="n">
        <v>10</v>
      </c>
      <c r="J184" s="33" t="n">
        <v>10</v>
      </c>
      <c r="K184" s="32" t="n">
        <v>79.5</v>
      </c>
      <c r="L184" s="33" t="str">
        <f aca="false">IF($B184="","",IFERROR(INDEX('Code Mapping'!$D$5:$D$1753,MATCH($B184,'Code Mapping'!$A$5:$A$1753,0)),"Unmapped"))</f>
        <v>Qatar Media Corporation</v>
      </c>
      <c r="M184" s="33" t="str">
        <f aca="false">IF($B184="","",IFERROR(INDEX('Code Mapping'!$E$5:$E$1753,MATCH($B184,'Code Mapping'!$A$5:$A$1753,0)),"Unmapped"))</f>
        <v>Corporate discount</v>
      </c>
      <c r="N184" s="33" t="str">
        <f aca="false">IF($F184="","",$F184)</f>
        <v>Urban Arena</v>
      </c>
    </row>
    <row r="185" customFormat="false" ht="15" hidden="false" customHeight="false" outlineLevel="0" collapsed="false">
      <c r="A185" s="33" t="n">
        <v>8093</v>
      </c>
      <c r="B185" s="33" t="s">
        <v>167</v>
      </c>
      <c r="C185" s="33" t="s">
        <v>168</v>
      </c>
      <c r="D185" s="33"/>
      <c r="E185" s="33" t="n">
        <v>133</v>
      </c>
      <c r="F185" s="33" t="s">
        <v>35</v>
      </c>
      <c r="G185" s="33" t="s">
        <v>113</v>
      </c>
      <c r="H185" s="33" t="n">
        <v>24</v>
      </c>
      <c r="I185" s="33" t="n">
        <v>24</v>
      </c>
      <c r="J185" s="33" t="n">
        <v>24</v>
      </c>
      <c r="K185" s="32" t="n">
        <v>4776</v>
      </c>
      <c r="L185" s="33" t="str">
        <f aca="false">IF($B185="","",IFERROR(INDEX('Code Mapping'!$D$5:$D$1753,MATCH($B185,'Code Mapping'!$A$5:$A$1753,0)),"Unmapped"))</f>
        <v>My Book</v>
      </c>
      <c r="M185" s="33" t="str">
        <f aca="false">IF($B185="","",IFERROR(INDEX('Code Mapping'!$E$5:$E$1753,MATCH($B185,'Code Mapping'!$A$5:$A$1753,0)),"Unmapped"))</f>
        <v>Aggregator BOGO</v>
      </c>
      <c r="N185" s="33" t="str">
        <f aca="false">IF($F185="","",$F185)</f>
        <v>Urban Arena</v>
      </c>
    </row>
    <row r="186" customFormat="false" ht="15" hidden="false" customHeight="false" outlineLevel="0" collapsed="false">
      <c r="A186" s="33" t="n">
        <v>8091</v>
      </c>
      <c r="B186" s="33" t="s">
        <v>252</v>
      </c>
      <c r="C186" s="33" t="s">
        <v>253</v>
      </c>
      <c r="D186" s="33"/>
      <c r="E186" s="33" t="n">
        <v>133</v>
      </c>
      <c r="F186" s="33" t="s">
        <v>35</v>
      </c>
      <c r="G186" s="33" t="s">
        <v>113</v>
      </c>
      <c r="H186" s="33" t="n">
        <v>6</v>
      </c>
      <c r="I186" s="33" t="n">
        <v>6</v>
      </c>
      <c r="J186" s="33" t="n">
        <v>6</v>
      </c>
      <c r="K186" s="32" t="n">
        <v>1194</v>
      </c>
      <c r="L186" s="33" t="str">
        <f aca="false">IF($B186="","",IFERROR(INDEX('Code Mapping'!$D$5:$D$1753,MATCH($B186,'Code Mapping'!$A$5:$A$1753,0)),"Unmapped"))</f>
        <v>Classmate</v>
      </c>
      <c r="M186" s="33" t="str">
        <f aca="false">IF($B186="","",IFERROR(INDEX('Code Mapping'!$E$5:$E$1753,MATCH($B186,'Code Mapping'!$A$5:$A$1753,0)),"Unmapped"))</f>
        <v>Aggregator BOGO</v>
      </c>
      <c r="N186" s="33" t="str">
        <f aca="false">IF($F186="","",$F186)</f>
        <v>Urban Arena</v>
      </c>
    </row>
    <row r="187" customFormat="false" ht="15" hidden="false" customHeight="false" outlineLevel="0" collapsed="false">
      <c r="A187" s="33" t="n">
        <v>8094</v>
      </c>
      <c r="B187" s="33" t="s">
        <v>169</v>
      </c>
      <c r="C187" s="33" t="s">
        <v>170</v>
      </c>
      <c r="D187" s="33"/>
      <c r="E187" s="33" t="n">
        <v>133</v>
      </c>
      <c r="F187" s="33" t="s">
        <v>35</v>
      </c>
      <c r="G187" s="33" t="s">
        <v>113</v>
      </c>
      <c r="H187" s="33" t="n">
        <v>48</v>
      </c>
      <c r="I187" s="33" t="n">
        <v>48</v>
      </c>
      <c r="J187" s="33" t="n">
        <v>48</v>
      </c>
      <c r="K187" s="32" t="n">
        <v>9552</v>
      </c>
      <c r="L187" s="33" t="str">
        <f aca="false">IF($B187="","",IFERROR(INDEX('Code Mapping'!$D$5:$D$1753,MATCH($B187,'Code Mapping'!$A$5:$A$1753,0)),"Unmapped"))</f>
        <v>Urban Point</v>
      </c>
      <c r="M187" s="33" t="str">
        <f aca="false">IF($B187="","",IFERROR(INDEX('Code Mapping'!$E$5:$E$1753,MATCH($B187,'Code Mapping'!$A$5:$A$1753,0)),"Unmapped"))</f>
        <v>Aggregator BOGO</v>
      </c>
      <c r="N187" s="33" t="str">
        <f aca="false">IF($F187="","",$F187)</f>
        <v>Urban Arena</v>
      </c>
    </row>
    <row r="188" customFormat="false" ht="15" hidden="false" customHeight="false" outlineLevel="0" collapsed="false">
      <c r="A188" s="33" t="n">
        <v>8092</v>
      </c>
      <c r="B188" s="33" t="s">
        <v>214</v>
      </c>
      <c r="C188" s="33" t="s">
        <v>179</v>
      </c>
      <c r="D188" s="33"/>
      <c r="E188" s="33" t="n">
        <v>133</v>
      </c>
      <c r="F188" s="33" t="s">
        <v>35</v>
      </c>
      <c r="G188" s="33" t="s">
        <v>113</v>
      </c>
      <c r="H188" s="33" t="n">
        <v>13</v>
      </c>
      <c r="I188" s="33" t="n">
        <v>13</v>
      </c>
      <c r="J188" s="33" t="n">
        <v>13</v>
      </c>
      <c r="K188" s="32" t="n">
        <v>2587</v>
      </c>
      <c r="L188" s="33" t="str">
        <f aca="false">IF($B188="","",IFERROR(INDEX('Code Mapping'!$D$5:$D$1753,MATCH($B188,'Code Mapping'!$A$5:$A$1753,0)),"Unmapped"))</f>
        <v>Entertainer</v>
      </c>
      <c r="M188" s="33" t="str">
        <f aca="false">IF($B188="","",IFERROR(INDEX('Code Mapping'!$E$5:$E$1753,MATCH($B188,'Code Mapping'!$A$5:$A$1753,0)),"Unmapped"))</f>
        <v>Aggregator BOGO</v>
      </c>
      <c r="N188" s="33" t="str">
        <f aca="false">IF($F188="","",$F188)</f>
        <v>Urban Arena</v>
      </c>
    </row>
    <row r="189" customFormat="false" ht="15" hidden="false" customHeight="false" outlineLevel="0" collapsed="false">
      <c r="A189" s="33" t="n">
        <v>8076</v>
      </c>
      <c r="B189" s="33" t="s">
        <v>157</v>
      </c>
      <c r="C189" s="33" t="s">
        <v>158</v>
      </c>
      <c r="D189" s="33"/>
      <c r="E189" s="33" t="n">
        <v>133</v>
      </c>
      <c r="F189" s="33" t="s">
        <v>35</v>
      </c>
      <c r="G189" s="33" t="s">
        <v>113</v>
      </c>
      <c r="H189" s="33" t="n">
        <v>46</v>
      </c>
      <c r="I189" s="33" t="n">
        <v>213</v>
      </c>
      <c r="J189" s="33" t="n">
        <v>213</v>
      </c>
      <c r="K189" s="32" t="n">
        <v>1922.75</v>
      </c>
      <c r="L189" s="33" t="str">
        <f aca="false">IF($B189="","",IFERROR(INDEX('Code Mapping'!$D$5:$D$1753,MATCH($B189,'Code Mapping'!$A$5:$A$1753,0)),"Unmapped"))</f>
        <v>Public Health Sector (Sogha)</v>
      </c>
      <c r="M189" s="33" t="str">
        <f aca="false">IF($B189="","",IFERROR(INDEX('Code Mapping'!$E$5:$E$1753,MATCH($B189,'Code Mapping'!$A$5:$A$1753,0)),"Unmapped"))</f>
        <v>Corporate discount</v>
      </c>
      <c r="N189" s="33" t="str">
        <f aca="false">IF($F189="","",$F189)</f>
        <v>Urban Arena</v>
      </c>
    </row>
    <row r="190" customFormat="false" ht="15" hidden="false" customHeight="false" outlineLevel="0" collapsed="false">
      <c r="A190" s="33" t="n">
        <v>8069</v>
      </c>
      <c r="B190" s="33" t="s">
        <v>209</v>
      </c>
      <c r="C190" s="33" t="s">
        <v>210</v>
      </c>
      <c r="D190" s="33"/>
      <c r="E190" s="33" t="n">
        <v>133</v>
      </c>
      <c r="F190" s="33" t="s">
        <v>35</v>
      </c>
      <c r="G190" s="33" t="s">
        <v>113</v>
      </c>
      <c r="H190" s="33" t="n">
        <v>6</v>
      </c>
      <c r="I190" s="33" t="n">
        <v>31</v>
      </c>
      <c r="J190" s="33" t="n">
        <v>31</v>
      </c>
      <c r="K190" s="32" t="n">
        <v>227.25</v>
      </c>
      <c r="L190" s="33" t="str">
        <f aca="false">IF($B190="","",IFERROR(INDEX('Code Mapping'!$D$5:$D$1753,MATCH($B190,'Code Mapping'!$A$5:$A$1753,0)),"Unmapped"))</f>
        <v>Al Jazeera Imtiyazat</v>
      </c>
      <c r="M190" s="33" t="str">
        <f aca="false">IF($B190="","",IFERROR(INDEX('Code Mapping'!$E$5:$E$1753,MATCH($B190,'Code Mapping'!$A$5:$A$1753,0)),"Unmapped"))</f>
        <v>Corporate discount</v>
      </c>
      <c r="N190" s="33" t="str">
        <f aca="false">IF($F190="","",$F190)</f>
        <v>Urban Arena</v>
      </c>
    </row>
    <row r="191" customFormat="false" ht="15" hidden="false" customHeight="false" outlineLevel="0" collapsed="false">
      <c r="A191" s="33" t="n">
        <v>8059</v>
      </c>
      <c r="B191" s="33" t="s">
        <v>217</v>
      </c>
      <c r="C191" s="33" t="s">
        <v>218</v>
      </c>
      <c r="D191" s="33"/>
      <c r="E191" s="33" t="n">
        <v>94</v>
      </c>
      <c r="F191" s="33" t="s">
        <v>37</v>
      </c>
      <c r="G191" s="33" t="s">
        <v>113</v>
      </c>
      <c r="H191" s="33" t="n">
        <v>13</v>
      </c>
      <c r="I191" s="33" t="n">
        <v>39</v>
      </c>
      <c r="J191" s="33" t="n">
        <v>39</v>
      </c>
      <c r="K191" s="32" t="n">
        <v>256.5</v>
      </c>
      <c r="L191" s="33" t="str">
        <f aca="false">IF($B191="","",IFERROR(INDEX('Code Mapping'!$D$5:$D$1753,MATCH($B191,'Code Mapping'!$A$5:$A$1753,0)),"Unmapped"))</f>
        <v>Al Jazeera Imtiyazat</v>
      </c>
      <c r="M191" s="33" t="str">
        <f aca="false">IF($B191="","",IFERROR(INDEX('Code Mapping'!$E$5:$E$1753,MATCH($B191,'Code Mapping'!$A$5:$A$1753,0)),"Unmapped"))</f>
        <v>Corporate discount</v>
      </c>
      <c r="N191" s="33" t="str">
        <f aca="false">IF($F191="","",$F191)</f>
        <v>Kids City Driving School</v>
      </c>
    </row>
    <row r="192" customFormat="false" ht="15" hidden="false" customHeight="false" outlineLevel="0" collapsed="false">
      <c r="A192" s="33" t="n">
        <v>8065</v>
      </c>
      <c r="B192" s="33" t="s">
        <v>138</v>
      </c>
      <c r="C192" s="33" t="s">
        <v>139</v>
      </c>
      <c r="D192" s="33" t="s">
        <v>140</v>
      </c>
      <c r="E192" s="33" t="n">
        <v>94</v>
      </c>
      <c r="F192" s="33" t="s">
        <v>37</v>
      </c>
      <c r="G192" s="33" t="s">
        <v>113</v>
      </c>
      <c r="H192" s="33" t="n">
        <v>149</v>
      </c>
      <c r="I192" s="33" t="n">
        <v>468</v>
      </c>
      <c r="J192" s="33" t="n">
        <v>468</v>
      </c>
      <c r="K192" s="32" t="n">
        <v>3425.7</v>
      </c>
      <c r="L192" s="33" t="str">
        <f aca="false">IF($B192="","",IFERROR(INDEX('Code Mapping'!$D$5:$D$1753,MATCH($B192,'Code Mapping'!$A$5:$A$1753,0)),"Unmapped"))</f>
        <v>Imtyazat</v>
      </c>
      <c r="M192" s="33" t="str">
        <f aca="false">IF($B192="","",IFERROR(INDEX('Code Mapping'!$E$5:$E$1753,MATCH($B192,'Code Mapping'!$A$5:$A$1753,0)),"Unmapped"))</f>
        <v>Corporate discount</v>
      </c>
      <c r="N192" s="33" t="str">
        <f aca="false">IF($F192="","",$F192)</f>
        <v>Kids City Driving School</v>
      </c>
    </row>
    <row r="193" customFormat="false" ht="15" hidden="false" customHeight="false" outlineLevel="0" collapsed="false">
      <c r="A193" s="33" t="n">
        <v>8115</v>
      </c>
      <c r="B193" s="33" t="s">
        <v>260</v>
      </c>
      <c r="C193" s="33"/>
      <c r="D193" s="33"/>
      <c r="E193" s="33" t="n">
        <v>133</v>
      </c>
      <c r="F193" s="33" t="s">
        <v>35</v>
      </c>
      <c r="G193" s="33" t="s">
        <v>113</v>
      </c>
      <c r="H193" s="33" t="n">
        <v>11</v>
      </c>
      <c r="I193" s="33" t="n">
        <v>25</v>
      </c>
      <c r="J193" s="33" t="n">
        <v>25</v>
      </c>
      <c r="K193" s="32" t="n">
        <v>2487.5</v>
      </c>
      <c r="L193" s="33" t="str">
        <f aca="false">IF($B193="","",IFERROR(INDEX('Code Mapping'!$D$5:$D$1753,MATCH($B193,'Code Mapping'!$A$5:$A$1753,0)),"Unmapped"))</f>
        <v>Internal / promotion</v>
      </c>
      <c r="M193" s="33" t="str">
        <f aca="false">IF($B193="","",IFERROR(INDEX('Code Mapping'!$E$5:$E$1753,MATCH($B193,'Code Mapping'!$A$5:$A$1753,0)),"Unmapped"))</f>
        <v>Internal / promotion</v>
      </c>
      <c r="N193" s="33" t="str">
        <f aca="false">IF($F193="","",$F193)</f>
        <v>Urban Arena</v>
      </c>
    </row>
    <row r="194" customFormat="false" ht="15" hidden="false" customHeight="false" outlineLevel="0" collapsed="false">
      <c r="A194" s="33" t="n">
        <v>8255</v>
      </c>
      <c r="B194" s="33" t="s">
        <v>125</v>
      </c>
      <c r="C194" s="33"/>
      <c r="D194" s="33" t="s">
        <v>140</v>
      </c>
      <c r="E194" s="33" t="n">
        <v>133</v>
      </c>
      <c r="F194" s="33" t="s">
        <v>35</v>
      </c>
      <c r="G194" s="33" t="s">
        <v>113</v>
      </c>
      <c r="H194" s="33" t="n">
        <v>2</v>
      </c>
      <c r="I194" s="33" t="n">
        <v>3</v>
      </c>
      <c r="J194" s="33" t="n">
        <v>3</v>
      </c>
      <c r="K194" s="32" t="n">
        <v>15</v>
      </c>
      <c r="L194" s="33" t="str">
        <f aca="false">IF($B194="","",IFERROR(INDEX('Code Mapping'!$D$5:$D$1753,MATCH($B194,'Code Mapping'!$A$5:$A$1753,0)),"Unmapped"))</f>
        <v>Internal / promotion</v>
      </c>
      <c r="M194" s="33" t="str">
        <f aca="false">IF($B194="","",IFERROR(INDEX('Code Mapping'!$E$5:$E$1753,MATCH($B194,'Code Mapping'!$A$5:$A$1753,0)),"Unmapped"))</f>
        <v>Internal / promotion</v>
      </c>
      <c r="N194" s="33" t="str">
        <f aca="false">IF($F194="","",$F194)</f>
        <v>Urban Arena</v>
      </c>
    </row>
    <row r="195" customFormat="false" ht="15" hidden="false" customHeight="false" outlineLevel="0" collapsed="false">
      <c r="A195" s="33" t="n">
        <v>8043</v>
      </c>
      <c r="B195" s="33" t="s">
        <v>255</v>
      </c>
      <c r="C195" s="33" t="s">
        <v>168</v>
      </c>
      <c r="D195" s="33"/>
      <c r="E195" s="33" t="n">
        <v>91</v>
      </c>
      <c r="F195" s="33" t="s">
        <v>36</v>
      </c>
      <c r="G195" s="33" t="s">
        <v>113</v>
      </c>
      <c r="H195" s="33" t="n">
        <v>5</v>
      </c>
      <c r="I195" s="33" t="n">
        <v>5</v>
      </c>
      <c r="J195" s="33" t="n">
        <v>5</v>
      </c>
      <c r="K195" s="32" t="n">
        <v>995</v>
      </c>
      <c r="L195" s="33" t="str">
        <f aca="false">IF($B195="","",IFERROR(INDEX('Code Mapping'!$D$5:$D$1753,MATCH($B195,'Code Mapping'!$A$5:$A$1753,0)),"Unmapped"))</f>
        <v>My Book</v>
      </c>
      <c r="M195" s="33" t="str">
        <f aca="false">IF($B195="","",IFERROR(INDEX('Code Mapping'!$E$5:$E$1753,MATCH($B195,'Code Mapping'!$A$5:$A$1753,0)),"Unmapped"))</f>
        <v>Aggregator BOGO</v>
      </c>
      <c r="N195" s="33" t="str">
        <f aca="false">IF($F195="","",$F195)</f>
        <v>InflataPark</v>
      </c>
    </row>
    <row r="196" customFormat="false" ht="15" hidden="false" customHeight="false" outlineLevel="0" collapsed="false">
      <c r="A196" s="33" t="n">
        <v>8105</v>
      </c>
      <c r="B196" s="33" t="s">
        <v>261</v>
      </c>
      <c r="C196" s="33" t="s">
        <v>151</v>
      </c>
      <c r="D196" s="33"/>
      <c r="E196" s="33" t="n">
        <v>61</v>
      </c>
      <c r="F196" s="33" t="s">
        <v>38</v>
      </c>
      <c r="G196" s="33" t="s">
        <v>113</v>
      </c>
      <c r="H196" s="33" t="n">
        <v>1</v>
      </c>
      <c r="I196" s="33" t="n">
        <v>1</v>
      </c>
      <c r="J196" s="33" t="n">
        <v>1</v>
      </c>
      <c r="K196" s="32" t="n">
        <v>15</v>
      </c>
      <c r="L196" s="33" t="str">
        <f aca="false">IF($B196="","",IFERROR(INDEX('Code Mapping'!$D$5:$D$1753,MATCH($B196,'Code Mapping'!$A$5:$A$1753,0)),"Unmapped"))</f>
        <v>Qatar Airways</v>
      </c>
      <c r="M196" s="33" t="str">
        <f aca="false">IF($B196="","",IFERROR(INDEX('Code Mapping'!$E$5:$E$1753,MATCH($B196,'Code Mapping'!$A$5:$A$1753,0)),"Unmapped"))</f>
        <v>Corporate discount</v>
      </c>
      <c r="N196" s="33" t="str">
        <f aca="false">IF($F196="","",$F196)</f>
        <v>Crayons &amp; Bricks Vendome</v>
      </c>
    </row>
    <row r="197" customFormat="false" ht="15" hidden="false" customHeight="false" outlineLevel="0" collapsed="false">
      <c r="A197" s="33" t="n">
        <v>8070</v>
      </c>
      <c r="B197" s="33" t="s">
        <v>199</v>
      </c>
      <c r="C197" s="33" t="s">
        <v>200</v>
      </c>
      <c r="D197" s="33"/>
      <c r="E197" s="33" t="n">
        <v>133</v>
      </c>
      <c r="F197" s="33" t="s">
        <v>35</v>
      </c>
      <c r="G197" s="33" t="s">
        <v>113</v>
      </c>
      <c r="H197" s="33" t="n">
        <v>9</v>
      </c>
      <c r="I197" s="33" t="n">
        <v>45</v>
      </c>
      <c r="J197" s="33" t="n">
        <v>45</v>
      </c>
      <c r="K197" s="32" t="n">
        <v>375.75</v>
      </c>
      <c r="L197" s="33" t="str">
        <f aca="false">IF($B197="","",IFERROR(INDEX('Code Mapping'!$D$5:$D$1753,MATCH($B197,'Code Mapping'!$A$5:$A$1753,0)),"Unmapped"))</f>
        <v>Aspire</v>
      </c>
      <c r="M197" s="33" t="str">
        <f aca="false">IF($B197="","",IFERROR(INDEX('Code Mapping'!$E$5:$E$1753,MATCH($B197,'Code Mapping'!$A$5:$A$1753,0)),"Unmapped"))</f>
        <v>Corporate discount</v>
      </c>
      <c r="N197" s="33" t="str">
        <f aca="false">IF($F197="","",$F197)</f>
        <v>Urban Arena</v>
      </c>
    </row>
    <row r="198" customFormat="false" ht="15" hidden="false" customHeight="false" outlineLevel="0" collapsed="false">
      <c r="A198" s="33" t="n">
        <v>8079</v>
      </c>
      <c r="B198" s="33" t="s">
        <v>154</v>
      </c>
      <c r="C198" s="33" t="s">
        <v>155</v>
      </c>
      <c r="D198" s="33" t="s">
        <v>140</v>
      </c>
      <c r="E198" s="33" t="n">
        <v>133</v>
      </c>
      <c r="F198" s="33" t="s">
        <v>35</v>
      </c>
      <c r="G198" s="33" t="s">
        <v>113</v>
      </c>
      <c r="H198" s="33" t="n">
        <v>36</v>
      </c>
      <c r="I198" s="33" t="n">
        <v>167</v>
      </c>
      <c r="J198" s="33" t="n">
        <v>167</v>
      </c>
      <c r="K198" s="32" t="n">
        <v>1241.25</v>
      </c>
      <c r="L198" s="33" t="str">
        <f aca="false">IF($B198="","",IFERROR(INDEX('Code Mapping'!$D$5:$D$1753,MATCH($B198,'Code Mapping'!$A$5:$A$1753,0)),"Unmapped"))</f>
        <v>Qatar Foundation</v>
      </c>
      <c r="M198" s="33" t="str">
        <f aca="false">IF($B198="","",IFERROR(INDEX('Code Mapping'!$E$5:$E$1753,MATCH($B198,'Code Mapping'!$A$5:$A$1753,0)),"Unmapped"))</f>
        <v>Corporate discount</v>
      </c>
      <c r="N198" s="33" t="str">
        <f aca="false">IF($F198="","",$F198)</f>
        <v>Urban Arena</v>
      </c>
    </row>
    <row r="199" customFormat="false" ht="15" hidden="false" customHeight="false" outlineLevel="0" collapsed="false">
      <c r="A199" s="33" t="n">
        <v>8077</v>
      </c>
      <c r="B199" s="33" t="s">
        <v>219</v>
      </c>
      <c r="C199" s="33" t="s">
        <v>220</v>
      </c>
      <c r="D199" s="33"/>
      <c r="E199" s="33" t="n">
        <v>133</v>
      </c>
      <c r="F199" s="33" t="s">
        <v>35</v>
      </c>
      <c r="G199" s="33" t="s">
        <v>113</v>
      </c>
      <c r="H199" s="33" t="n">
        <v>3</v>
      </c>
      <c r="I199" s="33" t="n">
        <v>18</v>
      </c>
      <c r="J199" s="33" t="n">
        <v>18</v>
      </c>
      <c r="K199" s="32" t="n">
        <v>165</v>
      </c>
      <c r="L199" s="33" t="str">
        <f aca="false">IF($B199="","",IFERROR(INDEX('Code Mapping'!$D$5:$D$1753,MATCH($B199,'Code Mapping'!$A$5:$A$1753,0)),"Unmapped"))</f>
        <v>QIB</v>
      </c>
      <c r="M199" s="33" t="str">
        <f aca="false">IF($B199="","",IFERROR(INDEX('Code Mapping'!$E$5:$E$1753,MATCH($B199,'Code Mapping'!$A$5:$A$1753,0)),"Unmapped"))</f>
        <v>Corporate discount</v>
      </c>
      <c r="N199" s="33" t="str">
        <f aca="false">IF($F199="","",$F199)</f>
        <v>Urban Arena</v>
      </c>
    </row>
    <row r="200" customFormat="false" ht="15" hidden="false" customHeight="false" outlineLevel="0" collapsed="false">
      <c r="A200" s="33" t="n">
        <v>8038</v>
      </c>
      <c r="B200" s="33" t="s">
        <v>123</v>
      </c>
      <c r="C200" s="33" t="s">
        <v>124</v>
      </c>
      <c r="D200" s="33"/>
      <c r="E200" s="33" t="n">
        <v>133</v>
      </c>
      <c r="F200" s="33" t="s">
        <v>35</v>
      </c>
      <c r="G200" s="33" t="s">
        <v>113</v>
      </c>
      <c r="H200" s="33" t="n">
        <v>182</v>
      </c>
      <c r="I200" s="33" t="n">
        <v>222</v>
      </c>
      <c r="J200" s="33" t="n">
        <v>222</v>
      </c>
      <c r="K200" s="32" t="n">
        <v>999.5</v>
      </c>
      <c r="L200" s="33" t="str">
        <f aca="false">IF($B200="","",IFERROR(INDEX('Code Mapping'!$D$5:$D$1753,MATCH($B200,'Code Mapping'!$A$5:$A$1753,0)),"Unmapped"))</f>
        <v>Internal / promotion</v>
      </c>
      <c r="M200" s="33" t="str">
        <f aca="false">IF($B200="","",IFERROR(INDEX('Code Mapping'!$E$5:$E$1753,MATCH($B200,'Code Mapping'!$A$5:$A$1753,0)),"Unmapped"))</f>
        <v>Internal / promotion</v>
      </c>
      <c r="N200" s="33" t="str">
        <f aca="false">IF($F200="","",$F200)</f>
        <v>Urban Arena</v>
      </c>
    </row>
    <row r="201" customFormat="false" ht="15" hidden="false" customHeight="false" outlineLevel="0" collapsed="false">
      <c r="A201" s="33" t="n">
        <v>8097</v>
      </c>
      <c r="B201" s="33" t="s">
        <v>171</v>
      </c>
      <c r="C201" s="33" t="s">
        <v>170</v>
      </c>
      <c r="D201" s="33"/>
      <c r="E201" s="33" t="n">
        <v>61</v>
      </c>
      <c r="F201" s="33" t="s">
        <v>38</v>
      </c>
      <c r="G201" s="33" t="s">
        <v>113</v>
      </c>
      <c r="H201" s="33" t="n">
        <v>39</v>
      </c>
      <c r="I201" s="33" t="n">
        <v>39</v>
      </c>
      <c r="J201" s="33" t="n">
        <v>39</v>
      </c>
      <c r="K201" s="32" t="n">
        <v>3900</v>
      </c>
      <c r="L201" s="33" t="str">
        <f aca="false">IF($B201="","",IFERROR(INDEX('Code Mapping'!$D$5:$D$1753,MATCH($B201,'Code Mapping'!$A$5:$A$1753,0)),"Unmapped"))</f>
        <v>Urban Point</v>
      </c>
      <c r="M201" s="33" t="str">
        <f aca="false">IF($B201="","",IFERROR(INDEX('Code Mapping'!$E$5:$E$1753,MATCH($B201,'Code Mapping'!$A$5:$A$1753,0)),"Unmapped"))</f>
        <v>Aggregator BOGO</v>
      </c>
      <c r="N201" s="33" t="str">
        <f aca="false">IF($F201="","",$F201)</f>
        <v>Crayons &amp; Bricks Vendome</v>
      </c>
    </row>
    <row r="202" customFormat="false" ht="15" hidden="false" customHeight="false" outlineLevel="0" collapsed="false">
      <c r="A202" s="33" t="n">
        <v>8096</v>
      </c>
      <c r="B202" s="33" t="s">
        <v>280</v>
      </c>
      <c r="C202" s="33" t="s">
        <v>281</v>
      </c>
      <c r="D202" s="33"/>
      <c r="E202" s="33" t="n">
        <v>61</v>
      </c>
      <c r="F202" s="33" t="s">
        <v>38</v>
      </c>
      <c r="G202" s="33" t="s">
        <v>113</v>
      </c>
      <c r="H202" s="33" t="n">
        <v>1</v>
      </c>
      <c r="I202" s="33" t="n">
        <v>1</v>
      </c>
      <c r="J202" s="33" t="n">
        <v>1</v>
      </c>
      <c r="K202" s="32" t="n">
        <v>100</v>
      </c>
      <c r="L202" s="33" t="str">
        <f aca="false">IF($B202="","",IFERROR(INDEX('Code Mapping'!$D$5:$D$1753,MATCH($B202,'Code Mapping'!$A$5:$A$1753,0)),"Unmapped"))</f>
        <v>Qatar Living Deals</v>
      </c>
      <c r="M202" s="33" t="str">
        <f aca="false">IF($B202="","",IFERROR(INDEX('Code Mapping'!$E$5:$E$1753,MATCH($B202,'Code Mapping'!$A$5:$A$1753,0)),"Unmapped"))</f>
        <v>Aggregator BOGO</v>
      </c>
      <c r="N202" s="33" t="str">
        <f aca="false">IF($F202="","",$F202)</f>
        <v>Crayons &amp; Bricks Vendome</v>
      </c>
    </row>
    <row r="203" customFormat="false" ht="15" hidden="false" customHeight="false" outlineLevel="0" collapsed="false">
      <c r="A203" s="33" t="n">
        <v>8046</v>
      </c>
      <c r="B203" s="33" t="s">
        <v>222</v>
      </c>
      <c r="C203" s="33" t="s">
        <v>210</v>
      </c>
      <c r="D203" s="33"/>
      <c r="E203" s="33" t="n">
        <v>91</v>
      </c>
      <c r="F203" s="33" t="s">
        <v>36</v>
      </c>
      <c r="G203" s="33" t="s">
        <v>113</v>
      </c>
      <c r="H203" s="33" t="n">
        <v>1</v>
      </c>
      <c r="I203" s="33" t="n">
        <v>2</v>
      </c>
      <c r="J203" s="33" t="n">
        <v>2</v>
      </c>
      <c r="K203" s="32" t="n">
        <v>10.5</v>
      </c>
      <c r="L203" s="33" t="str">
        <f aca="false">IF($B203="","",IFERROR(INDEX('Code Mapping'!$D$5:$D$1753,MATCH($B203,'Code Mapping'!$A$5:$A$1753,0)),"Unmapped"))</f>
        <v>Al Jazeera Imtiyazat</v>
      </c>
      <c r="M203" s="33" t="str">
        <f aca="false">IF($B203="","",IFERROR(INDEX('Code Mapping'!$E$5:$E$1753,MATCH($B203,'Code Mapping'!$A$5:$A$1753,0)),"Unmapped"))</f>
        <v>Corporate discount</v>
      </c>
      <c r="N203" s="33" t="str">
        <f aca="false">IF($F203="","",$F203)</f>
        <v>InflataPark</v>
      </c>
    </row>
    <row r="204" customFormat="false" ht="15" hidden="false" customHeight="false" outlineLevel="0" collapsed="false">
      <c r="A204" s="33" t="n">
        <v>8095</v>
      </c>
      <c r="B204" s="33" t="s">
        <v>178</v>
      </c>
      <c r="C204" s="33" t="s">
        <v>179</v>
      </c>
      <c r="D204" s="33"/>
      <c r="E204" s="33" t="n">
        <v>61</v>
      </c>
      <c r="F204" s="33" t="s">
        <v>38</v>
      </c>
      <c r="G204" s="33" t="s">
        <v>113</v>
      </c>
      <c r="H204" s="33" t="n">
        <v>31</v>
      </c>
      <c r="I204" s="33" t="n">
        <v>31</v>
      </c>
      <c r="J204" s="33" t="n">
        <v>31</v>
      </c>
      <c r="K204" s="32" t="n">
        <v>3100</v>
      </c>
      <c r="L204" s="33" t="str">
        <f aca="false">IF($B204="","",IFERROR(INDEX('Code Mapping'!$D$5:$D$1753,MATCH($B204,'Code Mapping'!$A$5:$A$1753,0)),"Unmapped"))</f>
        <v>Entertainer</v>
      </c>
      <c r="M204" s="33" t="str">
        <f aca="false">IF($B204="","",IFERROR(INDEX('Code Mapping'!$E$5:$E$1753,MATCH($B204,'Code Mapping'!$A$5:$A$1753,0)),"Unmapped"))</f>
        <v>Aggregator BOGO</v>
      </c>
      <c r="N204" s="33" t="str">
        <f aca="false">IF($F204="","",$F204)</f>
        <v>Crayons &amp; Bricks Vendome</v>
      </c>
    </row>
    <row r="205" customFormat="false" ht="15" hidden="false" customHeight="false" outlineLevel="0" collapsed="false">
      <c r="A205" s="33" t="n">
        <v>8041</v>
      </c>
      <c r="B205" s="33" t="s">
        <v>263</v>
      </c>
      <c r="C205" s="33"/>
      <c r="D205" s="33"/>
      <c r="E205" s="33" t="n">
        <v>133</v>
      </c>
      <c r="F205" s="33" t="s">
        <v>35</v>
      </c>
      <c r="G205" s="33" t="s">
        <v>113</v>
      </c>
      <c r="H205" s="33" t="n">
        <v>2</v>
      </c>
      <c r="I205" s="33" t="n">
        <v>30</v>
      </c>
      <c r="J205" s="33" t="n">
        <v>30</v>
      </c>
      <c r="K205" s="32" t="n">
        <v>270.75</v>
      </c>
      <c r="L205" s="33" t="str">
        <f aca="false">IF($B205="","",IFERROR(INDEX('Code Mapping'!$D$5:$D$1753,MATCH($B205,'Code Mapping'!$A$5:$A$1753,0)),"Unmapped"))</f>
        <v>Internal / promotion</v>
      </c>
      <c r="M205" s="33" t="str">
        <f aca="false">IF($B205="","",IFERROR(INDEX('Code Mapping'!$E$5:$E$1753,MATCH($B205,'Code Mapping'!$A$5:$A$1753,0)),"Unmapped"))</f>
        <v>Internal / promotion</v>
      </c>
      <c r="N205" s="33" t="str">
        <f aca="false">IF($F205="","",$F205)</f>
        <v>Urban Arena</v>
      </c>
    </row>
    <row r="206" customFormat="false" ht="15" hidden="false" customHeight="false" outlineLevel="0" collapsed="false">
      <c r="A206" s="33" t="n">
        <v>8052</v>
      </c>
      <c r="B206" s="33" t="s">
        <v>149</v>
      </c>
      <c r="C206" s="33" t="s">
        <v>139</v>
      </c>
      <c r="D206" s="33" t="s">
        <v>140</v>
      </c>
      <c r="E206" s="33" t="n">
        <v>91</v>
      </c>
      <c r="F206" s="33" t="s">
        <v>36</v>
      </c>
      <c r="G206" s="33" t="s">
        <v>113</v>
      </c>
      <c r="H206" s="33" t="n">
        <v>53</v>
      </c>
      <c r="I206" s="33" t="n">
        <v>198</v>
      </c>
      <c r="J206" s="33" t="n">
        <v>198</v>
      </c>
      <c r="K206" s="32" t="n">
        <v>1536.75</v>
      </c>
      <c r="L206" s="33" t="str">
        <f aca="false">IF($B206="","",IFERROR(INDEX('Code Mapping'!$D$5:$D$1753,MATCH($B206,'Code Mapping'!$A$5:$A$1753,0)),"Unmapped"))</f>
        <v>Imtyazat</v>
      </c>
      <c r="M206" s="33" t="str">
        <f aca="false">IF($B206="","",IFERROR(INDEX('Code Mapping'!$E$5:$E$1753,MATCH($B206,'Code Mapping'!$A$5:$A$1753,0)),"Unmapped"))</f>
        <v>Corporate discount</v>
      </c>
      <c r="N206" s="33" t="str">
        <f aca="false">IF($F206="","",$F206)</f>
        <v>InflataPark</v>
      </c>
    </row>
    <row r="207" customFormat="false" ht="15" hidden="false" customHeight="false" outlineLevel="0" collapsed="false">
      <c r="A207" s="33" t="n">
        <v>8053</v>
      </c>
      <c r="B207" s="33" t="s">
        <v>160</v>
      </c>
      <c r="C207" s="33" t="s">
        <v>158</v>
      </c>
      <c r="D207" s="33"/>
      <c r="E207" s="33" t="n">
        <v>91</v>
      </c>
      <c r="F207" s="33" t="s">
        <v>36</v>
      </c>
      <c r="G207" s="33" t="s">
        <v>113</v>
      </c>
      <c r="H207" s="33" t="n">
        <v>43</v>
      </c>
      <c r="I207" s="33" t="n">
        <v>131</v>
      </c>
      <c r="J207" s="33" t="n">
        <v>131</v>
      </c>
      <c r="K207" s="32" t="n">
        <v>1019.5</v>
      </c>
      <c r="L207" s="33" t="str">
        <f aca="false">IF($B207="","",IFERROR(INDEX('Code Mapping'!$D$5:$D$1753,MATCH($B207,'Code Mapping'!$A$5:$A$1753,0)),"Unmapped"))</f>
        <v>Public Health Sector (Sogha)</v>
      </c>
      <c r="M207" s="33" t="str">
        <f aca="false">IF($B207="","",IFERROR(INDEX('Code Mapping'!$E$5:$E$1753,MATCH($B207,'Code Mapping'!$A$5:$A$1753,0)),"Unmapped"))</f>
        <v>Corporate discount</v>
      </c>
      <c r="N207" s="33" t="str">
        <f aca="false">IF($F207="","",$F207)</f>
        <v>InflataPark</v>
      </c>
    </row>
    <row r="208" customFormat="false" ht="15" hidden="false" customHeight="false" outlineLevel="0" collapsed="false">
      <c r="A208" s="33" t="n">
        <v>8055</v>
      </c>
      <c r="B208" s="33" t="s">
        <v>161</v>
      </c>
      <c r="C208" s="33" t="s">
        <v>151</v>
      </c>
      <c r="D208" s="33"/>
      <c r="E208" s="33" t="n">
        <v>91</v>
      </c>
      <c r="F208" s="33" t="s">
        <v>36</v>
      </c>
      <c r="G208" s="33" t="s">
        <v>113</v>
      </c>
      <c r="H208" s="33" t="n">
        <v>35</v>
      </c>
      <c r="I208" s="33" t="n">
        <v>111</v>
      </c>
      <c r="J208" s="33" t="n">
        <v>111</v>
      </c>
      <c r="K208" s="32" t="n">
        <v>851.25</v>
      </c>
      <c r="L208" s="33" t="str">
        <f aca="false">IF($B208="","",IFERROR(INDEX('Code Mapping'!$D$5:$D$1753,MATCH($B208,'Code Mapping'!$A$5:$A$1753,0)),"Unmapped"))</f>
        <v>Qatar Airways</v>
      </c>
      <c r="M208" s="33" t="str">
        <f aca="false">IF($B208="","",IFERROR(INDEX('Code Mapping'!$E$5:$E$1753,MATCH($B208,'Code Mapping'!$A$5:$A$1753,0)),"Unmapped"))</f>
        <v>Corporate discount</v>
      </c>
      <c r="N208" s="33" t="str">
        <f aca="false">IF($F208="","",$F208)</f>
        <v>InflataPark</v>
      </c>
    </row>
    <row r="209" customFormat="false" ht="15" hidden="false" customHeight="false" outlineLevel="0" collapsed="false">
      <c r="A209" s="33" t="n">
        <v>8056</v>
      </c>
      <c r="B209" s="33" t="s">
        <v>189</v>
      </c>
      <c r="C209" s="33" t="s">
        <v>155</v>
      </c>
      <c r="D209" s="33"/>
      <c r="E209" s="33" t="n">
        <v>91</v>
      </c>
      <c r="F209" s="33" t="s">
        <v>36</v>
      </c>
      <c r="G209" s="33" t="s">
        <v>113</v>
      </c>
      <c r="H209" s="33" t="n">
        <v>7</v>
      </c>
      <c r="I209" s="33" t="n">
        <v>22</v>
      </c>
      <c r="J209" s="33" t="n">
        <v>22</v>
      </c>
      <c r="K209" s="32" t="n">
        <v>191.25</v>
      </c>
      <c r="L209" s="33" t="str">
        <f aca="false">IF($B209="","",IFERROR(INDEX('Code Mapping'!$D$5:$D$1753,MATCH($B209,'Code Mapping'!$A$5:$A$1753,0)),"Unmapped"))</f>
        <v>Qatar Foundation</v>
      </c>
      <c r="M209" s="33" t="str">
        <f aca="false">IF($B209="","",IFERROR(INDEX('Code Mapping'!$E$5:$E$1753,MATCH($B209,'Code Mapping'!$A$5:$A$1753,0)),"Unmapped"))</f>
        <v>Corporate discount</v>
      </c>
      <c r="N209" s="33" t="str">
        <f aca="false">IF($F209="","",$F209)</f>
        <v>InflataPark</v>
      </c>
    </row>
    <row r="210" customFormat="false" ht="15" hidden="false" customHeight="false" outlineLevel="0" collapsed="false">
      <c r="A210" s="33" t="n">
        <v>8058</v>
      </c>
      <c r="B210" s="33" t="s">
        <v>404</v>
      </c>
      <c r="C210" s="33" t="s">
        <v>224</v>
      </c>
      <c r="D210" s="33"/>
      <c r="E210" s="33" t="n">
        <v>91</v>
      </c>
      <c r="F210" s="33" t="s">
        <v>36</v>
      </c>
      <c r="G210" s="33" t="s">
        <v>113</v>
      </c>
      <c r="H210" s="33" t="n">
        <v>1</v>
      </c>
      <c r="I210" s="33" t="n">
        <v>2</v>
      </c>
      <c r="J210" s="33" t="n">
        <v>2</v>
      </c>
      <c r="K210" s="32" t="n">
        <v>10.5</v>
      </c>
      <c r="L210" s="33" t="str">
        <f aca="false">IF($B210="","",IFERROR(INDEX('Code Mapping'!$D$5:$D$1753,MATCH($B210,'Code Mapping'!$A$5:$A$1753,0)),"Unmapped"))</f>
        <v>Qatar Media Corporation</v>
      </c>
      <c r="M210" s="33" t="str">
        <f aca="false">IF($B210="","",IFERROR(INDEX('Code Mapping'!$E$5:$E$1753,MATCH($B210,'Code Mapping'!$A$5:$A$1753,0)),"Unmapped"))</f>
        <v>Corporate discount</v>
      </c>
      <c r="N210" s="33" t="str">
        <f aca="false">IF($F210="","",$F210)</f>
        <v>InflataPark</v>
      </c>
    </row>
    <row r="211" customFormat="false" ht="15" hidden="false" customHeight="false" outlineLevel="0" collapsed="false">
      <c r="A211" s="33" t="n">
        <v>8045</v>
      </c>
      <c r="B211" s="33" t="s">
        <v>208</v>
      </c>
      <c r="C211" s="33" t="s">
        <v>170</v>
      </c>
      <c r="D211" s="33"/>
      <c r="E211" s="33" t="n">
        <v>91</v>
      </c>
      <c r="F211" s="33" t="s">
        <v>36</v>
      </c>
      <c r="G211" s="33" t="s">
        <v>113</v>
      </c>
      <c r="H211" s="33" t="n">
        <v>9</v>
      </c>
      <c r="I211" s="33" t="n">
        <v>9</v>
      </c>
      <c r="J211" s="33" t="n">
        <v>9</v>
      </c>
      <c r="K211" s="32" t="n">
        <v>1791</v>
      </c>
      <c r="L211" s="33" t="str">
        <f aca="false">IF($B211="","",IFERROR(INDEX('Code Mapping'!$D$5:$D$1753,MATCH($B211,'Code Mapping'!$A$5:$A$1753,0)),"Unmapped"))</f>
        <v>Urban Point</v>
      </c>
      <c r="M211" s="33" t="str">
        <f aca="false">IF($B211="","",IFERROR(INDEX('Code Mapping'!$E$5:$E$1753,MATCH($B211,'Code Mapping'!$A$5:$A$1753,0)),"Unmapped"))</f>
        <v>Aggregator BOGO</v>
      </c>
      <c r="N211" s="33" t="str">
        <f aca="false">IF($F211="","",$F211)</f>
        <v>InflataPark</v>
      </c>
    </row>
    <row r="212" customFormat="false" ht="15" hidden="false" customHeight="false" outlineLevel="0" collapsed="false">
      <c r="A212" s="33" t="n">
        <v>8048</v>
      </c>
      <c r="B212" s="33" t="s">
        <v>275</v>
      </c>
      <c r="C212" s="33" t="s">
        <v>235</v>
      </c>
      <c r="D212" s="33"/>
      <c r="E212" s="33" t="n">
        <v>91</v>
      </c>
      <c r="F212" s="33" t="s">
        <v>36</v>
      </c>
      <c r="G212" s="33" t="s">
        <v>113</v>
      </c>
      <c r="H212" s="33" t="n">
        <v>2</v>
      </c>
      <c r="I212" s="33" t="n">
        <v>5</v>
      </c>
      <c r="J212" s="33" t="n">
        <v>5</v>
      </c>
      <c r="K212" s="32" t="n">
        <v>27.75</v>
      </c>
      <c r="L212" s="33" t="str">
        <f aca="false">IF($B212="","",IFERROR(INDEX('Code Mapping'!$D$5:$D$1753,MATCH($B212,'Code Mapping'!$A$5:$A$1753,0)),"Unmapped"))</f>
        <v>Bein</v>
      </c>
      <c r="M212" s="33" t="str">
        <f aca="false">IF($B212="","",IFERROR(INDEX('Code Mapping'!$E$5:$E$1753,MATCH($B212,'Code Mapping'!$A$5:$A$1753,0)),"Unmapped"))</f>
        <v>Corporate discount</v>
      </c>
      <c r="N212" s="33" t="str">
        <f aca="false">IF($F212="","",$F212)</f>
        <v>InflataPark</v>
      </c>
    </row>
    <row r="213" customFormat="false" ht="15" hidden="false" customHeight="false" outlineLevel="0" collapsed="false">
      <c r="A213" s="33" t="n">
        <v>6827</v>
      </c>
      <c r="B213" s="33" t="s">
        <v>182</v>
      </c>
      <c r="C213" s="33"/>
      <c r="D213" s="33"/>
      <c r="E213" s="33" t="n">
        <v>61</v>
      </c>
      <c r="F213" s="33" t="s">
        <v>38</v>
      </c>
      <c r="G213" s="33" t="s">
        <v>112</v>
      </c>
      <c r="H213" s="33" t="n">
        <v>7</v>
      </c>
      <c r="I213" s="33" t="n">
        <v>7</v>
      </c>
      <c r="J213" s="33" t="n">
        <v>7</v>
      </c>
      <c r="K213" s="32" t="n">
        <v>700</v>
      </c>
      <c r="L213" s="33" t="str">
        <f aca="false">IF($B213="","",IFERROR(INDEX('Code Mapping'!$D$5:$D$1753,MATCH($B213,'Code Mapping'!$A$5:$A$1753,0)),"Unmapped"))</f>
        <v>My Book</v>
      </c>
      <c r="M213" s="33" t="str">
        <f aca="false">IF($B213="","",IFERROR(INDEX('Code Mapping'!$E$5:$E$1753,MATCH($B213,'Code Mapping'!$A$5:$A$1753,0)),"Unmapped"))</f>
        <v>Aggregator BOGO</v>
      </c>
      <c r="N213" s="33" t="str">
        <f aca="false">IF($F213="","",$F213)</f>
        <v>Crayons &amp; Bricks Vendome</v>
      </c>
    </row>
    <row r="214" customFormat="false" ht="15" hidden="false" customHeight="false" outlineLevel="0" collapsed="false">
      <c r="A214" s="33" t="n">
        <v>8035</v>
      </c>
      <c r="B214" s="33" t="s">
        <v>226</v>
      </c>
      <c r="C214" s="33" t="s">
        <v>227</v>
      </c>
      <c r="D214" s="33"/>
      <c r="E214" s="33" t="n">
        <v>94</v>
      </c>
      <c r="F214" s="33" t="s">
        <v>37</v>
      </c>
      <c r="G214" s="33" t="s">
        <v>112</v>
      </c>
      <c r="H214" s="33" t="n">
        <v>12</v>
      </c>
      <c r="I214" s="33" t="n">
        <v>12</v>
      </c>
      <c r="J214" s="33" t="n">
        <v>12</v>
      </c>
      <c r="K214" s="32" t="n">
        <v>420</v>
      </c>
      <c r="L214" s="33" t="str">
        <f aca="false">IF($B214="","",IFERROR(INDEX('Code Mapping'!$D$5:$D$1753,MATCH($B214,'Code Mapping'!$A$5:$A$1753,0)),"Unmapped"))</f>
        <v>Snoonu Employees</v>
      </c>
      <c r="M214" s="33" t="str">
        <f aca="false">IF($B214="","",IFERROR(INDEX('Code Mapping'!$E$5:$E$1753,MATCH($B214,'Code Mapping'!$A$5:$A$1753,0)),"Unmapped"))</f>
        <v>Corporate discount</v>
      </c>
      <c r="N214" s="33" t="str">
        <f aca="false">IF($F214="","",$F214)</f>
        <v>Kids City Driving School</v>
      </c>
    </row>
    <row r="215" customFormat="false" ht="15" hidden="false" customHeight="false" outlineLevel="0" collapsed="false">
      <c r="A215" s="33" t="n">
        <v>6803</v>
      </c>
      <c r="B215" s="33" t="s">
        <v>191</v>
      </c>
      <c r="C215" s="33" t="s">
        <v>192</v>
      </c>
      <c r="D215" s="33"/>
      <c r="E215" s="33" t="n">
        <v>91</v>
      </c>
      <c r="F215" s="33" t="s">
        <v>36</v>
      </c>
      <c r="G215" s="33" t="s">
        <v>112</v>
      </c>
      <c r="H215" s="33" t="n">
        <v>1</v>
      </c>
      <c r="I215" s="33" t="n">
        <v>1</v>
      </c>
      <c r="J215" s="33" t="n">
        <v>1</v>
      </c>
      <c r="K215" s="32" t="n">
        <v>19.5</v>
      </c>
      <c r="L215" s="33" t="str">
        <f aca="false">IF($B215="","",IFERROR(INDEX('Code Mapping'!$D$5:$D$1753,MATCH($B215,'Code Mapping'!$A$5:$A$1753,0)),"Unmapped"))</f>
        <v>Qatar Airways</v>
      </c>
      <c r="M215" s="33" t="str">
        <f aca="false">IF($B215="","",IFERROR(INDEX('Code Mapping'!$E$5:$E$1753,MATCH($B215,'Code Mapping'!$A$5:$A$1753,0)),"Unmapped"))</f>
        <v>Corporate discount</v>
      </c>
      <c r="N215" s="33" t="str">
        <f aca="false">IF($F215="","",$F215)</f>
        <v>InflataPark</v>
      </c>
    </row>
    <row r="216" customFormat="false" ht="15" hidden="false" customHeight="false" outlineLevel="0" collapsed="false">
      <c r="A216" s="33" t="n">
        <v>6811</v>
      </c>
      <c r="B216" s="33" t="s">
        <v>238</v>
      </c>
      <c r="C216" s="33" t="s">
        <v>239</v>
      </c>
      <c r="D216" s="33"/>
      <c r="E216" s="33" t="n">
        <v>94</v>
      </c>
      <c r="F216" s="33" t="s">
        <v>37</v>
      </c>
      <c r="G216" s="33" t="s">
        <v>112</v>
      </c>
      <c r="H216" s="33" t="n">
        <v>1</v>
      </c>
      <c r="I216" s="33" t="n">
        <v>1</v>
      </c>
      <c r="J216" s="33" t="n">
        <v>1</v>
      </c>
      <c r="K216" s="32" t="n">
        <v>33.75</v>
      </c>
      <c r="L216" s="33" t="str">
        <f aca="false">IF($B216="","",IFERROR(INDEX('Code Mapping'!$D$5:$D$1753,MATCH($B216,'Code Mapping'!$A$5:$A$1753,0)),"Unmapped"))</f>
        <v>Qatar Airways</v>
      </c>
      <c r="M216" s="33" t="str">
        <f aca="false">IF($B216="","",IFERROR(INDEX('Code Mapping'!$E$5:$E$1753,MATCH($B216,'Code Mapping'!$A$5:$A$1753,0)),"Unmapped"))</f>
        <v>Corporate discount</v>
      </c>
      <c r="N216" s="33" t="str">
        <f aca="false">IF($F216="","",$F216)</f>
        <v>Kids City Driving School</v>
      </c>
    </row>
    <row r="217" customFormat="false" ht="15" hidden="false" customHeight="false" outlineLevel="0" collapsed="false">
      <c r="A217" s="33" t="n">
        <v>8065</v>
      </c>
      <c r="B217" s="33" t="s">
        <v>138</v>
      </c>
      <c r="C217" s="33" t="s">
        <v>139</v>
      </c>
      <c r="D217" s="33" t="s">
        <v>140</v>
      </c>
      <c r="E217" s="33" t="n">
        <v>94</v>
      </c>
      <c r="F217" s="33" t="s">
        <v>37</v>
      </c>
      <c r="G217" s="33" t="s">
        <v>112</v>
      </c>
      <c r="H217" s="33" t="n">
        <v>41</v>
      </c>
      <c r="I217" s="33" t="n">
        <v>161</v>
      </c>
      <c r="J217" s="33" t="n">
        <v>161</v>
      </c>
      <c r="K217" s="32" t="n">
        <v>1210.5</v>
      </c>
      <c r="L217" s="33" t="str">
        <f aca="false">IF($B217="","",IFERROR(INDEX('Code Mapping'!$D$5:$D$1753,MATCH($B217,'Code Mapping'!$A$5:$A$1753,0)),"Unmapped"))</f>
        <v>Imtyazat</v>
      </c>
      <c r="M217" s="33" t="str">
        <f aca="false">IF($B217="","",IFERROR(INDEX('Code Mapping'!$E$5:$E$1753,MATCH($B217,'Code Mapping'!$A$5:$A$1753,0)),"Unmapped"))</f>
        <v>Corporate discount</v>
      </c>
      <c r="N217" s="33" t="str">
        <f aca="false">IF($F217="","",$F217)</f>
        <v>Kids City Driving School</v>
      </c>
    </row>
    <row r="218" customFormat="false" ht="15" hidden="false" customHeight="false" outlineLevel="0" collapsed="false">
      <c r="A218" s="33" t="n">
        <v>6798</v>
      </c>
      <c r="B218" s="33" t="s">
        <v>146</v>
      </c>
      <c r="C218" s="33" t="s">
        <v>147</v>
      </c>
      <c r="D218" s="33"/>
      <c r="E218" s="33" t="n">
        <v>91</v>
      </c>
      <c r="F218" s="33" t="s">
        <v>36</v>
      </c>
      <c r="G218" s="33" t="s">
        <v>112</v>
      </c>
      <c r="H218" s="33" t="n">
        <v>36</v>
      </c>
      <c r="I218" s="33" t="n">
        <v>36</v>
      </c>
      <c r="J218" s="33" t="n">
        <v>36</v>
      </c>
      <c r="K218" s="32" t="n">
        <v>5760</v>
      </c>
      <c r="L218" s="33" t="str">
        <f aca="false">IF($B218="","",IFERROR(INDEX('Code Mapping'!$D$5:$D$1753,MATCH($B218,'Code Mapping'!$A$5:$A$1753,0)),"Unmapped"))</f>
        <v>My Book</v>
      </c>
      <c r="M218" s="33" t="str">
        <f aca="false">IF($B218="","",IFERROR(INDEX('Code Mapping'!$E$5:$E$1753,MATCH($B218,'Code Mapping'!$A$5:$A$1753,0)),"Unmapped"))</f>
        <v>Aggregator BOGO</v>
      </c>
      <c r="N218" s="33" t="str">
        <f aca="false">IF($F218="","",$F218)</f>
        <v>InflataPark</v>
      </c>
    </row>
    <row r="219" customFormat="false" ht="15" hidden="false" customHeight="false" outlineLevel="0" collapsed="false">
      <c r="A219" s="33" t="n">
        <v>8068</v>
      </c>
      <c r="B219" s="33" t="s">
        <v>190</v>
      </c>
      <c r="C219" s="33" t="s">
        <v>170</v>
      </c>
      <c r="D219" s="33"/>
      <c r="E219" s="33" t="n">
        <v>94</v>
      </c>
      <c r="F219" s="33" t="s">
        <v>37</v>
      </c>
      <c r="G219" s="33" t="s">
        <v>112</v>
      </c>
      <c r="H219" s="33" t="n">
        <v>4</v>
      </c>
      <c r="I219" s="33" t="n">
        <v>4</v>
      </c>
      <c r="J219" s="33" t="n">
        <v>4</v>
      </c>
      <c r="K219" s="32" t="n">
        <v>796</v>
      </c>
      <c r="L219" s="33" t="str">
        <f aca="false">IF($B219="","",IFERROR(INDEX('Code Mapping'!$D$5:$D$1753,MATCH($B219,'Code Mapping'!$A$5:$A$1753,0)),"Unmapped"))</f>
        <v>Urban Point</v>
      </c>
      <c r="M219" s="33" t="str">
        <f aca="false">IF($B219="","",IFERROR(INDEX('Code Mapping'!$E$5:$E$1753,MATCH($B219,'Code Mapping'!$A$5:$A$1753,0)),"Unmapped"))</f>
        <v>Aggregator BOGO</v>
      </c>
      <c r="N219" s="33" t="str">
        <f aca="false">IF($F219="","",$F219)</f>
        <v>Kids City Driving School</v>
      </c>
    </row>
    <row r="220" customFormat="false" ht="15" hidden="false" customHeight="false" outlineLevel="0" collapsed="false">
      <c r="A220" s="33" t="n">
        <v>8067</v>
      </c>
      <c r="B220" s="33" t="s">
        <v>233</v>
      </c>
      <c r="C220" s="33" t="s">
        <v>168</v>
      </c>
      <c r="D220" s="33"/>
      <c r="E220" s="33" t="n">
        <v>94</v>
      </c>
      <c r="F220" s="33" t="s">
        <v>37</v>
      </c>
      <c r="G220" s="33" t="s">
        <v>112</v>
      </c>
      <c r="H220" s="33" t="n">
        <v>1</v>
      </c>
      <c r="I220" s="33" t="n">
        <v>1</v>
      </c>
      <c r="J220" s="33" t="n">
        <v>1</v>
      </c>
      <c r="K220" s="32" t="n">
        <v>199</v>
      </c>
      <c r="L220" s="33" t="str">
        <f aca="false">IF($B220="","",IFERROR(INDEX('Code Mapping'!$D$5:$D$1753,MATCH($B220,'Code Mapping'!$A$5:$A$1753,0)),"Unmapped"))</f>
        <v>My Book</v>
      </c>
      <c r="M220" s="33" t="str">
        <f aca="false">IF($B220="","",IFERROR(INDEX('Code Mapping'!$E$5:$E$1753,MATCH($B220,'Code Mapping'!$A$5:$A$1753,0)),"Unmapped"))</f>
        <v>Aggregator BOGO</v>
      </c>
      <c r="N220" s="33" t="str">
        <f aca="false">IF($F220="","",$F220)</f>
        <v>Kids City Driving School</v>
      </c>
    </row>
    <row r="221" customFormat="false" ht="15" hidden="false" customHeight="false" outlineLevel="0" collapsed="false">
      <c r="A221" s="33" t="n">
        <v>8080</v>
      </c>
      <c r="B221" s="33" t="s">
        <v>267</v>
      </c>
      <c r="C221" s="33" t="s">
        <v>245</v>
      </c>
      <c r="D221" s="33"/>
      <c r="E221" s="33" t="n">
        <v>133</v>
      </c>
      <c r="F221" s="33" t="s">
        <v>35</v>
      </c>
      <c r="G221" s="33" t="s">
        <v>112</v>
      </c>
      <c r="H221" s="33" t="n">
        <v>1</v>
      </c>
      <c r="I221" s="33" t="n">
        <v>4</v>
      </c>
      <c r="J221" s="33" t="n">
        <v>4</v>
      </c>
      <c r="K221" s="32" t="n">
        <v>45</v>
      </c>
      <c r="L221" s="33" t="str">
        <f aca="false">IF($B221="","",IFERROR(INDEX('Code Mapping'!$D$5:$D$1753,MATCH($B221,'Code Mapping'!$A$5:$A$1753,0)),"Unmapped"))</f>
        <v>Qatar Investment Authority</v>
      </c>
      <c r="M221" s="33" t="str">
        <f aca="false">IF($B221="","",IFERROR(INDEX('Code Mapping'!$E$5:$E$1753,MATCH($B221,'Code Mapping'!$A$5:$A$1753,0)),"Unmapped"))</f>
        <v>Corporate discount</v>
      </c>
      <c r="N221" s="33" t="str">
        <f aca="false">IF($F221="","",$F221)</f>
        <v>Urban Arena</v>
      </c>
    </row>
    <row r="222" customFormat="false" ht="15" hidden="false" customHeight="false" outlineLevel="0" collapsed="false">
      <c r="A222" s="33" t="n">
        <v>8081</v>
      </c>
      <c r="B222" s="33" t="s">
        <v>223</v>
      </c>
      <c r="C222" s="33" t="s">
        <v>224</v>
      </c>
      <c r="D222" s="33"/>
      <c r="E222" s="33" t="n">
        <v>133</v>
      </c>
      <c r="F222" s="33" t="s">
        <v>35</v>
      </c>
      <c r="G222" s="33" t="s">
        <v>112</v>
      </c>
      <c r="H222" s="33" t="n">
        <v>3</v>
      </c>
      <c r="I222" s="33" t="n">
        <v>11</v>
      </c>
      <c r="J222" s="33" t="n">
        <v>11</v>
      </c>
      <c r="K222" s="32" t="n">
        <v>92.25</v>
      </c>
      <c r="L222" s="33" t="str">
        <f aca="false">IF($B222="","",IFERROR(INDEX('Code Mapping'!$D$5:$D$1753,MATCH($B222,'Code Mapping'!$A$5:$A$1753,0)),"Unmapped"))</f>
        <v>Qatar Media Corporation</v>
      </c>
      <c r="M222" s="33" t="str">
        <f aca="false">IF($B222="","",IFERROR(INDEX('Code Mapping'!$E$5:$E$1753,MATCH($B222,'Code Mapping'!$A$5:$A$1753,0)),"Unmapped"))</f>
        <v>Corporate discount</v>
      </c>
      <c r="N222" s="33" t="str">
        <f aca="false">IF($F222="","",$F222)</f>
        <v>Urban Arena</v>
      </c>
    </row>
    <row r="223" customFormat="false" ht="15" hidden="false" customHeight="false" outlineLevel="0" collapsed="false">
      <c r="A223" s="33" t="n">
        <v>8069</v>
      </c>
      <c r="B223" s="33" t="s">
        <v>209</v>
      </c>
      <c r="C223" s="33" t="s">
        <v>210</v>
      </c>
      <c r="D223" s="33"/>
      <c r="E223" s="33" t="n">
        <v>133</v>
      </c>
      <c r="F223" s="33" t="s">
        <v>35</v>
      </c>
      <c r="G223" s="33" t="s">
        <v>112</v>
      </c>
      <c r="H223" s="33" t="n">
        <v>5</v>
      </c>
      <c r="I223" s="33" t="n">
        <v>21</v>
      </c>
      <c r="J223" s="33" t="n">
        <v>21</v>
      </c>
      <c r="K223" s="32" t="n">
        <v>186.75</v>
      </c>
      <c r="L223" s="33" t="str">
        <f aca="false">IF($B223="","",IFERROR(INDEX('Code Mapping'!$D$5:$D$1753,MATCH($B223,'Code Mapping'!$A$5:$A$1753,0)),"Unmapped"))</f>
        <v>Al Jazeera Imtiyazat</v>
      </c>
      <c r="M223" s="33" t="str">
        <f aca="false">IF($B223="","",IFERROR(INDEX('Code Mapping'!$E$5:$E$1753,MATCH($B223,'Code Mapping'!$A$5:$A$1753,0)),"Unmapped"))</f>
        <v>Corporate discount</v>
      </c>
      <c r="N223" s="33" t="str">
        <f aca="false">IF($F223="","",$F223)</f>
        <v>Urban Arena</v>
      </c>
    </row>
    <row r="224" customFormat="false" ht="15" hidden="false" customHeight="false" outlineLevel="0" collapsed="false">
      <c r="A224" s="33" t="n">
        <v>8071</v>
      </c>
      <c r="B224" s="33" t="s">
        <v>234</v>
      </c>
      <c r="C224" s="33" t="s">
        <v>235</v>
      </c>
      <c r="D224" s="33"/>
      <c r="E224" s="33" t="n">
        <v>133</v>
      </c>
      <c r="F224" s="33" t="s">
        <v>35</v>
      </c>
      <c r="G224" s="33" t="s">
        <v>112</v>
      </c>
      <c r="H224" s="33" t="n">
        <v>2</v>
      </c>
      <c r="I224" s="33" t="n">
        <v>8</v>
      </c>
      <c r="J224" s="33" t="n">
        <v>8</v>
      </c>
      <c r="K224" s="32" t="n">
        <v>78</v>
      </c>
      <c r="L224" s="33" t="str">
        <f aca="false">IF($B224="","",IFERROR(INDEX('Code Mapping'!$D$5:$D$1753,MATCH($B224,'Code Mapping'!$A$5:$A$1753,0)),"Unmapped"))</f>
        <v>Bein</v>
      </c>
      <c r="M224" s="33" t="str">
        <f aca="false">IF($B224="","",IFERROR(INDEX('Code Mapping'!$E$5:$E$1753,MATCH($B224,'Code Mapping'!$A$5:$A$1753,0)),"Unmapped"))</f>
        <v>Corporate discount</v>
      </c>
      <c r="N224" s="33" t="str">
        <f aca="false">IF($F224="","",$F224)</f>
        <v>Urban Arena</v>
      </c>
    </row>
    <row r="225" customFormat="false" ht="15" hidden="false" customHeight="false" outlineLevel="0" collapsed="false">
      <c r="A225" s="33" t="n">
        <v>8093</v>
      </c>
      <c r="B225" s="33" t="s">
        <v>167</v>
      </c>
      <c r="C225" s="33" t="s">
        <v>168</v>
      </c>
      <c r="D225" s="33"/>
      <c r="E225" s="33" t="n">
        <v>133</v>
      </c>
      <c r="F225" s="33" t="s">
        <v>35</v>
      </c>
      <c r="G225" s="33" t="s">
        <v>112</v>
      </c>
      <c r="H225" s="33" t="n">
        <v>4</v>
      </c>
      <c r="I225" s="33" t="n">
        <v>4</v>
      </c>
      <c r="J225" s="33" t="n">
        <v>4</v>
      </c>
      <c r="K225" s="32" t="n">
        <v>796</v>
      </c>
      <c r="L225" s="33" t="str">
        <f aca="false">IF($B225="","",IFERROR(INDEX('Code Mapping'!$D$5:$D$1753,MATCH($B225,'Code Mapping'!$A$5:$A$1753,0)),"Unmapped"))</f>
        <v>My Book</v>
      </c>
      <c r="M225" s="33" t="str">
        <f aca="false">IF($B225="","",IFERROR(INDEX('Code Mapping'!$E$5:$E$1753,MATCH($B225,'Code Mapping'!$A$5:$A$1753,0)),"Unmapped"))</f>
        <v>Aggregator BOGO</v>
      </c>
      <c r="N225" s="33" t="str">
        <f aca="false">IF($F225="","",$F225)</f>
        <v>Urban Arena</v>
      </c>
    </row>
    <row r="226" customFormat="false" ht="15" hidden="false" customHeight="false" outlineLevel="0" collapsed="false">
      <c r="A226" s="33" t="n">
        <v>8091</v>
      </c>
      <c r="B226" s="33" t="s">
        <v>252</v>
      </c>
      <c r="C226" s="33" t="s">
        <v>253</v>
      </c>
      <c r="D226" s="33"/>
      <c r="E226" s="33" t="n">
        <v>133</v>
      </c>
      <c r="F226" s="33" t="s">
        <v>35</v>
      </c>
      <c r="G226" s="33" t="s">
        <v>112</v>
      </c>
      <c r="H226" s="33" t="n">
        <v>1</v>
      </c>
      <c r="I226" s="33" t="n">
        <v>1</v>
      </c>
      <c r="J226" s="33" t="n">
        <v>1</v>
      </c>
      <c r="K226" s="32" t="n">
        <v>199</v>
      </c>
      <c r="L226" s="33" t="str">
        <f aca="false">IF($B226="","",IFERROR(INDEX('Code Mapping'!$D$5:$D$1753,MATCH($B226,'Code Mapping'!$A$5:$A$1753,0)),"Unmapped"))</f>
        <v>Classmate</v>
      </c>
      <c r="M226" s="33" t="str">
        <f aca="false">IF($B226="","",IFERROR(INDEX('Code Mapping'!$E$5:$E$1753,MATCH($B226,'Code Mapping'!$A$5:$A$1753,0)),"Unmapped"))</f>
        <v>Aggregator BOGO</v>
      </c>
      <c r="N226" s="33" t="str">
        <f aca="false">IF($F226="","",$F226)</f>
        <v>Urban Arena</v>
      </c>
    </row>
    <row r="227" customFormat="false" ht="15" hidden="false" customHeight="false" outlineLevel="0" collapsed="false">
      <c r="A227" s="33" t="n">
        <v>8078</v>
      </c>
      <c r="B227" s="33" t="s">
        <v>150</v>
      </c>
      <c r="C227" s="33" t="s">
        <v>151</v>
      </c>
      <c r="D227" s="33"/>
      <c r="E227" s="33" t="n">
        <v>133</v>
      </c>
      <c r="F227" s="33" t="s">
        <v>35</v>
      </c>
      <c r="G227" s="33" t="s">
        <v>112</v>
      </c>
      <c r="H227" s="33" t="n">
        <v>11</v>
      </c>
      <c r="I227" s="33" t="n">
        <v>47</v>
      </c>
      <c r="J227" s="33" t="n">
        <v>47</v>
      </c>
      <c r="K227" s="32" t="n">
        <v>384.75</v>
      </c>
      <c r="L227" s="33" t="str">
        <f aca="false">IF($B227="","",IFERROR(INDEX('Code Mapping'!$D$5:$D$1753,MATCH($B227,'Code Mapping'!$A$5:$A$1753,0)),"Unmapped"))</f>
        <v>Qatar Airways</v>
      </c>
      <c r="M227" s="33" t="str">
        <f aca="false">IF($B227="","",IFERROR(INDEX('Code Mapping'!$E$5:$E$1753,MATCH($B227,'Code Mapping'!$A$5:$A$1753,0)),"Unmapped"))</f>
        <v>Corporate discount</v>
      </c>
      <c r="N227" s="33" t="str">
        <f aca="false">IF($F227="","",$F227)</f>
        <v>Urban Arena</v>
      </c>
    </row>
    <row r="228" customFormat="false" ht="15" hidden="false" customHeight="false" outlineLevel="0" collapsed="false">
      <c r="A228" s="33" t="n">
        <v>8094</v>
      </c>
      <c r="B228" s="33" t="s">
        <v>169</v>
      </c>
      <c r="C228" s="33" t="s">
        <v>170</v>
      </c>
      <c r="D228" s="33"/>
      <c r="E228" s="33" t="n">
        <v>133</v>
      </c>
      <c r="F228" s="33" t="s">
        <v>35</v>
      </c>
      <c r="G228" s="33" t="s">
        <v>112</v>
      </c>
      <c r="H228" s="33" t="n">
        <v>9</v>
      </c>
      <c r="I228" s="33" t="n">
        <v>9</v>
      </c>
      <c r="J228" s="33" t="n">
        <v>9</v>
      </c>
      <c r="K228" s="32" t="n">
        <v>1791</v>
      </c>
      <c r="L228" s="33" t="str">
        <f aca="false">IF($B228="","",IFERROR(INDEX('Code Mapping'!$D$5:$D$1753,MATCH($B228,'Code Mapping'!$A$5:$A$1753,0)),"Unmapped"))</f>
        <v>Urban Point</v>
      </c>
      <c r="M228" s="33" t="str">
        <f aca="false">IF($B228="","",IFERROR(INDEX('Code Mapping'!$E$5:$E$1753,MATCH($B228,'Code Mapping'!$A$5:$A$1753,0)),"Unmapped"))</f>
        <v>Aggregator BOGO</v>
      </c>
      <c r="N228" s="33" t="str">
        <f aca="false">IF($F228="","",$F228)</f>
        <v>Urban Arena</v>
      </c>
    </row>
    <row r="229" customFormat="false" ht="15" hidden="false" customHeight="false" outlineLevel="0" collapsed="false">
      <c r="A229" s="33" t="n">
        <v>7953</v>
      </c>
      <c r="B229" s="33" t="s">
        <v>176</v>
      </c>
      <c r="C229" s="33" t="s">
        <v>177</v>
      </c>
      <c r="D229" s="33"/>
      <c r="E229" s="33" t="n">
        <v>94</v>
      </c>
      <c r="F229" s="33" t="s">
        <v>37</v>
      </c>
      <c r="G229" s="33" t="s">
        <v>112</v>
      </c>
      <c r="H229" s="33" t="n">
        <v>19</v>
      </c>
      <c r="I229" s="33" t="n">
        <v>19</v>
      </c>
      <c r="J229" s="33" t="n">
        <v>19</v>
      </c>
      <c r="K229" s="32" t="n">
        <v>4300</v>
      </c>
      <c r="L229" s="33" t="str">
        <f aca="false">IF($B229="","",IFERROR(INDEX('Code Mapping'!$D$5:$D$1753,MATCH($B229,'Code Mapping'!$A$5:$A$1753,0)),"Unmapped"))</f>
        <v>Urban Point</v>
      </c>
      <c r="M229" s="33" t="str">
        <f aca="false">IF($B229="","",IFERROR(INDEX('Code Mapping'!$E$5:$E$1753,MATCH($B229,'Code Mapping'!$A$5:$A$1753,0)),"Unmapped"))</f>
        <v>Aggregator BOGO</v>
      </c>
      <c r="N229" s="33" t="str">
        <f aca="false">IF($F229="","",$F229)</f>
        <v>Kids City Driving School</v>
      </c>
    </row>
    <row r="230" customFormat="false" ht="15" hidden="false" customHeight="false" outlineLevel="0" collapsed="false">
      <c r="A230" s="33" t="n">
        <v>8076</v>
      </c>
      <c r="B230" s="33" t="s">
        <v>157</v>
      </c>
      <c r="C230" s="33" t="s">
        <v>158</v>
      </c>
      <c r="D230" s="33"/>
      <c r="E230" s="33" t="n">
        <v>133</v>
      </c>
      <c r="F230" s="33" t="s">
        <v>35</v>
      </c>
      <c r="G230" s="33" t="s">
        <v>112</v>
      </c>
      <c r="H230" s="33" t="n">
        <v>9</v>
      </c>
      <c r="I230" s="33" t="n">
        <v>47</v>
      </c>
      <c r="J230" s="33" t="n">
        <v>47</v>
      </c>
      <c r="K230" s="32" t="n">
        <v>419.25</v>
      </c>
      <c r="L230" s="33" t="str">
        <f aca="false">IF($B230="","",IFERROR(INDEX('Code Mapping'!$D$5:$D$1753,MATCH($B230,'Code Mapping'!$A$5:$A$1753,0)),"Unmapped"))</f>
        <v>Public Health Sector (Sogha)</v>
      </c>
      <c r="M230" s="33" t="str">
        <f aca="false">IF($B230="","",IFERROR(INDEX('Code Mapping'!$E$5:$E$1753,MATCH($B230,'Code Mapping'!$A$5:$A$1753,0)),"Unmapped"))</f>
        <v>Corporate discount</v>
      </c>
      <c r="N230" s="33" t="str">
        <f aca="false">IF($F230="","",$F230)</f>
        <v>Urban Arena</v>
      </c>
    </row>
    <row r="231" customFormat="false" ht="15" hidden="false" customHeight="false" outlineLevel="0" collapsed="false">
      <c r="A231" s="33" t="n">
        <v>6797</v>
      </c>
      <c r="B231" s="33" t="s">
        <v>143</v>
      </c>
      <c r="C231" s="33" t="s">
        <v>144</v>
      </c>
      <c r="D231" s="33"/>
      <c r="E231" s="33" t="n">
        <v>91</v>
      </c>
      <c r="F231" s="33" t="s">
        <v>36</v>
      </c>
      <c r="G231" s="33" t="s">
        <v>112</v>
      </c>
      <c r="H231" s="33" t="n">
        <v>56</v>
      </c>
      <c r="I231" s="33" t="n">
        <v>56</v>
      </c>
      <c r="J231" s="33" t="n">
        <v>56</v>
      </c>
      <c r="K231" s="32" t="n">
        <v>10040</v>
      </c>
      <c r="L231" s="33" t="str">
        <f aca="false">IF($B231="","",IFERROR(INDEX('Code Mapping'!$D$5:$D$1753,MATCH($B231,'Code Mapping'!$A$5:$A$1753,0)),"Unmapped"))</f>
        <v>Urban Point</v>
      </c>
      <c r="M231" s="33" t="str">
        <f aca="false">IF($B231="","",IFERROR(INDEX('Code Mapping'!$E$5:$E$1753,MATCH($B231,'Code Mapping'!$A$5:$A$1753,0)),"Unmapped"))</f>
        <v>Aggregator BOGO</v>
      </c>
      <c r="N231" s="33" t="str">
        <f aca="false">IF($F231="","",$F231)</f>
        <v>InflataPark</v>
      </c>
    </row>
    <row r="232" customFormat="false" ht="15" hidden="false" customHeight="false" outlineLevel="0" collapsed="false">
      <c r="A232" s="33" t="n">
        <v>6826</v>
      </c>
      <c r="B232" s="33" t="s">
        <v>173</v>
      </c>
      <c r="C232" s="33" t="s">
        <v>174</v>
      </c>
      <c r="D232" s="33"/>
      <c r="E232" s="33" t="n">
        <v>61</v>
      </c>
      <c r="F232" s="33" t="s">
        <v>38</v>
      </c>
      <c r="G232" s="33" t="s">
        <v>112</v>
      </c>
      <c r="H232" s="33" t="n">
        <v>5</v>
      </c>
      <c r="I232" s="33" t="n">
        <v>5</v>
      </c>
      <c r="J232" s="33" t="n">
        <v>5</v>
      </c>
      <c r="K232" s="32" t="n">
        <v>500</v>
      </c>
      <c r="L232" s="33" t="str">
        <f aca="false">IF($B232="","",IFERROR(INDEX('Code Mapping'!$D$5:$D$1753,MATCH($B232,'Code Mapping'!$A$5:$A$1753,0)),"Unmapped"))</f>
        <v>Urban Point</v>
      </c>
      <c r="M232" s="33" t="str">
        <f aca="false">IF($B232="","",IFERROR(INDEX('Code Mapping'!$E$5:$E$1753,MATCH($B232,'Code Mapping'!$A$5:$A$1753,0)),"Unmapped"))</f>
        <v>Aggregator BOGO</v>
      </c>
      <c r="N232" s="33" t="str">
        <f aca="false">IF($F232="","",$F232)</f>
        <v>Crayons &amp; Bricks Vendome</v>
      </c>
    </row>
    <row r="233" customFormat="false" ht="15" hidden="false" customHeight="false" outlineLevel="0" collapsed="false">
      <c r="A233" s="33" t="n">
        <v>8105</v>
      </c>
      <c r="B233" s="33" t="s">
        <v>261</v>
      </c>
      <c r="C233" s="33" t="s">
        <v>151</v>
      </c>
      <c r="D233" s="33"/>
      <c r="E233" s="33" t="n">
        <v>61</v>
      </c>
      <c r="F233" s="33" t="s">
        <v>38</v>
      </c>
      <c r="G233" s="33" t="s">
        <v>112</v>
      </c>
      <c r="H233" s="33" t="n">
        <v>2</v>
      </c>
      <c r="I233" s="33" t="n">
        <v>6</v>
      </c>
      <c r="J233" s="33" t="n">
        <v>6</v>
      </c>
      <c r="K233" s="32" t="n">
        <v>51</v>
      </c>
      <c r="L233" s="33" t="str">
        <f aca="false">IF($B233="","",IFERROR(INDEX('Code Mapping'!$D$5:$D$1753,MATCH($B233,'Code Mapping'!$A$5:$A$1753,0)),"Unmapped"))</f>
        <v>Qatar Airways</v>
      </c>
      <c r="M233" s="33" t="str">
        <f aca="false">IF($B233="","",IFERROR(INDEX('Code Mapping'!$E$5:$E$1753,MATCH($B233,'Code Mapping'!$A$5:$A$1753,0)),"Unmapped"))</f>
        <v>Corporate discount</v>
      </c>
      <c r="N233" s="33" t="str">
        <f aca="false">IF($F233="","",$F233)</f>
        <v>Crayons &amp; Bricks Vendome</v>
      </c>
    </row>
    <row r="234" customFormat="false" ht="15" hidden="false" customHeight="false" outlineLevel="0" collapsed="false">
      <c r="A234" s="33" t="n">
        <v>8059</v>
      </c>
      <c r="B234" s="33" t="s">
        <v>217</v>
      </c>
      <c r="C234" s="33" t="s">
        <v>218</v>
      </c>
      <c r="D234" s="33"/>
      <c r="E234" s="33" t="n">
        <v>94</v>
      </c>
      <c r="F234" s="33" t="s">
        <v>37</v>
      </c>
      <c r="G234" s="33" t="s">
        <v>112</v>
      </c>
      <c r="H234" s="33" t="n">
        <v>3</v>
      </c>
      <c r="I234" s="33" t="n">
        <v>15</v>
      </c>
      <c r="J234" s="33" t="n">
        <v>15</v>
      </c>
      <c r="K234" s="32" t="n">
        <v>89.25</v>
      </c>
      <c r="L234" s="33" t="str">
        <f aca="false">IF($B234="","",IFERROR(INDEX('Code Mapping'!$D$5:$D$1753,MATCH($B234,'Code Mapping'!$A$5:$A$1753,0)),"Unmapped"))</f>
        <v>Al Jazeera Imtiyazat</v>
      </c>
      <c r="M234" s="33" t="str">
        <f aca="false">IF($B234="","",IFERROR(INDEX('Code Mapping'!$E$5:$E$1753,MATCH($B234,'Code Mapping'!$A$5:$A$1753,0)),"Unmapped"))</f>
        <v>Corporate discount</v>
      </c>
      <c r="N234" s="33" t="str">
        <f aca="false">IF($F234="","",$F234)</f>
        <v>Kids City Driving School</v>
      </c>
    </row>
    <row r="235" customFormat="false" ht="15" hidden="false" customHeight="false" outlineLevel="0" collapsed="false">
      <c r="A235" s="33" t="n">
        <v>8075</v>
      </c>
      <c r="B235" s="33" t="s">
        <v>186</v>
      </c>
      <c r="C235" s="33" t="s">
        <v>139</v>
      </c>
      <c r="D235" s="33"/>
      <c r="E235" s="33" t="n">
        <v>133</v>
      </c>
      <c r="F235" s="33" t="s">
        <v>35</v>
      </c>
      <c r="G235" s="33" t="s">
        <v>112</v>
      </c>
      <c r="H235" s="33" t="n">
        <v>8</v>
      </c>
      <c r="I235" s="33" t="n">
        <v>37</v>
      </c>
      <c r="J235" s="33" t="n">
        <v>37</v>
      </c>
      <c r="K235" s="32" t="n">
        <v>282.75</v>
      </c>
      <c r="L235" s="33" t="str">
        <f aca="false">IF($B235="","",IFERROR(INDEX('Code Mapping'!$D$5:$D$1753,MATCH($B235,'Code Mapping'!$A$5:$A$1753,0)),"Unmapped"))</f>
        <v>Imtyazat</v>
      </c>
      <c r="M235" s="33" t="str">
        <f aca="false">IF($B235="","",IFERROR(INDEX('Code Mapping'!$E$5:$E$1753,MATCH($B235,'Code Mapping'!$A$5:$A$1753,0)),"Unmapped"))</f>
        <v>Corporate discount</v>
      </c>
      <c r="N235" s="33" t="str">
        <f aca="false">IF($F235="","",$F235)</f>
        <v>Urban Arena</v>
      </c>
    </row>
    <row r="236" customFormat="false" ht="15" hidden="false" customHeight="false" outlineLevel="0" collapsed="false">
      <c r="A236" s="33" t="n">
        <v>5538</v>
      </c>
      <c r="B236" s="33" t="s">
        <v>247</v>
      </c>
      <c r="C236" s="33" t="s">
        <v>248</v>
      </c>
      <c r="D236" s="33"/>
      <c r="E236" s="33" t="n">
        <v>91</v>
      </c>
      <c r="F236" s="33" t="s">
        <v>36</v>
      </c>
      <c r="G236" s="33" t="s">
        <v>112</v>
      </c>
      <c r="H236" s="33" t="n">
        <v>1</v>
      </c>
      <c r="I236" s="33" t="n">
        <v>1</v>
      </c>
      <c r="J236" s="33" t="n">
        <v>1</v>
      </c>
      <c r="K236" s="32" t="n">
        <v>11.25</v>
      </c>
      <c r="L236" s="33" t="str">
        <f aca="false">IF($B236="","",IFERROR(INDEX('Code Mapping'!$D$5:$D$1753,MATCH($B236,'Code Mapping'!$A$5:$A$1753,0)),"Unmapped"))</f>
        <v>Internal / promotion</v>
      </c>
      <c r="M236" s="33" t="str">
        <f aca="false">IF($B236="","",IFERROR(INDEX('Code Mapping'!$E$5:$E$1753,MATCH($B236,'Code Mapping'!$A$5:$A$1753,0)),"Unmapped"))</f>
        <v>Internal / promotion</v>
      </c>
      <c r="N236" s="33" t="str">
        <f aca="false">IF($F236="","",$F236)</f>
        <v>InflataPark</v>
      </c>
    </row>
    <row r="237" customFormat="false" ht="15" hidden="false" customHeight="false" outlineLevel="0" collapsed="false">
      <c r="A237" s="33" t="n">
        <v>5484</v>
      </c>
      <c r="B237" s="33" t="s">
        <v>205</v>
      </c>
      <c r="C237" s="33" t="s">
        <v>206</v>
      </c>
      <c r="D237" s="33"/>
      <c r="E237" s="33" t="n">
        <v>91</v>
      </c>
      <c r="F237" s="33" t="s">
        <v>36</v>
      </c>
      <c r="G237" s="33" t="s">
        <v>112</v>
      </c>
      <c r="H237" s="33" t="n">
        <v>2</v>
      </c>
      <c r="I237" s="33" t="n">
        <v>2</v>
      </c>
      <c r="J237" s="33" t="n">
        <v>2</v>
      </c>
      <c r="K237" s="32" t="n">
        <v>114</v>
      </c>
      <c r="L237" s="33" t="str">
        <f aca="false">IF($B237="","",IFERROR(INDEX('Code Mapping'!$D$5:$D$1753,MATCH($B237,'Code Mapping'!$A$5:$A$1753,0)),"Unmapped"))</f>
        <v>Internal / promotion</v>
      </c>
      <c r="M237" s="33" t="str">
        <f aca="false">IF($B237="","",IFERROR(INDEX('Code Mapping'!$E$5:$E$1753,MATCH($B237,'Code Mapping'!$A$5:$A$1753,0)),"Unmapped"))</f>
        <v>Internal / promotion</v>
      </c>
      <c r="N237" s="33" t="str">
        <f aca="false">IF($F237="","",$F237)</f>
        <v>InflataPark</v>
      </c>
    </row>
    <row r="238" customFormat="false" ht="15" hidden="false" customHeight="false" outlineLevel="0" collapsed="false">
      <c r="A238" s="33" t="n">
        <v>8045</v>
      </c>
      <c r="B238" s="33" t="s">
        <v>208</v>
      </c>
      <c r="C238" s="33" t="s">
        <v>170</v>
      </c>
      <c r="D238" s="33"/>
      <c r="E238" s="33" t="n">
        <v>91</v>
      </c>
      <c r="F238" s="33" t="s">
        <v>36</v>
      </c>
      <c r="G238" s="33" t="s">
        <v>112</v>
      </c>
      <c r="H238" s="33" t="n">
        <v>1</v>
      </c>
      <c r="I238" s="33" t="n">
        <v>1</v>
      </c>
      <c r="J238" s="33" t="n">
        <v>1</v>
      </c>
      <c r="K238" s="32" t="n">
        <v>199</v>
      </c>
      <c r="L238" s="33" t="str">
        <f aca="false">IF($B238="","",IFERROR(INDEX('Code Mapping'!$D$5:$D$1753,MATCH($B238,'Code Mapping'!$A$5:$A$1753,0)),"Unmapped"))</f>
        <v>Urban Point</v>
      </c>
      <c r="M238" s="33" t="str">
        <f aca="false">IF($B238="","",IFERROR(INDEX('Code Mapping'!$E$5:$E$1753,MATCH($B238,'Code Mapping'!$A$5:$A$1753,0)),"Unmapped"))</f>
        <v>Aggregator BOGO</v>
      </c>
      <c r="N238" s="33" t="str">
        <f aca="false">IF($F238="","",$F238)</f>
        <v>InflataPark</v>
      </c>
    </row>
    <row r="239" customFormat="false" ht="15" hidden="false" customHeight="false" outlineLevel="0" collapsed="false">
      <c r="A239" s="33" t="n">
        <v>8070</v>
      </c>
      <c r="B239" s="33" t="s">
        <v>199</v>
      </c>
      <c r="C239" s="33" t="s">
        <v>200</v>
      </c>
      <c r="D239" s="33"/>
      <c r="E239" s="33" t="n">
        <v>133</v>
      </c>
      <c r="F239" s="33" t="s">
        <v>35</v>
      </c>
      <c r="G239" s="33" t="s">
        <v>112</v>
      </c>
      <c r="H239" s="33" t="n">
        <v>4</v>
      </c>
      <c r="I239" s="33" t="n">
        <v>15</v>
      </c>
      <c r="J239" s="33" t="n">
        <v>15</v>
      </c>
      <c r="K239" s="32" t="n">
        <v>153.75</v>
      </c>
      <c r="L239" s="33" t="str">
        <f aca="false">IF($B239="","",IFERROR(INDEX('Code Mapping'!$D$5:$D$1753,MATCH($B239,'Code Mapping'!$A$5:$A$1753,0)),"Unmapped"))</f>
        <v>Aspire</v>
      </c>
      <c r="M239" s="33" t="str">
        <f aca="false">IF($B239="","",IFERROR(INDEX('Code Mapping'!$E$5:$E$1753,MATCH($B239,'Code Mapping'!$A$5:$A$1753,0)),"Unmapped"))</f>
        <v>Corporate discount</v>
      </c>
      <c r="N239" s="33" t="str">
        <f aca="false">IF($F239="","",$F239)</f>
        <v>Urban Arena</v>
      </c>
    </row>
    <row r="240" customFormat="false" ht="15" hidden="false" customHeight="false" outlineLevel="0" collapsed="false">
      <c r="A240" s="33" t="n">
        <v>8079</v>
      </c>
      <c r="B240" s="33" t="s">
        <v>154</v>
      </c>
      <c r="C240" s="33" t="s">
        <v>155</v>
      </c>
      <c r="D240" s="33" t="s">
        <v>140</v>
      </c>
      <c r="E240" s="33" t="n">
        <v>133</v>
      </c>
      <c r="F240" s="33" t="s">
        <v>35</v>
      </c>
      <c r="G240" s="33" t="s">
        <v>112</v>
      </c>
      <c r="H240" s="33" t="n">
        <v>24</v>
      </c>
      <c r="I240" s="33" t="n">
        <v>117</v>
      </c>
      <c r="J240" s="33" t="n">
        <v>117</v>
      </c>
      <c r="K240" s="32" t="n">
        <v>924.6</v>
      </c>
      <c r="L240" s="33" t="str">
        <f aca="false">IF($B240="","",IFERROR(INDEX('Code Mapping'!$D$5:$D$1753,MATCH($B240,'Code Mapping'!$A$5:$A$1753,0)),"Unmapped"))</f>
        <v>Qatar Foundation</v>
      </c>
      <c r="M240" s="33" t="str">
        <f aca="false">IF($B240="","",IFERROR(INDEX('Code Mapping'!$E$5:$E$1753,MATCH($B240,'Code Mapping'!$A$5:$A$1753,0)),"Unmapped"))</f>
        <v>Corporate discount</v>
      </c>
      <c r="N240" s="33" t="str">
        <f aca="false">IF($F240="","",$F240)</f>
        <v>Urban Arena</v>
      </c>
    </row>
    <row r="241" customFormat="false" ht="15" hidden="false" customHeight="false" outlineLevel="0" collapsed="false">
      <c r="A241" s="33" t="n">
        <v>8040</v>
      </c>
      <c r="B241" s="33" t="s">
        <v>433</v>
      </c>
      <c r="C241" s="33" t="s">
        <v>434</v>
      </c>
      <c r="D241" s="33"/>
      <c r="E241" s="33" t="n">
        <v>133</v>
      </c>
      <c r="F241" s="33" t="s">
        <v>35</v>
      </c>
      <c r="G241" s="33" t="s">
        <v>112</v>
      </c>
      <c r="H241" s="33" t="n">
        <v>1</v>
      </c>
      <c r="I241" s="33" t="n">
        <v>14</v>
      </c>
      <c r="J241" s="33" t="n">
        <v>14</v>
      </c>
      <c r="K241" s="32" t="n">
        <v>277.2</v>
      </c>
      <c r="L241" s="33" t="str">
        <f aca="false">IF($B241="","",IFERROR(INDEX('Code Mapping'!$D$5:$D$1753,MATCH($B241,'Code Mapping'!$A$5:$A$1753,0)),"Unmapped"))</f>
        <v>Unmapped</v>
      </c>
      <c r="M241" s="33" t="str">
        <f aca="false">IF($B241="","",IFERROR(INDEX('Code Mapping'!$E$5:$E$1753,MATCH($B241,'Code Mapping'!$A$5:$A$1753,0)),"Unmapped"))</f>
        <v>Unmapped</v>
      </c>
      <c r="N241" s="33" t="str">
        <f aca="false">IF($F241="","",$F241)</f>
        <v>Urban Arena</v>
      </c>
    </row>
    <row r="242" customFormat="false" ht="15" hidden="false" customHeight="false" outlineLevel="0" collapsed="false">
      <c r="A242" s="33" t="n">
        <v>8077</v>
      </c>
      <c r="B242" s="33" t="s">
        <v>219</v>
      </c>
      <c r="C242" s="33" t="s">
        <v>220</v>
      </c>
      <c r="D242" s="33"/>
      <c r="E242" s="33" t="n">
        <v>133</v>
      </c>
      <c r="F242" s="33" t="s">
        <v>35</v>
      </c>
      <c r="G242" s="33" t="s">
        <v>112</v>
      </c>
      <c r="H242" s="33" t="n">
        <v>1</v>
      </c>
      <c r="I242" s="33" t="n">
        <v>3</v>
      </c>
      <c r="J242" s="33" t="n">
        <v>3</v>
      </c>
      <c r="K242" s="32" t="n">
        <v>20.25</v>
      </c>
      <c r="L242" s="33" t="str">
        <f aca="false">IF($B242="","",IFERROR(INDEX('Code Mapping'!$D$5:$D$1753,MATCH($B242,'Code Mapping'!$A$5:$A$1753,0)),"Unmapped"))</f>
        <v>QIB</v>
      </c>
      <c r="M242" s="33" t="str">
        <f aca="false">IF($B242="","",IFERROR(INDEX('Code Mapping'!$E$5:$E$1753,MATCH($B242,'Code Mapping'!$A$5:$A$1753,0)),"Unmapped"))</f>
        <v>Corporate discount</v>
      </c>
      <c r="N242" s="33" t="str">
        <f aca="false">IF($F242="","",$F242)</f>
        <v>Urban Arena</v>
      </c>
    </row>
    <row r="243" customFormat="false" ht="15" hidden="false" customHeight="false" outlineLevel="0" collapsed="false">
      <c r="A243" s="33" t="n">
        <v>8038</v>
      </c>
      <c r="B243" s="33" t="s">
        <v>123</v>
      </c>
      <c r="C243" s="33" t="s">
        <v>124</v>
      </c>
      <c r="D243" s="33"/>
      <c r="E243" s="33" t="n">
        <v>133</v>
      </c>
      <c r="F243" s="33" t="s">
        <v>35</v>
      </c>
      <c r="G243" s="33" t="s">
        <v>112</v>
      </c>
      <c r="H243" s="33" t="n">
        <v>89</v>
      </c>
      <c r="I243" s="33" t="n">
        <v>134</v>
      </c>
      <c r="J243" s="33" t="n">
        <v>134</v>
      </c>
      <c r="K243" s="32" t="n">
        <v>675.5</v>
      </c>
      <c r="L243" s="33" t="str">
        <f aca="false">IF($B243="","",IFERROR(INDEX('Code Mapping'!$D$5:$D$1753,MATCH($B243,'Code Mapping'!$A$5:$A$1753,0)),"Unmapped"))</f>
        <v>Internal / promotion</v>
      </c>
      <c r="M243" s="33" t="str">
        <f aca="false">IF($B243="","",IFERROR(INDEX('Code Mapping'!$E$5:$E$1753,MATCH($B243,'Code Mapping'!$A$5:$A$1753,0)),"Unmapped"))</f>
        <v>Internal / promotion</v>
      </c>
      <c r="N243" s="33" t="str">
        <f aca="false">IF($F243="","",$F243)</f>
        <v>Urban Arena</v>
      </c>
    </row>
    <row r="244" customFormat="false" ht="15" hidden="false" customHeight="false" outlineLevel="0" collapsed="false">
      <c r="A244" s="33" t="n">
        <v>8095</v>
      </c>
      <c r="B244" s="33" t="s">
        <v>178</v>
      </c>
      <c r="C244" s="33" t="s">
        <v>179</v>
      </c>
      <c r="D244" s="33"/>
      <c r="E244" s="33" t="n">
        <v>61</v>
      </c>
      <c r="F244" s="33" t="s">
        <v>38</v>
      </c>
      <c r="G244" s="33" t="s">
        <v>112</v>
      </c>
      <c r="H244" s="33" t="n">
        <v>14</v>
      </c>
      <c r="I244" s="33" t="n">
        <v>14</v>
      </c>
      <c r="J244" s="33" t="n">
        <v>14</v>
      </c>
      <c r="K244" s="32" t="n">
        <v>1400</v>
      </c>
      <c r="L244" s="33" t="str">
        <f aca="false">IF($B244="","",IFERROR(INDEX('Code Mapping'!$D$5:$D$1753,MATCH($B244,'Code Mapping'!$A$5:$A$1753,0)),"Unmapped"))</f>
        <v>Entertainer</v>
      </c>
      <c r="M244" s="33" t="str">
        <f aca="false">IF($B244="","",IFERROR(INDEX('Code Mapping'!$E$5:$E$1753,MATCH($B244,'Code Mapping'!$A$5:$A$1753,0)),"Unmapped"))</f>
        <v>Aggregator BOGO</v>
      </c>
      <c r="N244" s="33" t="str">
        <f aca="false">IF($F244="","",$F244)</f>
        <v>Crayons &amp; Bricks Vendome</v>
      </c>
    </row>
    <row r="245" customFormat="false" ht="15" hidden="false" customHeight="false" outlineLevel="0" collapsed="false">
      <c r="A245" s="33" t="n">
        <v>8097</v>
      </c>
      <c r="B245" s="33" t="s">
        <v>171</v>
      </c>
      <c r="C245" s="33" t="s">
        <v>170</v>
      </c>
      <c r="D245" s="33"/>
      <c r="E245" s="33" t="n">
        <v>61</v>
      </c>
      <c r="F245" s="33" t="s">
        <v>38</v>
      </c>
      <c r="G245" s="33" t="s">
        <v>112</v>
      </c>
      <c r="H245" s="33" t="n">
        <v>14</v>
      </c>
      <c r="I245" s="33" t="n">
        <v>14</v>
      </c>
      <c r="J245" s="33" t="n">
        <v>14</v>
      </c>
      <c r="K245" s="32" t="n">
        <v>1400</v>
      </c>
      <c r="L245" s="33" t="str">
        <f aca="false">IF($B245="","",IFERROR(INDEX('Code Mapping'!$D$5:$D$1753,MATCH($B245,'Code Mapping'!$A$5:$A$1753,0)),"Unmapped"))</f>
        <v>Urban Point</v>
      </c>
      <c r="M245" s="33" t="str">
        <f aca="false">IF($B245="","",IFERROR(INDEX('Code Mapping'!$E$5:$E$1753,MATCH($B245,'Code Mapping'!$A$5:$A$1753,0)),"Unmapped"))</f>
        <v>Aggregator BOGO</v>
      </c>
      <c r="N245" s="33" t="str">
        <f aca="false">IF($F245="","",$F245)</f>
        <v>Crayons &amp; Bricks Vendome</v>
      </c>
    </row>
    <row r="246" customFormat="false" ht="15" hidden="false" customHeight="false" outlineLevel="0" collapsed="false">
      <c r="A246" s="33" t="n">
        <v>8096</v>
      </c>
      <c r="B246" s="33" t="s">
        <v>280</v>
      </c>
      <c r="C246" s="33" t="s">
        <v>281</v>
      </c>
      <c r="D246" s="33"/>
      <c r="E246" s="33" t="n">
        <v>61</v>
      </c>
      <c r="F246" s="33" t="s">
        <v>38</v>
      </c>
      <c r="G246" s="33" t="s">
        <v>112</v>
      </c>
      <c r="H246" s="33" t="n">
        <v>1</v>
      </c>
      <c r="I246" s="33" t="n">
        <v>1</v>
      </c>
      <c r="J246" s="33" t="n">
        <v>1</v>
      </c>
      <c r="K246" s="32" t="n">
        <v>100</v>
      </c>
      <c r="L246" s="33" t="str">
        <f aca="false">IF($B246="","",IFERROR(INDEX('Code Mapping'!$D$5:$D$1753,MATCH($B246,'Code Mapping'!$A$5:$A$1753,0)),"Unmapped"))</f>
        <v>Qatar Living Deals</v>
      </c>
      <c r="M246" s="33" t="str">
        <f aca="false">IF($B246="","",IFERROR(INDEX('Code Mapping'!$E$5:$E$1753,MATCH($B246,'Code Mapping'!$A$5:$A$1753,0)),"Unmapped"))</f>
        <v>Aggregator BOGO</v>
      </c>
      <c r="N246" s="33" t="str">
        <f aca="false">IF($F246="","",$F246)</f>
        <v>Crayons &amp; Bricks Vendome</v>
      </c>
    </row>
    <row r="247" customFormat="false" ht="15" hidden="false" customHeight="false" outlineLevel="0" collapsed="false">
      <c r="A247" s="33" t="n">
        <v>7952</v>
      </c>
      <c r="B247" s="33" t="s">
        <v>184</v>
      </c>
      <c r="C247" s="33" t="s">
        <v>185</v>
      </c>
      <c r="D247" s="33"/>
      <c r="E247" s="33" t="n">
        <v>94</v>
      </c>
      <c r="F247" s="33" t="s">
        <v>37</v>
      </c>
      <c r="G247" s="33" t="s">
        <v>112</v>
      </c>
      <c r="H247" s="33" t="n">
        <v>17</v>
      </c>
      <c r="I247" s="33" t="n">
        <v>17</v>
      </c>
      <c r="J247" s="33" t="n">
        <v>17</v>
      </c>
      <c r="K247" s="32" t="n">
        <v>3925</v>
      </c>
      <c r="L247" s="33" t="str">
        <f aca="false">IF($B247="","",IFERROR(INDEX('Code Mapping'!$D$5:$D$1753,MATCH($B247,'Code Mapping'!$A$5:$A$1753,0)),"Unmapped"))</f>
        <v>My Book</v>
      </c>
      <c r="M247" s="33" t="str">
        <f aca="false">IF($B247="","",IFERROR(INDEX('Code Mapping'!$E$5:$E$1753,MATCH($B247,'Code Mapping'!$A$5:$A$1753,0)),"Unmapped"))</f>
        <v>Aggregator BOGO</v>
      </c>
      <c r="N247" s="33" t="str">
        <f aca="false">IF($F247="","",$F247)</f>
        <v>Kids City Driving School</v>
      </c>
    </row>
    <row r="248" customFormat="false" ht="15" hidden="false" customHeight="false" outlineLevel="0" collapsed="false">
      <c r="A248" s="33" t="n">
        <v>5557</v>
      </c>
      <c r="B248" s="33" t="s">
        <v>181</v>
      </c>
      <c r="C248" s="33"/>
      <c r="D248" s="33"/>
      <c r="E248" s="33" t="n">
        <v>61</v>
      </c>
      <c r="F248" s="33" t="s">
        <v>38</v>
      </c>
      <c r="G248" s="33" t="s">
        <v>112</v>
      </c>
      <c r="H248" s="33" t="n">
        <v>10</v>
      </c>
      <c r="I248" s="33" t="n">
        <v>10</v>
      </c>
      <c r="J248" s="33" t="n">
        <v>10</v>
      </c>
      <c r="K248" s="32" t="n">
        <v>1000</v>
      </c>
      <c r="L248" s="33" t="str">
        <f aca="false">IF($B248="","",IFERROR(INDEX('Code Mapping'!$D$5:$D$1753,MATCH($B248,'Code Mapping'!$A$5:$A$1753,0)),"Unmapped"))</f>
        <v>Entertainer</v>
      </c>
      <c r="M248" s="33" t="str">
        <f aca="false">IF($B248="","",IFERROR(INDEX('Code Mapping'!$E$5:$E$1753,MATCH($B248,'Code Mapping'!$A$5:$A$1753,0)),"Unmapped"))</f>
        <v>Aggregator BOGO</v>
      </c>
      <c r="N248" s="33" t="str">
        <f aca="false">IF($F248="","",$F248)</f>
        <v>Crayons &amp; Bricks Vendome</v>
      </c>
    </row>
    <row r="249" customFormat="false" ht="15" hidden="false" customHeight="false" outlineLevel="0" collapsed="false">
      <c r="A249" s="33" t="n">
        <v>6796</v>
      </c>
      <c r="B249" s="33" t="s">
        <v>162</v>
      </c>
      <c r="C249" s="33" t="s">
        <v>163</v>
      </c>
      <c r="D249" s="33"/>
      <c r="E249" s="33" t="n">
        <v>91</v>
      </c>
      <c r="F249" s="33" t="s">
        <v>36</v>
      </c>
      <c r="G249" s="33" t="s">
        <v>112</v>
      </c>
      <c r="H249" s="33" t="n">
        <v>14</v>
      </c>
      <c r="I249" s="33" t="n">
        <v>14</v>
      </c>
      <c r="J249" s="33" t="n">
        <v>14</v>
      </c>
      <c r="K249" s="32" t="n">
        <v>2660</v>
      </c>
      <c r="L249" s="33" t="str">
        <f aca="false">IF($B249="","",IFERROR(INDEX('Code Mapping'!$D$5:$D$1753,MATCH($B249,'Code Mapping'!$A$5:$A$1753,0)),"Unmapped"))</f>
        <v>Entertainer</v>
      </c>
      <c r="M249" s="33" t="str">
        <f aca="false">IF($B249="","",IFERROR(INDEX('Code Mapping'!$E$5:$E$1753,MATCH($B249,'Code Mapping'!$A$5:$A$1753,0)),"Unmapped"))</f>
        <v>Aggregator BOGO</v>
      </c>
      <c r="N249" s="33" t="str">
        <f aca="false">IF($F249="","",$F249)</f>
        <v>InflataPark</v>
      </c>
    </row>
    <row r="250" customFormat="false" ht="15" hidden="false" customHeight="false" outlineLevel="0" collapsed="false">
      <c r="A250" s="33" t="n">
        <v>8041</v>
      </c>
      <c r="B250" s="33" t="s">
        <v>263</v>
      </c>
      <c r="C250" s="33"/>
      <c r="D250" s="33"/>
      <c r="E250" s="33" t="n">
        <v>133</v>
      </c>
      <c r="F250" s="33" t="s">
        <v>35</v>
      </c>
      <c r="G250" s="33" t="s">
        <v>112</v>
      </c>
      <c r="H250" s="33" t="n">
        <v>6</v>
      </c>
      <c r="I250" s="33" t="n">
        <v>33</v>
      </c>
      <c r="J250" s="33" t="n">
        <v>33</v>
      </c>
      <c r="K250" s="32" t="n">
        <v>313.5</v>
      </c>
      <c r="L250" s="33" t="str">
        <f aca="false">IF($B250="","",IFERROR(INDEX('Code Mapping'!$D$5:$D$1753,MATCH($B250,'Code Mapping'!$A$5:$A$1753,0)),"Unmapped"))</f>
        <v>Internal / promotion</v>
      </c>
      <c r="M250" s="33" t="str">
        <f aca="false">IF($B250="","",IFERROR(INDEX('Code Mapping'!$E$5:$E$1753,MATCH($B250,'Code Mapping'!$A$5:$A$1753,0)),"Unmapped"))</f>
        <v>Internal / promotion</v>
      </c>
      <c r="N250" s="33" t="str">
        <f aca="false">IF($F250="","",$F250)</f>
        <v>Urban Arena</v>
      </c>
    </row>
    <row r="251" customFormat="false" ht="15" hidden="false" customHeight="false" outlineLevel="0" collapsed="false">
      <c r="A251" s="33" t="n">
        <v>6805</v>
      </c>
      <c r="B251" s="33" t="s">
        <v>229</v>
      </c>
      <c r="C251" s="33" t="s">
        <v>230</v>
      </c>
      <c r="D251" s="33"/>
      <c r="E251" s="33" t="n">
        <v>91</v>
      </c>
      <c r="F251" s="33" t="s">
        <v>36</v>
      </c>
      <c r="G251" s="33" t="s">
        <v>112</v>
      </c>
      <c r="H251" s="33" t="n">
        <v>2</v>
      </c>
      <c r="I251" s="33" t="n">
        <v>3</v>
      </c>
      <c r="J251" s="33" t="n">
        <v>3</v>
      </c>
      <c r="K251" s="32" t="n">
        <v>42</v>
      </c>
      <c r="L251" s="33" t="str">
        <f aca="false">IF($B251="","",IFERROR(INDEX('Code Mapping'!$D$5:$D$1753,MATCH($B251,'Code Mapping'!$A$5:$A$1753,0)),"Unmapped"))</f>
        <v>HMC (not on master)</v>
      </c>
      <c r="M251" s="33" t="str">
        <f aca="false">IF($B251="","",IFERROR(INDEX('Code Mapping'!$E$5:$E$1753,MATCH($B251,'Code Mapping'!$A$5:$A$1753,0)),"Unmapped"))</f>
        <v>Not on master</v>
      </c>
      <c r="N251" s="33" t="str">
        <f aca="false">IF($F251="","",$F251)</f>
        <v>InflataPark</v>
      </c>
    </row>
    <row r="252" customFormat="false" ht="15" hidden="false" customHeight="false" outlineLevel="0" collapsed="false">
      <c r="A252" s="33" t="n">
        <v>8046</v>
      </c>
      <c r="B252" s="33" t="s">
        <v>222</v>
      </c>
      <c r="C252" s="33" t="s">
        <v>210</v>
      </c>
      <c r="D252" s="33"/>
      <c r="E252" s="33" t="n">
        <v>91</v>
      </c>
      <c r="F252" s="33" t="s">
        <v>36</v>
      </c>
      <c r="G252" s="33" t="s">
        <v>112</v>
      </c>
      <c r="H252" s="33" t="n">
        <v>1</v>
      </c>
      <c r="I252" s="33" t="n">
        <v>2</v>
      </c>
      <c r="J252" s="33" t="n">
        <v>2</v>
      </c>
      <c r="K252" s="32" t="n">
        <v>13.5</v>
      </c>
      <c r="L252" s="33" t="str">
        <f aca="false">IF($B252="","",IFERROR(INDEX('Code Mapping'!$D$5:$D$1753,MATCH($B252,'Code Mapping'!$A$5:$A$1753,0)),"Unmapped"))</f>
        <v>Al Jazeera Imtiyazat</v>
      </c>
      <c r="M252" s="33" t="str">
        <f aca="false">IF($B252="","",IFERROR(INDEX('Code Mapping'!$E$5:$E$1753,MATCH($B252,'Code Mapping'!$A$5:$A$1753,0)),"Unmapped"))</f>
        <v>Corporate discount</v>
      </c>
      <c r="N252" s="33" t="str">
        <f aca="false">IF($F252="","",$F252)</f>
        <v>InflataPark</v>
      </c>
    </row>
    <row r="253" customFormat="false" ht="15" hidden="false" customHeight="false" outlineLevel="0" collapsed="false">
      <c r="A253" s="33" t="n">
        <v>8052</v>
      </c>
      <c r="B253" s="33" t="s">
        <v>149</v>
      </c>
      <c r="C253" s="33" t="s">
        <v>139</v>
      </c>
      <c r="D253" s="33" t="s">
        <v>140</v>
      </c>
      <c r="E253" s="33" t="n">
        <v>91</v>
      </c>
      <c r="F253" s="33" t="s">
        <v>36</v>
      </c>
      <c r="G253" s="33" t="s">
        <v>112</v>
      </c>
      <c r="H253" s="33" t="n">
        <v>43</v>
      </c>
      <c r="I253" s="33" t="n">
        <v>164</v>
      </c>
      <c r="J253" s="33" t="n">
        <v>164</v>
      </c>
      <c r="K253" s="32" t="n">
        <v>1232.25</v>
      </c>
      <c r="L253" s="33" t="str">
        <f aca="false">IF($B253="","",IFERROR(INDEX('Code Mapping'!$D$5:$D$1753,MATCH($B253,'Code Mapping'!$A$5:$A$1753,0)),"Unmapped"))</f>
        <v>Imtyazat</v>
      </c>
      <c r="M253" s="33" t="str">
        <f aca="false">IF($B253="","",IFERROR(INDEX('Code Mapping'!$E$5:$E$1753,MATCH($B253,'Code Mapping'!$A$5:$A$1753,0)),"Unmapped"))</f>
        <v>Corporate discount</v>
      </c>
      <c r="N253" s="33" t="str">
        <f aca="false">IF($F253="","",$F253)</f>
        <v>InflataPark</v>
      </c>
    </row>
    <row r="254" customFormat="false" ht="15" hidden="false" customHeight="false" outlineLevel="0" collapsed="false">
      <c r="A254" s="33" t="n">
        <v>8053</v>
      </c>
      <c r="B254" s="33" t="s">
        <v>160</v>
      </c>
      <c r="C254" s="33" t="s">
        <v>158</v>
      </c>
      <c r="D254" s="33"/>
      <c r="E254" s="33" t="n">
        <v>91</v>
      </c>
      <c r="F254" s="33" t="s">
        <v>36</v>
      </c>
      <c r="G254" s="33" t="s">
        <v>112</v>
      </c>
      <c r="H254" s="33" t="n">
        <v>18</v>
      </c>
      <c r="I254" s="33" t="n">
        <v>50</v>
      </c>
      <c r="J254" s="33" t="n">
        <v>50</v>
      </c>
      <c r="K254" s="32" t="n">
        <v>380.25</v>
      </c>
      <c r="L254" s="33" t="str">
        <f aca="false">IF($B254="","",IFERROR(INDEX('Code Mapping'!$D$5:$D$1753,MATCH($B254,'Code Mapping'!$A$5:$A$1753,0)),"Unmapped"))</f>
        <v>Public Health Sector (Sogha)</v>
      </c>
      <c r="M254" s="33" t="str">
        <f aca="false">IF($B254="","",IFERROR(INDEX('Code Mapping'!$E$5:$E$1753,MATCH($B254,'Code Mapping'!$A$5:$A$1753,0)),"Unmapped"))</f>
        <v>Corporate discount</v>
      </c>
      <c r="N254" s="33" t="str">
        <f aca="false">IF($F254="","",$F254)</f>
        <v>InflataPark</v>
      </c>
    </row>
    <row r="255" customFormat="false" ht="15" hidden="false" customHeight="false" outlineLevel="0" collapsed="false">
      <c r="A255" s="33" t="n">
        <v>8055</v>
      </c>
      <c r="B255" s="33" t="s">
        <v>161</v>
      </c>
      <c r="C255" s="33" t="s">
        <v>151</v>
      </c>
      <c r="D255" s="33"/>
      <c r="E255" s="33" t="n">
        <v>91</v>
      </c>
      <c r="F255" s="33" t="s">
        <v>36</v>
      </c>
      <c r="G255" s="33" t="s">
        <v>112</v>
      </c>
      <c r="H255" s="33" t="n">
        <v>9</v>
      </c>
      <c r="I255" s="33" t="n">
        <v>22</v>
      </c>
      <c r="J255" s="33" t="n">
        <v>22</v>
      </c>
      <c r="K255" s="32" t="n">
        <v>138</v>
      </c>
      <c r="L255" s="33" t="str">
        <f aca="false">IF($B255="","",IFERROR(INDEX('Code Mapping'!$D$5:$D$1753,MATCH($B255,'Code Mapping'!$A$5:$A$1753,0)),"Unmapped"))</f>
        <v>Qatar Airways</v>
      </c>
      <c r="M255" s="33" t="str">
        <f aca="false">IF($B255="","",IFERROR(INDEX('Code Mapping'!$E$5:$E$1753,MATCH($B255,'Code Mapping'!$A$5:$A$1753,0)),"Unmapped"))</f>
        <v>Corporate discount</v>
      </c>
      <c r="N255" s="33" t="str">
        <f aca="false">IF($F255="","",$F255)</f>
        <v>InflataPark</v>
      </c>
    </row>
    <row r="256" customFormat="false" ht="15" hidden="false" customHeight="false" outlineLevel="0" collapsed="false">
      <c r="A256" s="33" t="n">
        <v>7954</v>
      </c>
      <c r="B256" s="33" t="s">
        <v>237</v>
      </c>
      <c r="C256" s="33" t="s">
        <v>198</v>
      </c>
      <c r="D256" s="33"/>
      <c r="E256" s="33" t="n">
        <v>94</v>
      </c>
      <c r="F256" s="33" t="s">
        <v>37</v>
      </c>
      <c r="G256" s="33" t="s">
        <v>112</v>
      </c>
      <c r="H256" s="33" t="n">
        <v>3</v>
      </c>
      <c r="I256" s="33" t="n">
        <v>3</v>
      </c>
      <c r="J256" s="33" t="n">
        <v>3</v>
      </c>
      <c r="K256" s="32" t="n">
        <v>675</v>
      </c>
      <c r="L256" s="33" t="str">
        <f aca="false">IF($B256="","",IFERROR(INDEX('Code Mapping'!$D$5:$D$1753,MATCH($B256,'Code Mapping'!$A$5:$A$1753,0)),"Unmapped"))</f>
        <v>Entertainer</v>
      </c>
      <c r="M256" s="33" t="str">
        <f aca="false">IF($B256="","",IFERROR(INDEX('Code Mapping'!$E$5:$E$1753,MATCH($B256,'Code Mapping'!$A$5:$A$1753,0)),"Unmapped"))</f>
        <v>Aggregator BOGO</v>
      </c>
      <c r="N256" s="33" t="str">
        <f aca="false">IF($F256="","",$F256)</f>
        <v>Kids City Driving School</v>
      </c>
    </row>
    <row r="257" customFormat="false" ht="15" hidden="false" customHeight="false" outlineLevel="0" collapsed="false">
      <c r="A257" s="33" t="n">
        <v>8056</v>
      </c>
      <c r="B257" s="33" t="s">
        <v>189</v>
      </c>
      <c r="C257" s="33" t="s">
        <v>155</v>
      </c>
      <c r="D257" s="33"/>
      <c r="E257" s="33" t="n">
        <v>91</v>
      </c>
      <c r="F257" s="33" t="s">
        <v>36</v>
      </c>
      <c r="G257" s="33" t="s">
        <v>112</v>
      </c>
      <c r="H257" s="33" t="n">
        <v>1</v>
      </c>
      <c r="I257" s="33" t="n">
        <v>8</v>
      </c>
      <c r="J257" s="33" t="n">
        <v>8</v>
      </c>
      <c r="K257" s="32" t="n">
        <v>67.5</v>
      </c>
      <c r="L257" s="33" t="str">
        <f aca="false">IF($B257="","",IFERROR(INDEX('Code Mapping'!$D$5:$D$1753,MATCH($B257,'Code Mapping'!$A$5:$A$1753,0)),"Unmapped"))</f>
        <v>Qatar Foundation</v>
      </c>
      <c r="M257" s="33" t="str">
        <f aca="false">IF($B257="","",IFERROR(INDEX('Code Mapping'!$E$5:$E$1753,MATCH($B257,'Code Mapping'!$A$5:$A$1753,0)),"Unmapped"))</f>
        <v>Corporate discount</v>
      </c>
      <c r="N257" s="33" t="str">
        <f aca="false">IF($F257="","",$F257)</f>
        <v>InflataPark</v>
      </c>
    </row>
    <row r="258" customFormat="false" ht="15" hidden="false" customHeight="false" outlineLevel="0" collapsed="false">
      <c r="A258" s="33" t="n">
        <v>8036</v>
      </c>
      <c r="B258" s="33" t="s">
        <v>425</v>
      </c>
      <c r="C258" s="33" t="s">
        <v>227</v>
      </c>
      <c r="D258" s="33"/>
      <c r="E258" s="33" t="n">
        <v>61</v>
      </c>
      <c r="F258" s="33" t="s">
        <v>38</v>
      </c>
      <c r="G258" s="33" t="s">
        <v>111</v>
      </c>
      <c r="H258" s="33" t="n">
        <v>1</v>
      </c>
      <c r="I258" s="33" t="n">
        <v>1</v>
      </c>
      <c r="J258" s="33" t="n">
        <v>1</v>
      </c>
      <c r="K258" s="32" t="n">
        <v>35</v>
      </c>
      <c r="L258" s="33" t="str">
        <f aca="false">IF($B258="","",IFERROR(INDEX('Code Mapping'!$D$5:$D$1753,MATCH($B258,'Code Mapping'!$A$5:$A$1753,0)),"Unmapped"))</f>
        <v>Snoonu Employees</v>
      </c>
      <c r="M258" s="33" t="str">
        <f aca="false">IF($B258="","",IFERROR(INDEX('Code Mapping'!$E$5:$E$1753,MATCH($B258,'Code Mapping'!$A$5:$A$1753,0)),"Unmapped"))</f>
        <v>Corporate discount</v>
      </c>
      <c r="N258" s="33" t="str">
        <f aca="false">IF($F258="","",$F258)</f>
        <v>Crayons &amp; Bricks Vendome</v>
      </c>
    </row>
    <row r="259" customFormat="false" ht="15" hidden="false" customHeight="false" outlineLevel="0" collapsed="false">
      <c r="A259" s="33" t="n">
        <v>7978</v>
      </c>
      <c r="B259" s="33" t="s">
        <v>417</v>
      </c>
      <c r="C259" s="33" t="s">
        <v>398</v>
      </c>
      <c r="D259" s="33"/>
      <c r="E259" s="33" t="n">
        <v>94</v>
      </c>
      <c r="F259" s="33" t="s">
        <v>37</v>
      </c>
      <c r="G259" s="33" t="s">
        <v>111</v>
      </c>
      <c r="H259" s="33" t="n">
        <v>1</v>
      </c>
      <c r="I259" s="33" t="n">
        <v>1</v>
      </c>
      <c r="J259" s="33" t="n">
        <v>1</v>
      </c>
      <c r="K259" s="32" t="n">
        <v>225</v>
      </c>
      <c r="L259" s="33" t="str">
        <f aca="false">IF($B259="","",IFERROR(INDEX('Code Mapping'!$D$5:$D$1753,MATCH($B259,'Code Mapping'!$A$5:$A$1753,0)),"Unmapped"))</f>
        <v>Unmapped</v>
      </c>
      <c r="M259" s="33" t="str">
        <f aca="false">IF($B259="","",IFERROR(INDEX('Code Mapping'!$E$5:$E$1753,MATCH($B259,'Code Mapping'!$A$5:$A$1753,0)),"Unmapped"))</f>
        <v>Unmapped</v>
      </c>
      <c r="N259" s="33" t="str">
        <f aca="false">IF($F259="","",$F259)</f>
        <v>Kids City Driving School</v>
      </c>
    </row>
    <row r="260" customFormat="false" ht="15" hidden="false" customHeight="false" outlineLevel="0" collapsed="false">
      <c r="A260" s="33" t="n">
        <v>6798</v>
      </c>
      <c r="B260" s="33" t="s">
        <v>146</v>
      </c>
      <c r="C260" s="33" t="s">
        <v>147</v>
      </c>
      <c r="D260" s="33"/>
      <c r="E260" s="33" t="n">
        <v>91</v>
      </c>
      <c r="F260" s="33" t="s">
        <v>36</v>
      </c>
      <c r="G260" s="33" t="s">
        <v>111</v>
      </c>
      <c r="H260" s="33" t="n">
        <v>77</v>
      </c>
      <c r="I260" s="33" t="n">
        <v>77</v>
      </c>
      <c r="J260" s="33" t="n">
        <v>77</v>
      </c>
      <c r="K260" s="32" t="n">
        <v>13010</v>
      </c>
      <c r="L260" s="33" t="str">
        <f aca="false">IF($B260="","",IFERROR(INDEX('Code Mapping'!$D$5:$D$1753,MATCH($B260,'Code Mapping'!$A$5:$A$1753,0)),"Unmapped"))</f>
        <v>My Book</v>
      </c>
      <c r="M260" s="33" t="str">
        <f aca="false">IF($B260="","",IFERROR(INDEX('Code Mapping'!$E$5:$E$1753,MATCH($B260,'Code Mapping'!$A$5:$A$1753,0)),"Unmapped"))</f>
        <v>Aggregator BOGO</v>
      </c>
      <c r="N260" s="33" t="str">
        <f aca="false">IF($F260="","",$F260)</f>
        <v>InflataPark</v>
      </c>
    </row>
    <row r="261" customFormat="false" ht="15" hidden="false" customHeight="false" outlineLevel="0" collapsed="false">
      <c r="A261" s="33" t="n">
        <v>6827</v>
      </c>
      <c r="B261" s="33" t="s">
        <v>182</v>
      </c>
      <c r="C261" s="33"/>
      <c r="D261" s="33"/>
      <c r="E261" s="33" t="n">
        <v>61</v>
      </c>
      <c r="F261" s="33" t="s">
        <v>38</v>
      </c>
      <c r="G261" s="33" t="s">
        <v>111</v>
      </c>
      <c r="H261" s="33" t="n">
        <v>7</v>
      </c>
      <c r="I261" s="33" t="n">
        <v>7</v>
      </c>
      <c r="J261" s="33" t="n">
        <v>7</v>
      </c>
      <c r="K261" s="32" t="n">
        <v>700</v>
      </c>
      <c r="L261" s="33" t="str">
        <f aca="false">IF($B261="","",IFERROR(INDEX('Code Mapping'!$D$5:$D$1753,MATCH($B261,'Code Mapping'!$A$5:$A$1753,0)),"Unmapped"))</f>
        <v>My Book</v>
      </c>
      <c r="M261" s="33" t="str">
        <f aca="false">IF($B261="","",IFERROR(INDEX('Code Mapping'!$E$5:$E$1753,MATCH($B261,'Code Mapping'!$A$5:$A$1753,0)),"Unmapped"))</f>
        <v>Aggregator BOGO</v>
      </c>
      <c r="N261" s="33" t="str">
        <f aca="false">IF($F261="","",$F261)</f>
        <v>Crayons &amp; Bricks Vendome</v>
      </c>
    </row>
    <row r="262" customFormat="false" ht="15" hidden="false" customHeight="false" outlineLevel="0" collapsed="false">
      <c r="A262" s="33" t="n">
        <v>6811</v>
      </c>
      <c r="B262" s="33" t="s">
        <v>238</v>
      </c>
      <c r="C262" s="33" t="s">
        <v>239</v>
      </c>
      <c r="D262" s="33"/>
      <c r="E262" s="33" t="n">
        <v>94</v>
      </c>
      <c r="F262" s="33" t="s">
        <v>37</v>
      </c>
      <c r="G262" s="33" t="s">
        <v>111</v>
      </c>
      <c r="H262" s="33" t="n">
        <v>1</v>
      </c>
      <c r="I262" s="33" t="n">
        <v>1</v>
      </c>
      <c r="J262" s="33" t="n">
        <v>1</v>
      </c>
      <c r="K262" s="32" t="n">
        <v>17.25</v>
      </c>
      <c r="L262" s="33" t="str">
        <f aca="false">IF($B262="","",IFERROR(INDEX('Code Mapping'!$D$5:$D$1753,MATCH($B262,'Code Mapping'!$A$5:$A$1753,0)),"Unmapped"))</f>
        <v>Qatar Airways</v>
      </c>
      <c r="M262" s="33" t="str">
        <f aca="false">IF($B262="","",IFERROR(INDEX('Code Mapping'!$E$5:$E$1753,MATCH($B262,'Code Mapping'!$A$5:$A$1753,0)),"Unmapped"))</f>
        <v>Corporate discount</v>
      </c>
      <c r="N262" s="33" t="str">
        <f aca="false">IF($F262="","",$F262)</f>
        <v>Kids City Driving School</v>
      </c>
    </row>
    <row r="263" customFormat="false" ht="15" hidden="false" customHeight="false" outlineLevel="0" collapsed="false">
      <c r="A263" s="33" t="n">
        <v>6803</v>
      </c>
      <c r="B263" s="33" t="s">
        <v>191</v>
      </c>
      <c r="C263" s="33" t="s">
        <v>192</v>
      </c>
      <c r="D263" s="33"/>
      <c r="E263" s="33" t="n">
        <v>91</v>
      </c>
      <c r="F263" s="33" t="s">
        <v>36</v>
      </c>
      <c r="G263" s="33" t="s">
        <v>111</v>
      </c>
      <c r="H263" s="33" t="n">
        <v>11</v>
      </c>
      <c r="I263" s="33" t="n">
        <v>16</v>
      </c>
      <c r="J263" s="33" t="n">
        <v>16</v>
      </c>
      <c r="K263" s="32" t="n">
        <v>342.75</v>
      </c>
      <c r="L263" s="33" t="str">
        <f aca="false">IF($B263="","",IFERROR(INDEX('Code Mapping'!$D$5:$D$1753,MATCH($B263,'Code Mapping'!$A$5:$A$1753,0)),"Unmapped"))</f>
        <v>Qatar Airways</v>
      </c>
      <c r="M263" s="33" t="str">
        <f aca="false">IF($B263="","",IFERROR(INDEX('Code Mapping'!$E$5:$E$1753,MATCH($B263,'Code Mapping'!$A$5:$A$1753,0)),"Unmapped"))</f>
        <v>Corporate discount</v>
      </c>
      <c r="N263" s="33" t="str">
        <f aca="false">IF($F263="","",$F263)</f>
        <v>InflataPark</v>
      </c>
    </row>
    <row r="264" customFormat="false" ht="15" hidden="false" customHeight="false" outlineLevel="0" collapsed="false">
      <c r="A264" s="33" t="n">
        <v>6797</v>
      </c>
      <c r="B264" s="33" t="s">
        <v>143</v>
      </c>
      <c r="C264" s="33" t="s">
        <v>144</v>
      </c>
      <c r="D264" s="33"/>
      <c r="E264" s="33" t="n">
        <v>91</v>
      </c>
      <c r="F264" s="33" t="s">
        <v>36</v>
      </c>
      <c r="G264" s="33" t="s">
        <v>111</v>
      </c>
      <c r="H264" s="33" t="n">
        <v>86</v>
      </c>
      <c r="I264" s="33" t="n">
        <v>86</v>
      </c>
      <c r="J264" s="33" t="n">
        <v>86</v>
      </c>
      <c r="K264" s="32" t="n">
        <v>15740</v>
      </c>
      <c r="L264" s="33" t="str">
        <f aca="false">IF($B264="","",IFERROR(INDEX('Code Mapping'!$D$5:$D$1753,MATCH($B264,'Code Mapping'!$A$5:$A$1753,0)),"Unmapped"))</f>
        <v>Urban Point</v>
      </c>
      <c r="M264" s="33" t="str">
        <f aca="false">IF($B264="","",IFERROR(INDEX('Code Mapping'!$E$5:$E$1753,MATCH($B264,'Code Mapping'!$A$5:$A$1753,0)),"Unmapped"))</f>
        <v>Aggregator BOGO</v>
      </c>
      <c r="N264" s="33" t="str">
        <f aca="false">IF($F264="","",$F264)</f>
        <v>InflataPark</v>
      </c>
    </row>
    <row r="265" customFormat="false" ht="15" hidden="false" customHeight="false" outlineLevel="0" collapsed="false">
      <c r="A265" s="33" t="n">
        <v>8034</v>
      </c>
      <c r="B265" s="33" t="s">
        <v>274</v>
      </c>
      <c r="C265" s="33" t="s">
        <v>227</v>
      </c>
      <c r="D265" s="33"/>
      <c r="E265" s="33" t="n">
        <v>91</v>
      </c>
      <c r="F265" s="33" t="s">
        <v>36</v>
      </c>
      <c r="G265" s="33" t="s">
        <v>111</v>
      </c>
      <c r="H265" s="33" t="n">
        <v>5</v>
      </c>
      <c r="I265" s="33" t="n">
        <v>5</v>
      </c>
      <c r="J265" s="33" t="n">
        <v>5</v>
      </c>
      <c r="K265" s="32" t="n">
        <v>375</v>
      </c>
      <c r="L265" s="33" t="str">
        <f aca="false">IF($B265="","",IFERROR(INDEX('Code Mapping'!$D$5:$D$1753,MATCH($B265,'Code Mapping'!$A$5:$A$1753,0)),"Unmapped"))</f>
        <v>Snoonu Employees</v>
      </c>
      <c r="M265" s="33" t="str">
        <f aca="false">IF($B265="","",IFERROR(INDEX('Code Mapping'!$E$5:$E$1753,MATCH($B265,'Code Mapping'!$A$5:$A$1753,0)),"Unmapped"))</f>
        <v>Corporate discount</v>
      </c>
      <c r="N265" s="33" t="str">
        <f aca="false">IF($F265="","",$F265)</f>
        <v>InflataPark</v>
      </c>
    </row>
    <row r="266" customFormat="false" ht="15" hidden="false" customHeight="false" outlineLevel="0" collapsed="false">
      <c r="A266" s="33" t="n">
        <v>8035</v>
      </c>
      <c r="B266" s="33" t="s">
        <v>226</v>
      </c>
      <c r="C266" s="33" t="s">
        <v>227</v>
      </c>
      <c r="D266" s="33"/>
      <c r="E266" s="33" t="n">
        <v>94</v>
      </c>
      <c r="F266" s="33" t="s">
        <v>37</v>
      </c>
      <c r="G266" s="33" t="s">
        <v>111</v>
      </c>
      <c r="H266" s="33" t="n">
        <v>9</v>
      </c>
      <c r="I266" s="33" t="n">
        <v>9</v>
      </c>
      <c r="J266" s="33" t="n">
        <v>9</v>
      </c>
      <c r="K266" s="32" t="n">
        <v>315</v>
      </c>
      <c r="L266" s="33" t="str">
        <f aca="false">IF($B266="","",IFERROR(INDEX('Code Mapping'!$D$5:$D$1753,MATCH($B266,'Code Mapping'!$A$5:$A$1753,0)),"Unmapped"))</f>
        <v>Snoonu Employees</v>
      </c>
      <c r="M266" s="33" t="str">
        <f aca="false">IF($B266="","",IFERROR(INDEX('Code Mapping'!$E$5:$E$1753,MATCH($B266,'Code Mapping'!$A$5:$A$1753,0)),"Unmapped"))</f>
        <v>Corporate discount</v>
      </c>
      <c r="N266" s="33" t="str">
        <f aca="false">IF($F266="","",$F266)</f>
        <v>Kids City Driving School</v>
      </c>
    </row>
    <row r="267" customFormat="false" ht="15" hidden="false" customHeight="false" outlineLevel="0" collapsed="false">
      <c r="A267" s="33" t="n">
        <v>7953</v>
      </c>
      <c r="B267" s="33" t="s">
        <v>176</v>
      </c>
      <c r="C267" s="33" t="s">
        <v>177</v>
      </c>
      <c r="D267" s="33"/>
      <c r="E267" s="33" t="n">
        <v>94</v>
      </c>
      <c r="F267" s="33" t="s">
        <v>37</v>
      </c>
      <c r="G267" s="33" t="s">
        <v>111</v>
      </c>
      <c r="H267" s="33" t="n">
        <v>31</v>
      </c>
      <c r="I267" s="33" t="n">
        <v>33</v>
      </c>
      <c r="J267" s="33" t="n">
        <v>33</v>
      </c>
      <c r="K267" s="32" t="n">
        <v>7550</v>
      </c>
      <c r="L267" s="33" t="str">
        <f aca="false">IF($B267="","",IFERROR(INDEX('Code Mapping'!$D$5:$D$1753,MATCH($B267,'Code Mapping'!$A$5:$A$1753,0)),"Unmapped"))</f>
        <v>Urban Point</v>
      </c>
      <c r="M267" s="33" t="str">
        <f aca="false">IF($B267="","",IFERROR(INDEX('Code Mapping'!$E$5:$E$1753,MATCH($B267,'Code Mapping'!$A$5:$A$1753,0)),"Unmapped"))</f>
        <v>Aggregator BOGO</v>
      </c>
      <c r="N267" s="33" t="str">
        <f aca="false">IF($F267="","",$F267)</f>
        <v>Kids City Driving School</v>
      </c>
    </row>
    <row r="268" customFormat="false" ht="15" hidden="false" customHeight="false" outlineLevel="0" collapsed="false">
      <c r="A268" s="33" t="n">
        <v>6826</v>
      </c>
      <c r="B268" s="33" t="s">
        <v>173</v>
      </c>
      <c r="C268" s="33" t="s">
        <v>174</v>
      </c>
      <c r="D268" s="33"/>
      <c r="E268" s="33" t="n">
        <v>61</v>
      </c>
      <c r="F268" s="33" t="s">
        <v>38</v>
      </c>
      <c r="G268" s="33" t="s">
        <v>111</v>
      </c>
      <c r="H268" s="33" t="n">
        <v>33</v>
      </c>
      <c r="I268" s="33" t="n">
        <v>33</v>
      </c>
      <c r="J268" s="33" t="n">
        <v>33</v>
      </c>
      <c r="K268" s="32" t="n">
        <v>3300</v>
      </c>
      <c r="L268" s="33" t="str">
        <f aca="false">IF($B268="","",IFERROR(INDEX('Code Mapping'!$D$5:$D$1753,MATCH($B268,'Code Mapping'!$A$5:$A$1753,0)),"Unmapped"))</f>
        <v>Urban Point</v>
      </c>
      <c r="M268" s="33" t="str">
        <f aca="false">IF($B268="","",IFERROR(INDEX('Code Mapping'!$E$5:$E$1753,MATCH($B268,'Code Mapping'!$A$5:$A$1753,0)),"Unmapped"))</f>
        <v>Aggregator BOGO</v>
      </c>
      <c r="N268" s="33" t="str">
        <f aca="false">IF($F268="","",$F268)</f>
        <v>Crayons &amp; Bricks Vendome</v>
      </c>
    </row>
    <row r="269" customFormat="false" ht="15" hidden="false" customHeight="false" outlineLevel="0" collapsed="false">
      <c r="A269" s="33" t="n">
        <v>6794</v>
      </c>
      <c r="B269" s="33" t="s">
        <v>180</v>
      </c>
      <c r="C269" s="33" t="s">
        <v>177</v>
      </c>
      <c r="D269" s="33"/>
      <c r="E269" s="33" t="n">
        <v>94</v>
      </c>
      <c r="F269" s="33" t="s">
        <v>37</v>
      </c>
      <c r="G269" s="33" t="s">
        <v>111</v>
      </c>
      <c r="H269" s="33" t="n">
        <v>1</v>
      </c>
      <c r="I269" s="33" t="n">
        <v>1</v>
      </c>
      <c r="J269" s="33" t="n">
        <v>1</v>
      </c>
      <c r="K269" s="32" t="n">
        <v>250</v>
      </c>
      <c r="L269" s="33" t="str">
        <f aca="false">IF($B269="","",IFERROR(INDEX('Code Mapping'!$D$5:$D$1753,MATCH($B269,'Code Mapping'!$A$5:$A$1753,0)),"Unmapped"))</f>
        <v>Urban Point</v>
      </c>
      <c r="M269" s="33" t="str">
        <f aca="false">IF($B269="","",IFERROR(INDEX('Code Mapping'!$E$5:$E$1753,MATCH($B269,'Code Mapping'!$A$5:$A$1753,0)),"Unmapped"))</f>
        <v>Aggregator BOGO</v>
      </c>
      <c r="N269" s="33" t="str">
        <f aca="false">IF($F269="","",$F269)</f>
        <v>Kids City Driving School</v>
      </c>
    </row>
    <row r="270" customFormat="false" ht="15" hidden="false" customHeight="false" outlineLevel="0" collapsed="false">
      <c r="A270" s="33" t="n">
        <v>8013</v>
      </c>
      <c r="B270" s="33" t="s">
        <v>408</v>
      </c>
      <c r="C270" s="33" t="s">
        <v>409</v>
      </c>
      <c r="D270" s="33"/>
      <c r="E270" s="33" t="n">
        <v>94</v>
      </c>
      <c r="F270" s="33" t="s">
        <v>37</v>
      </c>
      <c r="G270" s="33" t="s">
        <v>111</v>
      </c>
      <c r="H270" s="33" t="n">
        <v>1</v>
      </c>
      <c r="I270" s="33" t="n">
        <v>1</v>
      </c>
      <c r="J270" s="33" t="n">
        <v>1</v>
      </c>
      <c r="K270" s="32" t="n">
        <v>250</v>
      </c>
      <c r="L270" s="33" t="str">
        <f aca="false">IF($B270="","",IFERROR(INDEX('Code Mapping'!$D$5:$D$1753,MATCH($B270,'Code Mapping'!$A$5:$A$1753,0)),"Unmapped"))</f>
        <v>Unmapped</v>
      </c>
      <c r="M270" s="33" t="str">
        <f aca="false">IF($B270="","",IFERROR(INDEX('Code Mapping'!$E$5:$E$1753,MATCH($B270,'Code Mapping'!$A$5:$A$1753,0)),"Unmapped"))</f>
        <v>Unmapped</v>
      </c>
      <c r="N270" s="33" t="str">
        <f aca="false">IF($F270="","",$F270)</f>
        <v>Kids City Driving School</v>
      </c>
    </row>
    <row r="271" customFormat="false" ht="15" hidden="false" customHeight="false" outlineLevel="0" collapsed="false">
      <c r="A271" s="33" t="n">
        <v>7977</v>
      </c>
      <c r="B271" s="33" t="s">
        <v>414</v>
      </c>
      <c r="C271" s="33" t="s">
        <v>398</v>
      </c>
      <c r="D271" s="33"/>
      <c r="E271" s="33" t="n">
        <v>94</v>
      </c>
      <c r="F271" s="33" t="s">
        <v>37</v>
      </c>
      <c r="G271" s="33" t="s">
        <v>111</v>
      </c>
      <c r="H271" s="33" t="n">
        <v>1</v>
      </c>
      <c r="I271" s="33" t="n">
        <v>1</v>
      </c>
      <c r="J271" s="33" t="n">
        <v>1</v>
      </c>
      <c r="K271" s="32" t="n">
        <v>225</v>
      </c>
      <c r="L271" s="33" t="str">
        <f aca="false">IF($B271="","",IFERROR(INDEX('Code Mapping'!$D$5:$D$1753,MATCH($B271,'Code Mapping'!$A$5:$A$1753,0)),"Unmapped"))</f>
        <v>Unmapped</v>
      </c>
      <c r="M271" s="33" t="str">
        <f aca="false">IF($B271="","",IFERROR(INDEX('Code Mapping'!$E$5:$E$1753,MATCH($B271,'Code Mapping'!$A$5:$A$1753,0)),"Unmapped"))</f>
        <v>Unmapped</v>
      </c>
      <c r="N271" s="33" t="str">
        <f aca="false">IF($F271="","",$F271)</f>
        <v>Kids City Driving School</v>
      </c>
    </row>
    <row r="272" customFormat="false" ht="15" hidden="false" customHeight="false" outlineLevel="0" collapsed="false">
      <c r="A272" s="33" t="n">
        <v>6813</v>
      </c>
      <c r="B272" s="33" t="s">
        <v>270</v>
      </c>
      <c r="C272" s="33" t="s">
        <v>271</v>
      </c>
      <c r="D272" s="33"/>
      <c r="E272" s="33" t="n">
        <v>94</v>
      </c>
      <c r="F272" s="33" t="s">
        <v>37</v>
      </c>
      <c r="G272" s="33" t="s">
        <v>111</v>
      </c>
      <c r="H272" s="33" t="n">
        <v>1</v>
      </c>
      <c r="I272" s="33" t="n">
        <v>1</v>
      </c>
      <c r="J272" s="33" t="n">
        <v>1</v>
      </c>
      <c r="K272" s="32" t="n">
        <v>33.75</v>
      </c>
      <c r="L272" s="33" t="str">
        <f aca="false">IF($B272="","",IFERROR(INDEX('Code Mapping'!$D$5:$D$1753,MATCH($B272,'Code Mapping'!$A$5:$A$1753,0)),"Unmapped"))</f>
        <v>HMC (not on master)</v>
      </c>
      <c r="M272" s="33" t="str">
        <f aca="false">IF($B272="","",IFERROR(INDEX('Code Mapping'!$E$5:$E$1753,MATCH($B272,'Code Mapping'!$A$5:$A$1753,0)),"Unmapped"))</f>
        <v>Not on master</v>
      </c>
      <c r="N272" s="33" t="str">
        <f aca="false">IF($F272="","",$F272)</f>
        <v>Kids City Driving School</v>
      </c>
    </row>
    <row r="273" customFormat="false" ht="15" hidden="false" customHeight="false" outlineLevel="0" collapsed="false">
      <c r="A273" s="33" t="n">
        <v>5538</v>
      </c>
      <c r="B273" s="33" t="s">
        <v>247</v>
      </c>
      <c r="C273" s="33" t="s">
        <v>248</v>
      </c>
      <c r="D273" s="33"/>
      <c r="E273" s="33" t="n">
        <v>91</v>
      </c>
      <c r="F273" s="33" t="s">
        <v>36</v>
      </c>
      <c r="G273" s="33" t="s">
        <v>111</v>
      </c>
      <c r="H273" s="33" t="n">
        <v>1</v>
      </c>
      <c r="I273" s="33" t="n">
        <v>2</v>
      </c>
      <c r="J273" s="33" t="n">
        <v>2</v>
      </c>
      <c r="K273" s="32" t="n">
        <v>22.5</v>
      </c>
      <c r="L273" s="33" t="str">
        <f aca="false">IF($B273="","",IFERROR(INDEX('Code Mapping'!$D$5:$D$1753,MATCH($B273,'Code Mapping'!$A$5:$A$1753,0)),"Unmapped"))</f>
        <v>Internal / promotion</v>
      </c>
      <c r="M273" s="33" t="str">
        <f aca="false">IF($B273="","",IFERROR(INDEX('Code Mapping'!$E$5:$E$1753,MATCH($B273,'Code Mapping'!$A$5:$A$1753,0)),"Unmapped"))</f>
        <v>Internal / promotion</v>
      </c>
      <c r="N273" s="33" t="str">
        <f aca="false">IF($F273="","",$F273)</f>
        <v>InflataPark</v>
      </c>
    </row>
    <row r="274" customFormat="false" ht="15" hidden="false" customHeight="false" outlineLevel="0" collapsed="false">
      <c r="A274" s="33" t="n">
        <v>6796</v>
      </c>
      <c r="B274" s="33" t="s">
        <v>162</v>
      </c>
      <c r="C274" s="33" t="s">
        <v>163</v>
      </c>
      <c r="D274" s="33"/>
      <c r="E274" s="33" t="n">
        <v>91</v>
      </c>
      <c r="F274" s="33" t="s">
        <v>36</v>
      </c>
      <c r="G274" s="33" t="s">
        <v>111</v>
      </c>
      <c r="H274" s="33" t="n">
        <v>30</v>
      </c>
      <c r="I274" s="33" t="n">
        <v>30</v>
      </c>
      <c r="J274" s="33" t="n">
        <v>30</v>
      </c>
      <c r="K274" s="32" t="n">
        <v>5220</v>
      </c>
      <c r="L274" s="33" t="str">
        <f aca="false">IF($B274="","",IFERROR(INDEX('Code Mapping'!$D$5:$D$1753,MATCH($B274,'Code Mapping'!$A$5:$A$1753,0)),"Unmapped"))</f>
        <v>Entertainer</v>
      </c>
      <c r="M274" s="33" t="str">
        <f aca="false">IF($B274="","",IFERROR(INDEX('Code Mapping'!$E$5:$E$1753,MATCH($B274,'Code Mapping'!$A$5:$A$1753,0)),"Unmapped"))</f>
        <v>Aggregator BOGO</v>
      </c>
      <c r="N274" s="33" t="str">
        <f aca="false">IF($F274="","",$F274)</f>
        <v>InflataPark</v>
      </c>
    </row>
    <row r="275" customFormat="false" ht="15" hidden="false" customHeight="false" outlineLevel="0" collapsed="false">
      <c r="A275" s="33" t="n">
        <v>6799</v>
      </c>
      <c r="B275" s="33" t="s">
        <v>256</v>
      </c>
      <c r="C275" s="33" t="s">
        <v>257</v>
      </c>
      <c r="D275" s="33"/>
      <c r="E275" s="33" t="n">
        <v>91</v>
      </c>
      <c r="F275" s="33" t="s">
        <v>36</v>
      </c>
      <c r="G275" s="33" t="s">
        <v>111</v>
      </c>
      <c r="H275" s="33" t="n">
        <v>2</v>
      </c>
      <c r="I275" s="33" t="n">
        <v>2</v>
      </c>
      <c r="J275" s="33" t="n">
        <v>2</v>
      </c>
      <c r="K275" s="32" t="n">
        <v>57</v>
      </c>
      <c r="L275" s="33" t="str">
        <f aca="false">IF($B275="","",IFERROR(INDEX('Code Mapping'!$D$5:$D$1753,MATCH($B275,'Code Mapping'!$A$5:$A$1753,0)),"Unmapped"))</f>
        <v>Al Jazeera Imtiyazat</v>
      </c>
      <c r="M275" s="33" t="str">
        <f aca="false">IF($B275="","",IFERROR(INDEX('Code Mapping'!$E$5:$E$1753,MATCH($B275,'Code Mapping'!$A$5:$A$1753,0)),"Unmapped"))</f>
        <v>Corporate discount</v>
      </c>
      <c r="N275" s="33" t="str">
        <f aca="false">IF($F275="","",$F275)</f>
        <v>InflataPark</v>
      </c>
    </row>
    <row r="276" customFormat="false" ht="15" hidden="false" customHeight="false" outlineLevel="0" collapsed="false">
      <c r="A276" s="33" t="n">
        <v>7952</v>
      </c>
      <c r="B276" s="33" t="s">
        <v>184</v>
      </c>
      <c r="C276" s="33" t="s">
        <v>185</v>
      </c>
      <c r="D276" s="33"/>
      <c r="E276" s="33" t="n">
        <v>94</v>
      </c>
      <c r="F276" s="33" t="s">
        <v>37</v>
      </c>
      <c r="G276" s="33" t="s">
        <v>111</v>
      </c>
      <c r="H276" s="33" t="n">
        <v>23</v>
      </c>
      <c r="I276" s="33" t="n">
        <v>27</v>
      </c>
      <c r="J276" s="33" t="n">
        <v>27</v>
      </c>
      <c r="K276" s="32" t="n">
        <v>6100</v>
      </c>
      <c r="L276" s="33" t="str">
        <f aca="false">IF($B276="","",IFERROR(INDEX('Code Mapping'!$D$5:$D$1753,MATCH($B276,'Code Mapping'!$A$5:$A$1753,0)),"Unmapped"))</f>
        <v>My Book</v>
      </c>
      <c r="M276" s="33" t="str">
        <f aca="false">IF($B276="","",IFERROR(INDEX('Code Mapping'!$E$5:$E$1753,MATCH($B276,'Code Mapping'!$A$5:$A$1753,0)),"Unmapped"))</f>
        <v>Aggregator BOGO</v>
      </c>
      <c r="N276" s="33" t="str">
        <f aca="false">IF($F276="","",$F276)</f>
        <v>Kids City Driving School</v>
      </c>
    </row>
    <row r="277" customFormat="false" ht="15" hidden="false" customHeight="false" outlineLevel="0" collapsed="false">
      <c r="A277" s="33" t="n">
        <v>7966</v>
      </c>
      <c r="B277" s="33" t="s">
        <v>406</v>
      </c>
      <c r="C277" s="33" t="s">
        <v>398</v>
      </c>
      <c r="D277" s="33"/>
      <c r="E277" s="33" t="n">
        <v>91</v>
      </c>
      <c r="F277" s="33" t="s">
        <v>36</v>
      </c>
      <c r="G277" s="33" t="s">
        <v>111</v>
      </c>
      <c r="H277" s="33" t="n">
        <v>1</v>
      </c>
      <c r="I277" s="33" t="n">
        <v>1</v>
      </c>
      <c r="J277" s="33" t="n">
        <v>1</v>
      </c>
      <c r="K277" s="32" t="n">
        <v>250</v>
      </c>
      <c r="L277" s="33" t="str">
        <f aca="false">IF($B277="","",IFERROR(INDEX('Code Mapping'!$D$5:$D$1753,MATCH($B277,'Code Mapping'!$A$5:$A$1753,0)),"Unmapped"))</f>
        <v>Unmapped</v>
      </c>
      <c r="M277" s="33" t="str">
        <f aca="false">IF($B277="","",IFERROR(INDEX('Code Mapping'!$E$5:$E$1753,MATCH($B277,'Code Mapping'!$A$5:$A$1753,0)),"Unmapped"))</f>
        <v>Unmapped</v>
      </c>
      <c r="N277" s="33" t="str">
        <f aca="false">IF($F277="","",$F277)</f>
        <v>InflataPark</v>
      </c>
    </row>
    <row r="278" customFormat="false" ht="15" hidden="false" customHeight="false" outlineLevel="0" collapsed="false">
      <c r="A278" s="33" t="n">
        <v>5557</v>
      </c>
      <c r="B278" s="33" t="s">
        <v>181</v>
      </c>
      <c r="C278" s="33"/>
      <c r="D278" s="33"/>
      <c r="E278" s="33" t="n">
        <v>61</v>
      </c>
      <c r="F278" s="33" t="s">
        <v>38</v>
      </c>
      <c r="G278" s="33" t="s">
        <v>111</v>
      </c>
      <c r="H278" s="33" t="n">
        <v>19</v>
      </c>
      <c r="I278" s="33" t="n">
        <v>19</v>
      </c>
      <c r="J278" s="33" t="n">
        <v>19</v>
      </c>
      <c r="K278" s="32" t="n">
        <v>1900</v>
      </c>
      <c r="L278" s="33" t="str">
        <f aca="false">IF($B278="","",IFERROR(INDEX('Code Mapping'!$D$5:$D$1753,MATCH($B278,'Code Mapping'!$A$5:$A$1753,0)),"Unmapped"))</f>
        <v>Entertainer</v>
      </c>
      <c r="M278" s="33" t="str">
        <f aca="false">IF($B278="","",IFERROR(INDEX('Code Mapping'!$E$5:$E$1753,MATCH($B278,'Code Mapping'!$A$5:$A$1753,0)),"Unmapped"))</f>
        <v>Aggregator BOGO</v>
      </c>
      <c r="N278" s="33" t="str">
        <f aca="false">IF($F278="","",$F278)</f>
        <v>Crayons &amp; Bricks Vendome</v>
      </c>
    </row>
    <row r="279" customFormat="false" ht="15" hidden="false" customHeight="false" outlineLevel="0" collapsed="false">
      <c r="A279" s="33" t="n">
        <v>7954</v>
      </c>
      <c r="B279" s="33" t="s">
        <v>237</v>
      </c>
      <c r="C279" s="33" t="s">
        <v>198</v>
      </c>
      <c r="D279" s="33"/>
      <c r="E279" s="33" t="n">
        <v>94</v>
      </c>
      <c r="F279" s="33" t="s">
        <v>37</v>
      </c>
      <c r="G279" s="33" t="s">
        <v>111</v>
      </c>
      <c r="H279" s="33" t="n">
        <v>3</v>
      </c>
      <c r="I279" s="33" t="n">
        <v>4</v>
      </c>
      <c r="J279" s="33" t="n">
        <v>4</v>
      </c>
      <c r="K279" s="32" t="n">
        <v>950</v>
      </c>
      <c r="L279" s="33" t="str">
        <f aca="false">IF($B279="","",IFERROR(INDEX('Code Mapping'!$D$5:$D$1753,MATCH($B279,'Code Mapping'!$A$5:$A$1753,0)),"Unmapped"))</f>
        <v>Entertainer</v>
      </c>
      <c r="M279" s="33" t="str">
        <f aca="false">IF($B279="","",IFERROR(INDEX('Code Mapping'!$E$5:$E$1753,MATCH($B279,'Code Mapping'!$A$5:$A$1753,0)),"Unmapped"))</f>
        <v>Aggregator BOGO</v>
      </c>
      <c r="N279" s="33" t="str">
        <f aca="false">IF($F279="","",$F279)</f>
        <v>Kids City Driving School</v>
      </c>
    </row>
    <row r="280" customFormat="false" ht="15" hidden="false" customHeight="false" outlineLevel="0" collapsed="false">
      <c r="A280" s="33" t="n">
        <v>5484</v>
      </c>
      <c r="B280" s="33" t="s">
        <v>205</v>
      </c>
      <c r="C280" s="33" t="s">
        <v>206</v>
      </c>
      <c r="D280" s="33"/>
      <c r="E280" s="33" t="n">
        <v>91</v>
      </c>
      <c r="F280" s="33" t="s">
        <v>36</v>
      </c>
      <c r="G280" s="33" t="s">
        <v>111</v>
      </c>
      <c r="H280" s="33" t="n">
        <v>3</v>
      </c>
      <c r="I280" s="33" t="n">
        <v>7</v>
      </c>
      <c r="J280" s="33" t="n">
        <v>7</v>
      </c>
      <c r="K280" s="32" t="n">
        <v>106.5</v>
      </c>
      <c r="L280" s="33" t="str">
        <f aca="false">IF($B280="","",IFERROR(INDEX('Code Mapping'!$D$5:$D$1753,MATCH($B280,'Code Mapping'!$A$5:$A$1753,0)),"Unmapped"))</f>
        <v>Internal / promotion</v>
      </c>
      <c r="M280" s="33" t="str">
        <f aca="false">IF($B280="","",IFERROR(INDEX('Code Mapping'!$E$5:$E$1753,MATCH($B280,'Code Mapping'!$A$5:$A$1753,0)),"Unmapped"))</f>
        <v>Internal / promotion</v>
      </c>
      <c r="N280" s="33" t="str">
        <f aca="false">IF($F280="","",$F280)</f>
        <v>InflataPark</v>
      </c>
    </row>
    <row r="281" customFormat="false" ht="15" hidden="false" customHeight="false" outlineLevel="0" collapsed="false">
      <c r="A281" s="33" t="n">
        <v>6793</v>
      </c>
      <c r="B281" s="33" t="s">
        <v>197</v>
      </c>
      <c r="C281" s="33" t="s">
        <v>198</v>
      </c>
      <c r="D281" s="33"/>
      <c r="E281" s="33" t="n">
        <v>94</v>
      </c>
      <c r="F281" s="33" t="s">
        <v>37</v>
      </c>
      <c r="G281" s="33" t="s">
        <v>111</v>
      </c>
      <c r="H281" s="33" t="n">
        <v>1</v>
      </c>
      <c r="I281" s="33" t="n">
        <v>1</v>
      </c>
      <c r="J281" s="33" t="n">
        <v>1</v>
      </c>
      <c r="K281" s="32" t="n">
        <v>225</v>
      </c>
      <c r="L281" s="33" t="str">
        <f aca="false">IF($B281="","",IFERROR(INDEX('Code Mapping'!$D$5:$D$1753,MATCH($B281,'Code Mapping'!$A$5:$A$1753,0)),"Unmapped"))</f>
        <v>Entertainer</v>
      </c>
      <c r="M281" s="33" t="str">
        <f aca="false">IF($B281="","",IFERROR(INDEX('Code Mapping'!$E$5:$E$1753,MATCH($B281,'Code Mapping'!$A$5:$A$1753,0)),"Unmapped"))</f>
        <v>Aggregator BOGO</v>
      </c>
      <c r="N281" s="33" t="str">
        <f aca="false">IF($F281="","",$F281)</f>
        <v>Kids City Driving School</v>
      </c>
    </row>
    <row r="282" customFormat="false" ht="15" hidden="false" customHeight="false" outlineLevel="0" collapsed="false">
      <c r="A282" s="33" t="n">
        <v>6805</v>
      </c>
      <c r="B282" s="33" t="s">
        <v>229</v>
      </c>
      <c r="C282" s="33" t="s">
        <v>230</v>
      </c>
      <c r="D282" s="33"/>
      <c r="E282" s="33" t="n">
        <v>91</v>
      </c>
      <c r="F282" s="33" t="s">
        <v>36</v>
      </c>
      <c r="G282" s="33" t="s">
        <v>111</v>
      </c>
      <c r="H282" s="33" t="n">
        <v>2</v>
      </c>
      <c r="I282" s="33" t="n">
        <v>2</v>
      </c>
      <c r="J282" s="33" t="n">
        <v>2</v>
      </c>
      <c r="K282" s="32" t="n">
        <v>48.75</v>
      </c>
      <c r="L282" s="33" t="str">
        <f aca="false">IF($B282="","",IFERROR(INDEX('Code Mapping'!$D$5:$D$1753,MATCH($B282,'Code Mapping'!$A$5:$A$1753,0)),"Unmapped"))</f>
        <v>HMC (not on master)</v>
      </c>
      <c r="M282" s="33" t="str">
        <f aca="false">IF($B282="","",IFERROR(INDEX('Code Mapping'!$E$5:$E$1753,MATCH($B282,'Code Mapping'!$A$5:$A$1753,0)),"Unmapped"))</f>
        <v>Not on master</v>
      </c>
      <c r="N282" s="33" t="str">
        <f aca="false">IF($F282="","",$F282)</f>
        <v>InflataPark</v>
      </c>
    </row>
    <row r="283" customFormat="false" ht="15" hidden="false" customHeight="false" outlineLevel="0" collapsed="false">
      <c r="A283" s="33" t="n">
        <v>7964</v>
      </c>
      <c r="B283" s="33" t="s">
        <v>400</v>
      </c>
      <c r="C283" s="33" t="s">
        <v>398</v>
      </c>
      <c r="D283" s="33"/>
      <c r="E283" s="33" t="n">
        <v>91</v>
      </c>
      <c r="F283" s="33" t="s">
        <v>36</v>
      </c>
      <c r="G283" s="33" t="s">
        <v>111</v>
      </c>
      <c r="H283" s="33" t="n">
        <v>1</v>
      </c>
      <c r="I283" s="33" t="n">
        <v>1</v>
      </c>
      <c r="J283" s="33" t="n">
        <v>1</v>
      </c>
      <c r="K283" s="32" t="n">
        <v>250</v>
      </c>
      <c r="L283" s="33" t="str">
        <f aca="false">IF($B283="","",IFERROR(INDEX('Code Mapping'!$D$5:$D$1753,MATCH($B283,'Code Mapping'!$A$5:$A$1753,0)),"Unmapped"))</f>
        <v>Unmapped</v>
      </c>
      <c r="M283" s="33" t="str">
        <f aca="false">IF($B283="","",IFERROR(INDEX('Code Mapping'!$E$5:$E$1753,MATCH($B283,'Code Mapping'!$A$5:$A$1753,0)),"Unmapped"))</f>
        <v>Unmapped</v>
      </c>
      <c r="N283" s="33" t="str">
        <f aca="false">IF($F283="","",$F283)</f>
        <v>InflataPark</v>
      </c>
    </row>
    <row r="284" customFormat="false" ht="15" hidden="false" customHeight="false" outlineLevel="0" collapsed="false">
      <c r="A284" s="33" t="n">
        <v>7963</v>
      </c>
      <c r="B284" s="33" t="s">
        <v>401</v>
      </c>
      <c r="C284" s="33" t="s">
        <v>398</v>
      </c>
      <c r="D284" s="33"/>
      <c r="E284" s="33" t="n">
        <v>91</v>
      </c>
      <c r="F284" s="33" t="s">
        <v>36</v>
      </c>
      <c r="G284" s="33" t="s">
        <v>111</v>
      </c>
      <c r="H284" s="33" t="n">
        <v>1</v>
      </c>
      <c r="I284" s="33" t="n">
        <v>1</v>
      </c>
      <c r="J284" s="33" t="n">
        <v>1</v>
      </c>
      <c r="K284" s="32" t="n">
        <v>250</v>
      </c>
      <c r="L284" s="33" t="str">
        <f aca="false">IF($B284="","",IFERROR(INDEX('Code Mapping'!$D$5:$D$1753,MATCH($B284,'Code Mapping'!$A$5:$A$1753,0)),"Unmapped"))</f>
        <v>Unmapped</v>
      </c>
      <c r="M284" s="33" t="str">
        <f aca="false">IF($B284="","",IFERROR(INDEX('Code Mapping'!$E$5:$E$1753,MATCH($B284,'Code Mapping'!$A$5:$A$1753,0)),"Unmapped"))</f>
        <v>Unmapped</v>
      </c>
      <c r="N284" s="33" t="str">
        <f aca="false">IF($F284="","",$F284)</f>
        <v>InflataPark</v>
      </c>
    </row>
    <row r="285" customFormat="false" ht="15" hidden="false" customHeight="false" outlineLevel="0" collapsed="false">
      <c r="A285" s="33" t="n">
        <v>7965</v>
      </c>
      <c r="B285" s="33" t="s">
        <v>402</v>
      </c>
      <c r="C285" s="33" t="s">
        <v>398</v>
      </c>
      <c r="D285" s="33"/>
      <c r="E285" s="33" t="n">
        <v>91</v>
      </c>
      <c r="F285" s="33" t="s">
        <v>36</v>
      </c>
      <c r="G285" s="33" t="s">
        <v>111</v>
      </c>
      <c r="H285" s="33" t="n">
        <v>1</v>
      </c>
      <c r="I285" s="33" t="n">
        <v>1</v>
      </c>
      <c r="J285" s="33" t="n">
        <v>1</v>
      </c>
      <c r="K285" s="32" t="n">
        <v>250</v>
      </c>
      <c r="L285" s="33" t="str">
        <f aca="false">IF($B285="","",IFERROR(INDEX('Code Mapping'!$D$5:$D$1753,MATCH($B285,'Code Mapping'!$A$5:$A$1753,0)),"Unmapped"))</f>
        <v>Unmapped</v>
      </c>
      <c r="M285" s="33" t="str">
        <f aca="false">IF($B285="","",IFERROR(INDEX('Code Mapping'!$E$5:$E$1753,MATCH($B285,'Code Mapping'!$A$5:$A$1753,0)),"Unmapped"))</f>
        <v>Unmapped</v>
      </c>
      <c r="N285" s="33" t="str">
        <f aca="false">IF($F285="","",$F285)</f>
        <v>InflataPark</v>
      </c>
    </row>
    <row r="286" customFormat="false" ht="15" hidden="false" customHeight="false" outlineLevel="0" collapsed="false">
      <c r="A286" s="33" t="n">
        <v>6826</v>
      </c>
      <c r="B286" s="33" t="s">
        <v>173</v>
      </c>
      <c r="C286" s="33" t="s">
        <v>174</v>
      </c>
      <c r="D286" s="33"/>
      <c r="E286" s="33" t="n">
        <v>61</v>
      </c>
      <c r="F286" s="33" t="s">
        <v>38</v>
      </c>
      <c r="G286" s="33" t="s">
        <v>110</v>
      </c>
      <c r="H286" s="33" t="n">
        <v>15</v>
      </c>
      <c r="I286" s="33" t="n">
        <v>15</v>
      </c>
      <c r="J286" s="33" t="n">
        <v>15</v>
      </c>
      <c r="K286" s="32" t="n">
        <v>1500</v>
      </c>
      <c r="L286" s="33" t="str">
        <f aca="false">IF($B286="","",IFERROR(INDEX('Code Mapping'!$D$5:$D$1753,MATCH($B286,'Code Mapping'!$A$5:$A$1753,0)),"Unmapped"))</f>
        <v>Urban Point</v>
      </c>
      <c r="M286" s="33" t="str">
        <f aca="false">IF($B286="","",IFERROR(INDEX('Code Mapping'!$E$5:$E$1753,MATCH($B286,'Code Mapping'!$A$5:$A$1753,0)),"Unmapped"))</f>
        <v>Aggregator BOGO</v>
      </c>
      <c r="N286" s="33" t="str">
        <f aca="false">IF($F286="","",$F286)</f>
        <v>Crayons &amp; Bricks Vendome</v>
      </c>
    </row>
    <row r="287" customFormat="false" ht="15" hidden="false" customHeight="false" outlineLevel="0" collapsed="false">
      <c r="A287" s="33" t="n">
        <v>6798</v>
      </c>
      <c r="B287" s="33" t="s">
        <v>146</v>
      </c>
      <c r="C287" s="33" t="s">
        <v>147</v>
      </c>
      <c r="D287" s="33"/>
      <c r="E287" s="33" t="n">
        <v>91</v>
      </c>
      <c r="F287" s="33" t="s">
        <v>36</v>
      </c>
      <c r="G287" s="33" t="s">
        <v>110</v>
      </c>
      <c r="H287" s="33" t="n">
        <v>53</v>
      </c>
      <c r="I287" s="33" t="n">
        <v>54</v>
      </c>
      <c r="J287" s="33" t="n">
        <v>54</v>
      </c>
      <c r="K287" s="32" t="n">
        <v>8580</v>
      </c>
      <c r="L287" s="33" t="str">
        <f aca="false">IF($B287="","",IFERROR(INDEX('Code Mapping'!$D$5:$D$1753,MATCH($B287,'Code Mapping'!$A$5:$A$1753,0)),"Unmapped"))</f>
        <v>My Book</v>
      </c>
      <c r="M287" s="33" t="str">
        <f aca="false">IF($B287="","",IFERROR(INDEX('Code Mapping'!$E$5:$E$1753,MATCH($B287,'Code Mapping'!$A$5:$A$1753,0)),"Unmapped"))</f>
        <v>Aggregator BOGO</v>
      </c>
      <c r="N287" s="33" t="str">
        <f aca="false">IF($F287="","",$F287)</f>
        <v>InflataPark</v>
      </c>
    </row>
    <row r="288" customFormat="false" ht="15" hidden="false" customHeight="false" outlineLevel="0" collapsed="false">
      <c r="A288" s="33" t="n">
        <v>6797</v>
      </c>
      <c r="B288" s="33" t="s">
        <v>143</v>
      </c>
      <c r="C288" s="33" t="s">
        <v>144</v>
      </c>
      <c r="D288" s="33"/>
      <c r="E288" s="33" t="n">
        <v>91</v>
      </c>
      <c r="F288" s="33" t="s">
        <v>36</v>
      </c>
      <c r="G288" s="33" t="s">
        <v>110</v>
      </c>
      <c r="H288" s="33" t="n">
        <v>67</v>
      </c>
      <c r="I288" s="33" t="n">
        <v>67</v>
      </c>
      <c r="J288" s="33" t="n">
        <v>67</v>
      </c>
      <c r="K288" s="32" t="n">
        <v>12430</v>
      </c>
      <c r="L288" s="33" t="str">
        <f aca="false">IF($B288="","",IFERROR(INDEX('Code Mapping'!$D$5:$D$1753,MATCH($B288,'Code Mapping'!$A$5:$A$1753,0)),"Unmapped"))</f>
        <v>Urban Point</v>
      </c>
      <c r="M288" s="33" t="str">
        <f aca="false">IF($B288="","",IFERROR(INDEX('Code Mapping'!$E$5:$E$1753,MATCH($B288,'Code Mapping'!$A$5:$A$1753,0)),"Unmapped"))</f>
        <v>Aggregator BOGO</v>
      </c>
      <c r="N288" s="33" t="str">
        <f aca="false">IF($F288="","",$F288)</f>
        <v>InflataPark</v>
      </c>
    </row>
    <row r="289" customFormat="false" ht="15" hidden="false" customHeight="false" outlineLevel="0" collapsed="false">
      <c r="A289" s="33" t="n">
        <v>7953</v>
      </c>
      <c r="B289" s="33" t="s">
        <v>176</v>
      </c>
      <c r="C289" s="33" t="s">
        <v>177</v>
      </c>
      <c r="D289" s="33"/>
      <c r="E289" s="33" t="n">
        <v>94</v>
      </c>
      <c r="F289" s="33" t="s">
        <v>37</v>
      </c>
      <c r="G289" s="33" t="s">
        <v>110</v>
      </c>
      <c r="H289" s="33" t="n">
        <v>17</v>
      </c>
      <c r="I289" s="33" t="n">
        <v>17</v>
      </c>
      <c r="J289" s="33" t="n">
        <v>17</v>
      </c>
      <c r="K289" s="32" t="n">
        <v>3850</v>
      </c>
      <c r="L289" s="33" t="str">
        <f aca="false">IF($B289="","",IFERROR(INDEX('Code Mapping'!$D$5:$D$1753,MATCH($B289,'Code Mapping'!$A$5:$A$1753,0)),"Unmapped"))</f>
        <v>Urban Point</v>
      </c>
      <c r="M289" s="33" t="str">
        <f aca="false">IF($B289="","",IFERROR(INDEX('Code Mapping'!$E$5:$E$1753,MATCH($B289,'Code Mapping'!$A$5:$A$1753,0)),"Unmapped"))</f>
        <v>Aggregator BOGO</v>
      </c>
      <c r="N289" s="33" t="str">
        <f aca="false">IF($F289="","",$F289)</f>
        <v>Kids City Driving School</v>
      </c>
    </row>
    <row r="290" customFormat="false" ht="15" hidden="false" customHeight="false" outlineLevel="0" collapsed="false">
      <c r="A290" s="33" t="n">
        <v>8012</v>
      </c>
      <c r="B290" s="33" t="s">
        <v>428</v>
      </c>
      <c r="C290" s="33" t="s">
        <v>427</v>
      </c>
      <c r="D290" s="33"/>
      <c r="E290" s="33" t="n">
        <v>91</v>
      </c>
      <c r="F290" s="33" t="s">
        <v>36</v>
      </c>
      <c r="G290" s="33" t="s">
        <v>110</v>
      </c>
      <c r="H290" s="33" t="n">
        <v>1</v>
      </c>
      <c r="I290" s="33" t="n">
        <v>2</v>
      </c>
      <c r="J290" s="33" t="n">
        <v>2</v>
      </c>
      <c r="K290" s="32" t="n">
        <v>110</v>
      </c>
      <c r="L290" s="33" t="str">
        <f aca="false">IF($B290="","",IFERROR(INDEX('Code Mapping'!$D$5:$D$1753,MATCH($B290,'Code Mapping'!$A$5:$A$1753,0)),"Unmapped"))</f>
        <v>Unmapped</v>
      </c>
      <c r="M290" s="33" t="str">
        <f aca="false">IF($B290="","",IFERROR(INDEX('Code Mapping'!$E$5:$E$1753,MATCH($B290,'Code Mapping'!$A$5:$A$1753,0)),"Unmapped"))</f>
        <v>Unmapped</v>
      </c>
      <c r="N290" s="33" t="str">
        <f aca="false">IF($F290="","",$F290)</f>
        <v>InflataPark</v>
      </c>
    </row>
    <row r="291" customFormat="false" ht="15" hidden="false" customHeight="false" outlineLevel="0" collapsed="false">
      <c r="A291" s="33" t="n">
        <v>6803</v>
      </c>
      <c r="B291" s="33" t="s">
        <v>191</v>
      </c>
      <c r="C291" s="33" t="s">
        <v>192</v>
      </c>
      <c r="D291" s="33"/>
      <c r="E291" s="33" t="n">
        <v>91</v>
      </c>
      <c r="F291" s="33" t="s">
        <v>36</v>
      </c>
      <c r="G291" s="33" t="s">
        <v>110</v>
      </c>
      <c r="H291" s="33" t="n">
        <v>6</v>
      </c>
      <c r="I291" s="33" t="n">
        <v>8</v>
      </c>
      <c r="J291" s="33" t="n">
        <v>8</v>
      </c>
      <c r="K291" s="32" t="n">
        <v>114.75</v>
      </c>
      <c r="L291" s="33" t="str">
        <f aca="false">IF($B291="","",IFERROR(INDEX('Code Mapping'!$D$5:$D$1753,MATCH($B291,'Code Mapping'!$A$5:$A$1753,0)),"Unmapped"))</f>
        <v>Qatar Airways</v>
      </c>
      <c r="M291" s="33" t="str">
        <f aca="false">IF($B291="","",IFERROR(INDEX('Code Mapping'!$E$5:$E$1753,MATCH($B291,'Code Mapping'!$A$5:$A$1753,0)),"Unmapped"))</f>
        <v>Corporate discount</v>
      </c>
      <c r="N291" s="33" t="str">
        <f aca="false">IF($F291="","",$F291)</f>
        <v>InflataPark</v>
      </c>
    </row>
    <row r="292" customFormat="false" ht="15" hidden="false" customHeight="false" outlineLevel="0" collapsed="false">
      <c r="A292" s="33" t="n">
        <v>6811</v>
      </c>
      <c r="B292" s="33" t="s">
        <v>238</v>
      </c>
      <c r="C292" s="33" t="s">
        <v>239</v>
      </c>
      <c r="D292" s="33"/>
      <c r="E292" s="33" t="n">
        <v>94</v>
      </c>
      <c r="F292" s="33" t="s">
        <v>37</v>
      </c>
      <c r="G292" s="33" t="s">
        <v>110</v>
      </c>
      <c r="H292" s="33" t="n">
        <v>6</v>
      </c>
      <c r="I292" s="33" t="n">
        <v>6</v>
      </c>
      <c r="J292" s="33" t="n">
        <v>6</v>
      </c>
      <c r="K292" s="32" t="n">
        <v>124.5</v>
      </c>
      <c r="L292" s="33" t="str">
        <f aca="false">IF($B292="","",IFERROR(INDEX('Code Mapping'!$D$5:$D$1753,MATCH($B292,'Code Mapping'!$A$5:$A$1753,0)),"Unmapped"))</f>
        <v>Qatar Airways</v>
      </c>
      <c r="M292" s="33" t="str">
        <f aca="false">IF($B292="","",IFERROR(INDEX('Code Mapping'!$E$5:$E$1753,MATCH($B292,'Code Mapping'!$A$5:$A$1753,0)),"Unmapped"))</f>
        <v>Corporate discount</v>
      </c>
      <c r="N292" s="33" t="str">
        <f aca="false">IF($F292="","",$F292)</f>
        <v>Kids City Driving School</v>
      </c>
    </row>
    <row r="293" customFormat="false" ht="15" hidden="false" customHeight="false" outlineLevel="0" collapsed="false">
      <c r="A293" s="33" t="n">
        <v>6827</v>
      </c>
      <c r="B293" s="33" t="s">
        <v>182</v>
      </c>
      <c r="C293" s="33"/>
      <c r="D293" s="33"/>
      <c r="E293" s="33" t="n">
        <v>61</v>
      </c>
      <c r="F293" s="33" t="s">
        <v>38</v>
      </c>
      <c r="G293" s="33" t="s">
        <v>110</v>
      </c>
      <c r="H293" s="33" t="n">
        <v>6</v>
      </c>
      <c r="I293" s="33" t="n">
        <v>6</v>
      </c>
      <c r="J293" s="33" t="n">
        <v>6</v>
      </c>
      <c r="K293" s="32" t="n">
        <v>600</v>
      </c>
      <c r="L293" s="33" t="str">
        <f aca="false">IF($B293="","",IFERROR(INDEX('Code Mapping'!$D$5:$D$1753,MATCH($B293,'Code Mapping'!$A$5:$A$1753,0)),"Unmapped"))</f>
        <v>My Book</v>
      </c>
      <c r="M293" s="33" t="str">
        <f aca="false">IF($B293="","",IFERROR(INDEX('Code Mapping'!$E$5:$E$1753,MATCH($B293,'Code Mapping'!$A$5:$A$1753,0)),"Unmapped"))</f>
        <v>Aggregator BOGO</v>
      </c>
      <c r="N293" s="33" t="str">
        <f aca="false">IF($F293="","",$F293)</f>
        <v>Crayons &amp; Bricks Vendome</v>
      </c>
    </row>
    <row r="294" customFormat="false" ht="15" hidden="false" customHeight="false" outlineLevel="0" collapsed="false">
      <c r="A294" s="33" t="n">
        <v>7952</v>
      </c>
      <c r="B294" s="33" t="s">
        <v>184</v>
      </c>
      <c r="C294" s="33" t="s">
        <v>185</v>
      </c>
      <c r="D294" s="33"/>
      <c r="E294" s="33" t="n">
        <v>94</v>
      </c>
      <c r="F294" s="33" t="s">
        <v>37</v>
      </c>
      <c r="G294" s="33" t="s">
        <v>110</v>
      </c>
      <c r="H294" s="33" t="n">
        <v>11</v>
      </c>
      <c r="I294" s="33" t="n">
        <v>12</v>
      </c>
      <c r="J294" s="33" t="n">
        <v>12</v>
      </c>
      <c r="K294" s="32" t="n">
        <v>2700</v>
      </c>
      <c r="L294" s="33" t="str">
        <f aca="false">IF($B294="","",IFERROR(INDEX('Code Mapping'!$D$5:$D$1753,MATCH($B294,'Code Mapping'!$A$5:$A$1753,0)),"Unmapped"))</f>
        <v>My Book</v>
      </c>
      <c r="M294" s="33" t="str">
        <f aca="false">IF($B294="","",IFERROR(INDEX('Code Mapping'!$E$5:$E$1753,MATCH($B294,'Code Mapping'!$A$5:$A$1753,0)),"Unmapped"))</f>
        <v>Aggregator BOGO</v>
      </c>
      <c r="N294" s="33" t="str">
        <f aca="false">IF($F294="","",$F294)</f>
        <v>Kids City Driving School</v>
      </c>
    </row>
    <row r="295" customFormat="false" ht="15" hidden="false" customHeight="false" outlineLevel="0" collapsed="false">
      <c r="A295" s="33" t="n">
        <v>5538</v>
      </c>
      <c r="B295" s="33" t="s">
        <v>247</v>
      </c>
      <c r="C295" s="33" t="s">
        <v>248</v>
      </c>
      <c r="D295" s="33"/>
      <c r="E295" s="33" t="n">
        <v>91</v>
      </c>
      <c r="F295" s="33" t="s">
        <v>36</v>
      </c>
      <c r="G295" s="33" t="s">
        <v>110</v>
      </c>
      <c r="H295" s="33" t="n">
        <v>2</v>
      </c>
      <c r="I295" s="33" t="n">
        <v>3</v>
      </c>
      <c r="J295" s="33" t="n">
        <v>3</v>
      </c>
      <c r="K295" s="32" t="n">
        <v>27.75</v>
      </c>
      <c r="L295" s="33" t="str">
        <f aca="false">IF($B295="","",IFERROR(INDEX('Code Mapping'!$D$5:$D$1753,MATCH($B295,'Code Mapping'!$A$5:$A$1753,0)),"Unmapped"))</f>
        <v>Internal / promotion</v>
      </c>
      <c r="M295" s="33" t="str">
        <f aca="false">IF($B295="","",IFERROR(INDEX('Code Mapping'!$E$5:$E$1753,MATCH($B295,'Code Mapping'!$A$5:$A$1753,0)),"Unmapped"))</f>
        <v>Internal / promotion</v>
      </c>
      <c r="N295" s="33" t="str">
        <f aca="false">IF($F295="","",$F295)</f>
        <v>InflataPark</v>
      </c>
    </row>
    <row r="296" customFormat="false" ht="15" hidden="false" customHeight="false" outlineLevel="0" collapsed="false">
      <c r="A296" s="33" t="n">
        <v>6813</v>
      </c>
      <c r="B296" s="33" t="s">
        <v>270</v>
      </c>
      <c r="C296" s="33" t="s">
        <v>271</v>
      </c>
      <c r="D296" s="33"/>
      <c r="E296" s="33" t="n">
        <v>94</v>
      </c>
      <c r="F296" s="33" t="s">
        <v>37</v>
      </c>
      <c r="G296" s="33" t="s">
        <v>110</v>
      </c>
      <c r="H296" s="33" t="n">
        <v>1</v>
      </c>
      <c r="I296" s="33" t="n">
        <v>1</v>
      </c>
      <c r="J296" s="33" t="n">
        <v>1</v>
      </c>
      <c r="K296" s="32" t="n">
        <v>33.75</v>
      </c>
      <c r="L296" s="33" t="str">
        <f aca="false">IF($B296="","",IFERROR(INDEX('Code Mapping'!$D$5:$D$1753,MATCH($B296,'Code Mapping'!$A$5:$A$1753,0)),"Unmapped"))</f>
        <v>HMC (not on master)</v>
      </c>
      <c r="M296" s="33" t="str">
        <f aca="false">IF($B296="","",IFERROR(INDEX('Code Mapping'!$E$5:$E$1753,MATCH($B296,'Code Mapping'!$A$5:$A$1753,0)),"Unmapped"))</f>
        <v>Not on master</v>
      </c>
      <c r="N296" s="33" t="str">
        <f aca="false">IF($F296="","",$F296)</f>
        <v>Kids City Driving School</v>
      </c>
    </row>
    <row r="297" customFormat="false" ht="15" hidden="false" customHeight="false" outlineLevel="0" collapsed="false">
      <c r="A297" s="33" t="n">
        <v>6796</v>
      </c>
      <c r="B297" s="33" t="s">
        <v>162</v>
      </c>
      <c r="C297" s="33" t="s">
        <v>163</v>
      </c>
      <c r="D297" s="33"/>
      <c r="E297" s="33" t="n">
        <v>91</v>
      </c>
      <c r="F297" s="33" t="s">
        <v>36</v>
      </c>
      <c r="G297" s="33" t="s">
        <v>110</v>
      </c>
      <c r="H297" s="33" t="n">
        <v>25</v>
      </c>
      <c r="I297" s="33" t="n">
        <v>26</v>
      </c>
      <c r="J297" s="33" t="n">
        <v>26</v>
      </c>
      <c r="K297" s="32" t="n">
        <v>4580</v>
      </c>
      <c r="L297" s="33" t="str">
        <f aca="false">IF($B297="","",IFERROR(INDEX('Code Mapping'!$D$5:$D$1753,MATCH($B297,'Code Mapping'!$A$5:$A$1753,0)),"Unmapped"))</f>
        <v>Entertainer</v>
      </c>
      <c r="M297" s="33" t="str">
        <f aca="false">IF($B297="","",IFERROR(INDEX('Code Mapping'!$E$5:$E$1753,MATCH($B297,'Code Mapping'!$A$5:$A$1753,0)),"Unmapped"))</f>
        <v>Aggregator BOGO</v>
      </c>
      <c r="N297" s="33" t="str">
        <f aca="false">IF($F297="","",$F297)</f>
        <v>InflataPark</v>
      </c>
    </row>
    <row r="298" customFormat="false" ht="15" hidden="false" customHeight="false" outlineLevel="0" collapsed="false">
      <c r="A298" s="33" t="n">
        <v>7954</v>
      </c>
      <c r="B298" s="33" t="s">
        <v>237</v>
      </c>
      <c r="C298" s="33" t="s">
        <v>198</v>
      </c>
      <c r="D298" s="33"/>
      <c r="E298" s="33" t="n">
        <v>94</v>
      </c>
      <c r="F298" s="33" t="s">
        <v>37</v>
      </c>
      <c r="G298" s="33" t="s">
        <v>110</v>
      </c>
      <c r="H298" s="33" t="n">
        <v>5</v>
      </c>
      <c r="I298" s="33" t="n">
        <v>5</v>
      </c>
      <c r="J298" s="33" t="n">
        <v>5</v>
      </c>
      <c r="K298" s="32" t="n">
        <v>1150</v>
      </c>
      <c r="L298" s="33" t="str">
        <f aca="false">IF($B298="","",IFERROR(INDEX('Code Mapping'!$D$5:$D$1753,MATCH($B298,'Code Mapping'!$A$5:$A$1753,0)),"Unmapped"))</f>
        <v>Entertainer</v>
      </c>
      <c r="M298" s="33" t="str">
        <f aca="false">IF($B298="","",IFERROR(INDEX('Code Mapping'!$E$5:$E$1753,MATCH($B298,'Code Mapping'!$A$5:$A$1753,0)),"Unmapped"))</f>
        <v>Aggregator BOGO</v>
      </c>
      <c r="N298" s="33" t="str">
        <f aca="false">IF($F298="","",$F298)</f>
        <v>Kids City Driving School</v>
      </c>
    </row>
    <row r="299" customFormat="false" ht="15" hidden="false" customHeight="false" outlineLevel="0" collapsed="false">
      <c r="A299" s="33" t="n">
        <v>5557</v>
      </c>
      <c r="B299" s="33" t="s">
        <v>181</v>
      </c>
      <c r="C299" s="33"/>
      <c r="D299" s="33"/>
      <c r="E299" s="33" t="n">
        <v>61</v>
      </c>
      <c r="F299" s="33" t="s">
        <v>38</v>
      </c>
      <c r="G299" s="33" t="s">
        <v>110</v>
      </c>
      <c r="H299" s="33" t="n">
        <v>6</v>
      </c>
      <c r="I299" s="33" t="n">
        <v>6</v>
      </c>
      <c r="J299" s="33" t="n">
        <v>6</v>
      </c>
      <c r="K299" s="32" t="n">
        <v>600</v>
      </c>
      <c r="L299" s="33" t="str">
        <f aca="false">IF($B299="","",IFERROR(INDEX('Code Mapping'!$D$5:$D$1753,MATCH($B299,'Code Mapping'!$A$5:$A$1753,0)),"Unmapped"))</f>
        <v>Entertainer</v>
      </c>
      <c r="M299" s="33" t="str">
        <f aca="false">IF($B299="","",IFERROR(INDEX('Code Mapping'!$E$5:$E$1753,MATCH($B299,'Code Mapping'!$A$5:$A$1753,0)),"Unmapped"))</f>
        <v>Aggregator BOGO</v>
      </c>
      <c r="N299" s="33" t="str">
        <f aca="false">IF($F299="","",$F299)</f>
        <v>Crayons &amp; Bricks Vendome</v>
      </c>
    </row>
    <row r="300" customFormat="false" ht="15" hidden="false" customHeight="false" outlineLevel="0" collapsed="false">
      <c r="A300" s="33" t="n">
        <v>5484</v>
      </c>
      <c r="B300" s="33" t="s">
        <v>205</v>
      </c>
      <c r="C300" s="33" t="s">
        <v>206</v>
      </c>
      <c r="D300" s="33"/>
      <c r="E300" s="33" t="n">
        <v>91</v>
      </c>
      <c r="F300" s="33" t="s">
        <v>36</v>
      </c>
      <c r="G300" s="33" t="s">
        <v>110</v>
      </c>
      <c r="H300" s="33" t="n">
        <v>3</v>
      </c>
      <c r="I300" s="33" t="n">
        <v>5</v>
      </c>
      <c r="J300" s="33" t="n">
        <v>5</v>
      </c>
      <c r="K300" s="32" t="n">
        <v>66</v>
      </c>
      <c r="L300" s="33" t="str">
        <f aca="false">IF($B300="","",IFERROR(INDEX('Code Mapping'!$D$5:$D$1753,MATCH($B300,'Code Mapping'!$A$5:$A$1753,0)),"Unmapped"))</f>
        <v>Internal / promotion</v>
      </c>
      <c r="M300" s="33" t="str">
        <f aca="false">IF($B300="","",IFERROR(INDEX('Code Mapping'!$E$5:$E$1753,MATCH($B300,'Code Mapping'!$A$5:$A$1753,0)),"Unmapped"))</f>
        <v>Internal / promotion</v>
      </c>
      <c r="N300" s="33" t="str">
        <f aca="false">IF($F300="","",$F300)</f>
        <v>InflataPark</v>
      </c>
    </row>
    <row r="301" customFormat="false" ht="15" hidden="false" customHeight="false" outlineLevel="0" collapsed="false">
      <c r="A301" s="33" t="n">
        <v>6807</v>
      </c>
      <c r="B301" s="33" t="s">
        <v>292</v>
      </c>
      <c r="C301" s="33" t="s">
        <v>293</v>
      </c>
      <c r="D301" s="33"/>
      <c r="E301" s="33" t="n">
        <v>94</v>
      </c>
      <c r="F301" s="33" t="s">
        <v>37</v>
      </c>
      <c r="G301" s="33" t="s">
        <v>110</v>
      </c>
      <c r="H301" s="33" t="n">
        <v>1</v>
      </c>
      <c r="I301" s="33" t="n">
        <v>1</v>
      </c>
      <c r="J301" s="33" t="n">
        <v>1</v>
      </c>
      <c r="K301" s="32" t="n">
        <v>33.75</v>
      </c>
      <c r="L301" s="33" t="str">
        <f aca="false">IF($B301="","",IFERROR(INDEX('Code Mapping'!$D$5:$D$1753,MATCH($B301,'Code Mapping'!$A$5:$A$1753,0)),"Unmapped"))</f>
        <v>Al Jazeera Imtiyazat</v>
      </c>
      <c r="M301" s="33" t="str">
        <f aca="false">IF($B301="","",IFERROR(INDEX('Code Mapping'!$E$5:$E$1753,MATCH($B301,'Code Mapping'!$A$5:$A$1753,0)),"Unmapped"))</f>
        <v>Corporate discount</v>
      </c>
      <c r="N301" s="33" t="str">
        <f aca="false">IF($F301="","",$F301)</f>
        <v>Kids City Driving School</v>
      </c>
    </row>
    <row r="302" customFormat="false" ht="15" hidden="false" customHeight="false" outlineLevel="0" collapsed="false">
      <c r="A302" s="33" t="n">
        <v>7962</v>
      </c>
      <c r="B302" s="33" t="s">
        <v>407</v>
      </c>
      <c r="C302" s="33" t="s">
        <v>398</v>
      </c>
      <c r="D302" s="33"/>
      <c r="E302" s="33" t="n">
        <v>91</v>
      </c>
      <c r="F302" s="33" t="s">
        <v>36</v>
      </c>
      <c r="G302" s="33" t="s">
        <v>110</v>
      </c>
      <c r="H302" s="33" t="n">
        <v>1</v>
      </c>
      <c r="I302" s="33" t="n">
        <v>1</v>
      </c>
      <c r="J302" s="33" t="n">
        <v>1</v>
      </c>
      <c r="K302" s="32" t="n">
        <v>250</v>
      </c>
      <c r="L302" s="33" t="str">
        <f aca="false">IF($B302="","",IFERROR(INDEX('Code Mapping'!$D$5:$D$1753,MATCH($B302,'Code Mapping'!$A$5:$A$1753,0)),"Unmapped"))</f>
        <v>Unmapped</v>
      </c>
      <c r="M302" s="33" t="str">
        <f aca="false">IF($B302="","",IFERROR(INDEX('Code Mapping'!$E$5:$E$1753,MATCH($B302,'Code Mapping'!$A$5:$A$1753,0)),"Unmapped"))</f>
        <v>Unmapped</v>
      </c>
      <c r="N302" s="33" t="str">
        <f aca="false">IF($F302="","",$F302)</f>
        <v>InflataPark</v>
      </c>
    </row>
    <row r="303" customFormat="false" ht="15" hidden="false" customHeight="false" outlineLevel="0" collapsed="false">
      <c r="A303" s="33" t="n">
        <v>6811</v>
      </c>
      <c r="B303" s="33" t="s">
        <v>238</v>
      </c>
      <c r="C303" s="33" t="s">
        <v>239</v>
      </c>
      <c r="D303" s="33"/>
      <c r="E303" s="33" t="n">
        <v>94</v>
      </c>
      <c r="F303" s="33" t="s">
        <v>37</v>
      </c>
      <c r="G303" s="33" t="s">
        <v>109</v>
      </c>
      <c r="H303" s="33" t="n">
        <v>2</v>
      </c>
      <c r="I303" s="33" t="n">
        <v>2</v>
      </c>
      <c r="J303" s="33" t="n">
        <v>2</v>
      </c>
      <c r="K303" s="32" t="n">
        <v>26.25</v>
      </c>
      <c r="L303" s="33" t="str">
        <f aca="false">IF($B303="","",IFERROR(INDEX('Code Mapping'!$D$5:$D$1753,MATCH($B303,'Code Mapping'!$A$5:$A$1753,0)),"Unmapped"))</f>
        <v>Qatar Airways</v>
      </c>
      <c r="M303" s="33" t="str">
        <f aca="false">IF($B303="","",IFERROR(INDEX('Code Mapping'!$E$5:$E$1753,MATCH($B303,'Code Mapping'!$A$5:$A$1753,0)),"Unmapped"))</f>
        <v>Corporate discount</v>
      </c>
      <c r="N303" s="33" t="str">
        <f aca="false">IF($F303="","",$F303)</f>
        <v>Kids City Driving School</v>
      </c>
    </row>
    <row r="304" customFormat="false" ht="15" hidden="false" customHeight="false" outlineLevel="0" collapsed="false">
      <c r="A304" s="33" t="n">
        <v>6798</v>
      </c>
      <c r="B304" s="33" t="s">
        <v>146</v>
      </c>
      <c r="C304" s="33" t="s">
        <v>147</v>
      </c>
      <c r="D304" s="33"/>
      <c r="E304" s="33" t="n">
        <v>91</v>
      </c>
      <c r="F304" s="33" t="s">
        <v>36</v>
      </c>
      <c r="G304" s="33" t="s">
        <v>109</v>
      </c>
      <c r="H304" s="33" t="n">
        <v>80</v>
      </c>
      <c r="I304" s="33" t="n">
        <v>80</v>
      </c>
      <c r="J304" s="33" t="n">
        <v>80</v>
      </c>
      <c r="K304" s="32" t="n">
        <v>13160</v>
      </c>
      <c r="L304" s="33" t="str">
        <f aca="false">IF($B304="","",IFERROR(INDEX('Code Mapping'!$D$5:$D$1753,MATCH($B304,'Code Mapping'!$A$5:$A$1753,0)),"Unmapped"))</f>
        <v>My Book</v>
      </c>
      <c r="M304" s="33" t="str">
        <f aca="false">IF($B304="","",IFERROR(INDEX('Code Mapping'!$E$5:$E$1753,MATCH($B304,'Code Mapping'!$A$5:$A$1753,0)),"Unmapped"))</f>
        <v>Aggregator BOGO</v>
      </c>
      <c r="N304" s="33" t="str">
        <f aca="false">IF($F304="","",$F304)</f>
        <v>InflataPark</v>
      </c>
    </row>
    <row r="305" customFormat="false" ht="15" hidden="false" customHeight="false" outlineLevel="0" collapsed="false">
      <c r="A305" s="33" t="n">
        <v>8010</v>
      </c>
      <c r="B305" s="33" t="s">
        <v>212</v>
      </c>
      <c r="C305" s="33" t="s">
        <v>213</v>
      </c>
      <c r="D305" s="33"/>
      <c r="E305" s="33" t="n">
        <v>123</v>
      </c>
      <c r="F305" s="33" t="s">
        <v>2149</v>
      </c>
      <c r="G305" s="33" t="s">
        <v>109</v>
      </c>
      <c r="H305" s="33" t="n">
        <v>29</v>
      </c>
      <c r="I305" s="33" t="n">
        <v>180</v>
      </c>
      <c r="J305" s="33" t="n">
        <v>180</v>
      </c>
      <c r="K305" s="32" t="n">
        <v>2492.5</v>
      </c>
      <c r="L305" s="33" t="str">
        <f aca="false">IF($B305="","",IFERROR(INDEX('Code Mapping'!$D$5:$D$1753,MATCH($B305,'Code Mapping'!$A$5:$A$1753,0)),"Unmapped"))</f>
        <v>Internal / promotion</v>
      </c>
      <c r="M305" s="33" t="str">
        <f aca="false">IF($B305="","",IFERROR(INDEX('Code Mapping'!$E$5:$E$1753,MATCH($B305,'Code Mapping'!$A$5:$A$1753,0)),"Unmapped"))</f>
        <v>Internal / promotion</v>
      </c>
      <c r="N305" s="33" t="str">
        <f aca="false">IF($F305="","",$F305)</f>
        <v>Winter Mirage Fest Meryal Park</v>
      </c>
    </row>
    <row r="306" customFormat="false" ht="15" hidden="false" customHeight="false" outlineLevel="0" collapsed="false">
      <c r="A306" s="33" t="n">
        <v>6827</v>
      </c>
      <c r="B306" s="33" t="s">
        <v>182</v>
      </c>
      <c r="C306" s="33"/>
      <c r="D306" s="33"/>
      <c r="E306" s="33" t="n">
        <v>61</v>
      </c>
      <c r="F306" s="33" t="s">
        <v>38</v>
      </c>
      <c r="G306" s="33" t="s">
        <v>109</v>
      </c>
      <c r="H306" s="33" t="n">
        <v>9</v>
      </c>
      <c r="I306" s="33" t="n">
        <v>9</v>
      </c>
      <c r="J306" s="33" t="n">
        <v>9</v>
      </c>
      <c r="K306" s="32" t="n">
        <v>900</v>
      </c>
      <c r="L306" s="33" t="str">
        <f aca="false">IF($B306="","",IFERROR(INDEX('Code Mapping'!$D$5:$D$1753,MATCH($B306,'Code Mapping'!$A$5:$A$1753,0)),"Unmapped"))</f>
        <v>My Book</v>
      </c>
      <c r="M306" s="33" t="str">
        <f aca="false">IF($B306="","",IFERROR(INDEX('Code Mapping'!$E$5:$E$1753,MATCH($B306,'Code Mapping'!$A$5:$A$1753,0)),"Unmapped"))</f>
        <v>Aggregator BOGO</v>
      </c>
      <c r="N306" s="33" t="str">
        <f aca="false">IF($F306="","",$F306)</f>
        <v>Crayons &amp; Bricks Vendome</v>
      </c>
    </row>
    <row r="307" customFormat="false" ht="15" hidden="false" customHeight="false" outlineLevel="0" collapsed="false">
      <c r="A307" s="33" t="n">
        <v>6826</v>
      </c>
      <c r="B307" s="33" t="s">
        <v>173</v>
      </c>
      <c r="C307" s="33" t="s">
        <v>174</v>
      </c>
      <c r="D307" s="33"/>
      <c r="E307" s="33" t="n">
        <v>61</v>
      </c>
      <c r="F307" s="33" t="s">
        <v>38</v>
      </c>
      <c r="G307" s="33" t="s">
        <v>109</v>
      </c>
      <c r="H307" s="33" t="n">
        <v>27</v>
      </c>
      <c r="I307" s="33" t="n">
        <v>27</v>
      </c>
      <c r="J307" s="33" t="n">
        <v>27</v>
      </c>
      <c r="K307" s="32" t="n">
        <v>2700</v>
      </c>
      <c r="L307" s="33" t="str">
        <f aca="false">IF($B307="","",IFERROR(INDEX('Code Mapping'!$D$5:$D$1753,MATCH($B307,'Code Mapping'!$A$5:$A$1753,0)),"Unmapped"))</f>
        <v>Urban Point</v>
      </c>
      <c r="M307" s="33" t="str">
        <f aca="false">IF($B307="","",IFERROR(INDEX('Code Mapping'!$E$5:$E$1753,MATCH($B307,'Code Mapping'!$A$5:$A$1753,0)),"Unmapped"))</f>
        <v>Aggregator BOGO</v>
      </c>
      <c r="N307" s="33" t="str">
        <f aca="false">IF($F307="","",$F307)</f>
        <v>Crayons &amp; Bricks Vendome</v>
      </c>
    </row>
    <row r="308" customFormat="false" ht="15" hidden="false" customHeight="false" outlineLevel="0" collapsed="false">
      <c r="A308" s="33" t="n">
        <v>6803</v>
      </c>
      <c r="B308" s="33" t="s">
        <v>191</v>
      </c>
      <c r="C308" s="33" t="s">
        <v>192</v>
      </c>
      <c r="D308" s="33"/>
      <c r="E308" s="33" t="n">
        <v>91</v>
      </c>
      <c r="F308" s="33" t="s">
        <v>36</v>
      </c>
      <c r="G308" s="33" t="s">
        <v>109</v>
      </c>
      <c r="H308" s="33" t="n">
        <v>5</v>
      </c>
      <c r="I308" s="33" t="n">
        <v>9</v>
      </c>
      <c r="J308" s="33" t="n">
        <v>9</v>
      </c>
      <c r="K308" s="32" t="n">
        <v>168.75</v>
      </c>
      <c r="L308" s="33" t="str">
        <f aca="false">IF($B308="","",IFERROR(INDEX('Code Mapping'!$D$5:$D$1753,MATCH($B308,'Code Mapping'!$A$5:$A$1753,0)),"Unmapped"))</f>
        <v>Qatar Airways</v>
      </c>
      <c r="M308" s="33" t="str">
        <f aca="false">IF($B308="","",IFERROR(INDEX('Code Mapping'!$E$5:$E$1753,MATCH($B308,'Code Mapping'!$A$5:$A$1753,0)),"Unmapped"))</f>
        <v>Corporate discount</v>
      </c>
      <c r="N308" s="33" t="str">
        <f aca="false">IF($F308="","",$F308)</f>
        <v>InflataPark</v>
      </c>
    </row>
    <row r="309" customFormat="false" ht="15" hidden="false" customHeight="false" outlineLevel="0" collapsed="false">
      <c r="A309" s="33" t="n">
        <v>7953</v>
      </c>
      <c r="B309" s="33" t="s">
        <v>176</v>
      </c>
      <c r="C309" s="33" t="s">
        <v>177</v>
      </c>
      <c r="D309" s="33"/>
      <c r="E309" s="33" t="n">
        <v>94</v>
      </c>
      <c r="F309" s="33" t="s">
        <v>37</v>
      </c>
      <c r="G309" s="33" t="s">
        <v>109</v>
      </c>
      <c r="H309" s="33" t="n">
        <v>34</v>
      </c>
      <c r="I309" s="33" t="n">
        <v>34</v>
      </c>
      <c r="J309" s="33" t="n">
        <v>34</v>
      </c>
      <c r="K309" s="32" t="n">
        <v>7800</v>
      </c>
      <c r="L309" s="33" t="str">
        <f aca="false">IF($B309="","",IFERROR(INDEX('Code Mapping'!$D$5:$D$1753,MATCH($B309,'Code Mapping'!$A$5:$A$1753,0)),"Unmapped"))</f>
        <v>Urban Point</v>
      </c>
      <c r="M309" s="33" t="str">
        <f aca="false">IF($B309="","",IFERROR(INDEX('Code Mapping'!$E$5:$E$1753,MATCH($B309,'Code Mapping'!$A$5:$A$1753,0)),"Unmapped"))</f>
        <v>Aggregator BOGO</v>
      </c>
      <c r="N309" s="33" t="str">
        <f aca="false">IF($F309="","",$F309)</f>
        <v>Kids City Driving School</v>
      </c>
    </row>
    <row r="310" customFormat="false" ht="15" hidden="false" customHeight="false" outlineLevel="0" collapsed="false">
      <c r="A310" s="33" t="n">
        <v>6797</v>
      </c>
      <c r="B310" s="33" t="s">
        <v>143</v>
      </c>
      <c r="C310" s="33" t="s">
        <v>144</v>
      </c>
      <c r="D310" s="33"/>
      <c r="E310" s="33" t="n">
        <v>91</v>
      </c>
      <c r="F310" s="33" t="s">
        <v>36</v>
      </c>
      <c r="G310" s="33" t="s">
        <v>109</v>
      </c>
      <c r="H310" s="33" t="n">
        <v>73</v>
      </c>
      <c r="I310" s="33" t="n">
        <v>73</v>
      </c>
      <c r="J310" s="33" t="n">
        <v>73</v>
      </c>
      <c r="K310" s="32" t="n">
        <v>12970</v>
      </c>
      <c r="L310" s="33" t="str">
        <f aca="false">IF($B310="","",IFERROR(INDEX('Code Mapping'!$D$5:$D$1753,MATCH($B310,'Code Mapping'!$A$5:$A$1753,0)),"Unmapped"))</f>
        <v>Urban Point</v>
      </c>
      <c r="M310" s="33" t="str">
        <f aca="false">IF($B310="","",IFERROR(INDEX('Code Mapping'!$E$5:$E$1753,MATCH($B310,'Code Mapping'!$A$5:$A$1753,0)),"Unmapped"))</f>
        <v>Aggregator BOGO</v>
      </c>
      <c r="N310" s="33" t="str">
        <f aca="false">IF($F310="","",$F310)</f>
        <v>InflataPark</v>
      </c>
    </row>
    <row r="311" customFormat="false" ht="15" hidden="false" customHeight="false" outlineLevel="0" collapsed="false">
      <c r="A311" s="33" t="n">
        <v>7958</v>
      </c>
      <c r="B311" s="33" t="s">
        <v>405</v>
      </c>
      <c r="C311" s="33" t="s">
        <v>398</v>
      </c>
      <c r="D311" s="33"/>
      <c r="E311" s="33" t="n">
        <v>91</v>
      </c>
      <c r="F311" s="33" t="s">
        <v>36</v>
      </c>
      <c r="G311" s="33" t="s">
        <v>109</v>
      </c>
      <c r="H311" s="33" t="n">
        <v>1</v>
      </c>
      <c r="I311" s="33" t="n">
        <v>1</v>
      </c>
      <c r="J311" s="33" t="n">
        <v>1</v>
      </c>
      <c r="K311" s="32" t="n">
        <v>250</v>
      </c>
      <c r="L311" s="33" t="str">
        <f aca="false">IF($B311="","",IFERROR(INDEX('Code Mapping'!$D$5:$D$1753,MATCH($B311,'Code Mapping'!$A$5:$A$1753,0)),"Unmapped"))</f>
        <v>Unmapped</v>
      </c>
      <c r="M311" s="33" t="str">
        <f aca="false">IF($B311="","",IFERROR(INDEX('Code Mapping'!$E$5:$E$1753,MATCH($B311,'Code Mapping'!$A$5:$A$1753,0)),"Unmapped"))</f>
        <v>Unmapped</v>
      </c>
      <c r="N311" s="33" t="str">
        <f aca="false">IF($F311="","",$F311)</f>
        <v>InflataPark</v>
      </c>
    </row>
    <row r="312" customFormat="false" ht="15" hidden="false" customHeight="false" outlineLevel="0" collapsed="false">
      <c r="A312" s="33" t="n">
        <v>5538</v>
      </c>
      <c r="B312" s="33" t="s">
        <v>247</v>
      </c>
      <c r="C312" s="33" t="s">
        <v>248</v>
      </c>
      <c r="D312" s="33"/>
      <c r="E312" s="33" t="n">
        <v>91</v>
      </c>
      <c r="F312" s="33" t="s">
        <v>36</v>
      </c>
      <c r="G312" s="33" t="s">
        <v>109</v>
      </c>
      <c r="H312" s="33" t="n">
        <v>1</v>
      </c>
      <c r="I312" s="33" t="n">
        <v>2</v>
      </c>
      <c r="J312" s="33" t="n">
        <v>2</v>
      </c>
      <c r="K312" s="32" t="n">
        <v>22.5</v>
      </c>
      <c r="L312" s="33" t="str">
        <f aca="false">IF($B312="","",IFERROR(INDEX('Code Mapping'!$D$5:$D$1753,MATCH($B312,'Code Mapping'!$A$5:$A$1753,0)),"Unmapped"))</f>
        <v>Internal / promotion</v>
      </c>
      <c r="M312" s="33" t="str">
        <f aca="false">IF($B312="","",IFERROR(INDEX('Code Mapping'!$E$5:$E$1753,MATCH($B312,'Code Mapping'!$A$5:$A$1753,0)),"Unmapped"))</f>
        <v>Internal / promotion</v>
      </c>
      <c r="N312" s="33" t="str">
        <f aca="false">IF($F312="","",$F312)</f>
        <v>InflataPark</v>
      </c>
    </row>
    <row r="313" customFormat="false" ht="15" hidden="false" customHeight="false" outlineLevel="0" collapsed="false">
      <c r="A313" s="33" t="n">
        <v>7951</v>
      </c>
      <c r="B313" s="33" t="s">
        <v>202</v>
      </c>
      <c r="C313" s="33" t="s">
        <v>203</v>
      </c>
      <c r="D313" s="33"/>
      <c r="E313" s="33" t="n">
        <v>129</v>
      </c>
      <c r="F313" s="33" t="s">
        <v>2150</v>
      </c>
      <c r="G313" s="33" t="s">
        <v>109</v>
      </c>
      <c r="H313" s="33" t="n">
        <v>8</v>
      </c>
      <c r="I313" s="33" t="n">
        <v>8</v>
      </c>
      <c r="J313" s="33" t="n">
        <v>8</v>
      </c>
      <c r="K313" s="32" t="n">
        <v>23.5</v>
      </c>
      <c r="L313" s="33" t="str">
        <f aca="false">IF($B313="","",IFERROR(INDEX('Code Mapping'!$D$5:$D$1753,MATCH($B313,'Code Mapping'!$A$5:$A$1753,0)),"Unmapped"))</f>
        <v>Internal / promotion</v>
      </c>
      <c r="M313" s="33" t="str">
        <f aca="false">IF($B313="","",IFERROR(INDEX('Code Mapping'!$E$5:$E$1753,MATCH($B313,'Code Mapping'!$A$5:$A$1753,0)),"Unmapped"))</f>
        <v>Internal / promotion</v>
      </c>
      <c r="N313" s="33" t="str">
        <f aca="false">IF($F313="","",$F313)</f>
        <v>Aspire Zubara</v>
      </c>
    </row>
    <row r="314" customFormat="false" ht="15" hidden="false" customHeight="false" outlineLevel="0" collapsed="false">
      <c r="A314" s="33" t="n">
        <v>7960</v>
      </c>
      <c r="B314" s="33" t="s">
        <v>403</v>
      </c>
      <c r="C314" s="33" t="s">
        <v>398</v>
      </c>
      <c r="D314" s="33"/>
      <c r="E314" s="33" t="n">
        <v>91</v>
      </c>
      <c r="F314" s="33" t="s">
        <v>36</v>
      </c>
      <c r="G314" s="33" t="s">
        <v>109</v>
      </c>
      <c r="H314" s="33" t="n">
        <v>1</v>
      </c>
      <c r="I314" s="33" t="n">
        <v>1</v>
      </c>
      <c r="J314" s="33" t="n">
        <v>1</v>
      </c>
      <c r="K314" s="32" t="n">
        <v>250</v>
      </c>
      <c r="L314" s="33" t="str">
        <f aca="false">IF($B314="","",IFERROR(INDEX('Code Mapping'!$D$5:$D$1753,MATCH($B314,'Code Mapping'!$A$5:$A$1753,0)),"Unmapped"))</f>
        <v>Unmapped</v>
      </c>
      <c r="M314" s="33" t="str">
        <f aca="false">IF($B314="","",IFERROR(INDEX('Code Mapping'!$E$5:$E$1753,MATCH($B314,'Code Mapping'!$A$5:$A$1753,0)),"Unmapped"))</f>
        <v>Unmapped</v>
      </c>
      <c r="N314" s="33" t="str">
        <f aca="false">IF($F314="","",$F314)</f>
        <v>InflataPark</v>
      </c>
    </row>
    <row r="315" customFormat="false" ht="15" hidden="false" customHeight="false" outlineLevel="0" collapsed="false">
      <c r="A315" s="33" t="n">
        <v>5557</v>
      </c>
      <c r="B315" s="33" t="s">
        <v>181</v>
      </c>
      <c r="C315" s="33"/>
      <c r="D315" s="33"/>
      <c r="E315" s="33" t="n">
        <v>61</v>
      </c>
      <c r="F315" s="33" t="s">
        <v>38</v>
      </c>
      <c r="G315" s="33" t="s">
        <v>109</v>
      </c>
      <c r="H315" s="33" t="n">
        <v>11</v>
      </c>
      <c r="I315" s="33" t="n">
        <v>11</v>
      </c>
      <c r="J315" s="33" t="n">
        <v>11</v>
      </c>
      <c r="K315" s="32" t="n">
        <v>1100</v>
      </c>
      <c r="L315" s="33" t="str">
        <f aca="false">IF($B315="","",IFERROR(INDEX('Code Mapping'!$D$5:$D$1753,MATCH($B315,'Code Mapping'!$A$5:$A$1753,0)),"Unmapped"))</f>
        <v>Entertainer</v>
      </c>
      <c r="M315" s="33" t="str">
        <f aca="false">IF($B315="","",IFERROR(INDEX('Code Mapping'!$E$5:$E$1753,MATCH($B315,'Code Mapping'!$A$5:$A$1753,0)),"Unmapped"))</f>
        <v>Aggregator BOGO</v>
      </c>
      <c r="N315" s="33" t="str">
        <f aca="false">IF($F315="","",$F315)</f>
        <v>Crayons &amp; Bricks Vendome</v>
      </c>
    </row>
    <row r="316" customFormat="false" ht="15" hidden="false" customHeight="false" outlineLevel="0" collapsed="false">
      <c r="A316" s="33" t="n">
        <v>7961</v>
      </c>
      <c r="B316" s="33" t="s">
        <v>399</v>
      </c>
      <c r="C316" s="33" t="s">
        <v>398</v>
      </c>
      <c r="D316" s="33"/>
      <c r="E316" s="33" t="n">
        <v>91</v>
      </c>
      <c r="F316" s="33" t="s">
        <v>36</v>
      </c>
      <c r="G316" s="33" t="s">
        <v>109</v>
      </c>
      <c r="H316" s="33" t="n">
        <v>1</v>
      </c>
      <c r="I316" s="33" t="n">
        <v>1</v>
      </c>
      <c r="J316" s="33" t="n">
        <v>1</v>
      </c>
      <c r="K316" s="32" t="n">
        <v>250</v>
      </c>
      <c r="L316" s="33" t="str">
        <f aca="false">IF($B316="","",IFERROR(INDEX('Code Mapping'!$D$5:$D$1753,MATCH($B316,'Code Mapping'!$A$5:$A$1753,0)),"Unmapped"))</f>
        <v>Unmapped</v>
      </c>
      <c r="M316" s="33" t="str">
        <f aca="false">IF($B316="","",IFERROR(INDEX('Code Mapping'!$E$5:$E$1753,MATCH($B316,'Code Mapping'!$A$5:$A$1753,0)),"Unmapped"))</f>
        <v>Unmapped</v>
      </c>
      <c r="N316" s="33" t="str">
        <f aca="false">IF($F316="","",$F316)</f>
        <v>InflataPark</v>
      </c>
    </row>
    <row r="317" customFormat="false" ht="15" hidden="false" customHeight="false" outlineLevel="0" collapsed="false">
      <c r="A317" s="33" t="n">
        <v>7952</v>
      </c>
      <c r="B317" s="33" t="s">
        <v>184</v>
      </c>
      <c r="C317" s="33" t="s">
        <v>185</v>
      </c>
      <c r="D317" s="33"/>
      <c r="E317" s="33" t="n">
        <v>94</v>
      </c>
      <c r="F317" s="33" t="s">
        <v>37</v>
      </c>
      <c r="G317" s="33" t="s">
        <v>109</v>
      </c>
      <c r="H317" s="33" t="n">
        <v>20</v>
      </c>
      <c r="I317" s="33" t="n">
        <v>20</v>
      </c>
      <c r="J317" s="33" t="n">
        <v>20</v>
      </c>
      <c r="K317" s="32" t="n">
        <v>4575</v>
      </c>
      <c r="L317" s="33" t="str">
        <f aca="false">IF($B317="","",IFERROR(INDEX('Code Mapping'!$D$5:$D$1753,MATCH($B317,'Code Mapping'!$A$5:$A$1753,0)),"Unmapped"))</f>
        <v>My Book</v>
      </c>
      <c r="M317" s="33" t="str">
        <f aca="false">IF($B317="","",IFERROR(INDEX('Code Mapping'!$E$5:$E$1753,MATCH($B317,'Code Mapping'!$A$5:$A$1753,0)),"Unmapped"))</f>
        <v>Aggregator BOGO</v>
      </c>
      <c r="N317" s="33" t="str">
        <f aca="false">IF($F317="","",$F317)</f>
        <v>Kids City Driving School</v>
      </c>
    </row>
    <row r="318" customFormat="false" ht="15" hidden="false" customHeight="false" outlineLevel="0" collapsed="false">
      <c r="A318" s="33" t="n">
        <v>5484</v>
      </c>
      <c r="B318" s="33" t="s">
        <v>205</v>
      </c>
      <c r="C318" s="33" t="s">
        <v>206</v>
      </c>
      <c r="D318" s="33"/>
      <c r="E318" s="33" t="n">
        <v>91</v>
      </c>
      <c r="F318" s="33" t="s">
        <v>36</v>
      </c>
      <c r="G318" s="33" t="s">
        <v>109</v>
      </c>
      <c r="H318" s="33" t="n">
        <v>5</v>
      </c>
      <c r="I318" s="33" t="n">
        <v>10</v>
      </c>
      <c r="J318" s="33" t="n">
        <v>10</v>
      </c>
      <c r="K318" s="32" t="n">
        <v>126</v>
      </c>
      <c r="L318" s="33" t="str">
        <f aca="false">IF($B318="","",IFERROR(INDEX('Code Mapping'!$D$5:$D$1753,MATCH($B318,'Code Mapping'!$A$5:$A$1753,0)),"Unmapped"))</f>
        <v>Internal / promotion</v>
      </c>
      <c r="M318" s="33" t="str">
        <f aca="false">IF($B318="","",IFERROR(INDEX('Code Mapping'!$E$5:$E$1753,MATCH($B318,'Code Mapping'!$A$5:$A$1753,0)),"Unmapped"))</f>
        <v>Internal / promotion</v>
      </c>
      <c r="N318" s="33" t="str">
        <f aca="false">IF($F318="","",$F318)</f>
        <v>InflataPark</v>
      </c>
    </row>
    <row r="319" customFormat="false" ht="15" hidden="false" customHeight="false" outlineLevel="0" collapsed="false">
      <c r="A319" s="33" t="n">
        <v>6799</v>
      </c>
      <c r="B319" s="33" t="s">
        <v>256</v>
      </c>
      <c r="C319" s="33" t="s">
        <v>257</v>
      </c>
      <c r="D319" s="33"/>
      <c r="E319" s="33" t="n">
        <v>91</v>
      </c>
      <c r="F319" s="33" t="s">
        <v>36</v>
      </c>
      <c r="G319" s="33" t="s">
        <v>109</v>
      </c>
      <c r="H319" s="33" t="n">
        <v>4</v>
      </c>
      <c r="I319" s="33" t="n">
        <v>10</v>
      </c>
      <c r="J319" s="33" t="n">
        <v>10</v>
      </c>
      <c r="K319" s="32" t="n">
        <v>178.5</v>
      </c>
      <c r="L319" s="33" t="str">
        <f aca="false">IF($B319="","",IFERROR(INDEX('Code Mapping'!$D$5:$D$1753,MATCH($B319,'Code Mapping'!$A$5:$A$1753,0)),"Unmapped"))</f>
        <v>Al Jazeera Imtiyazat</v>
      </c>
      <c r="M319" s="33" t="str">
        <f aca="false">IF($B319="","",IFERROR(INDEX('Code Mapping'!$E$5:$E$1753,MATCH($B319,'Code Mapping'!$A$5:$A$1753,0)),"Unmapped"))</f>
        <v>Corporate discount</v>
      </c>
      <c r="N319" s="33" t="str">
        <f aca="false">IF($F319="","",$F319)</f>
        <v>InflataPark</v>
      </c>
    </row>
    <row r="320" customFormat="false" ht="15" hidden="false" customHeight="false" outlineLevel="0" collapsed="false">
      <c r="A320" s="33" t="n">
        <v>7954</v>
      </c>
      <c r="B320" s="33" t="s">
        <v>237</v>
      </c>
      <c r="C320" s="33" t="s">
        <v>198</v>
      </c>
      <c r="D320" s="33"/>
      <c r="E320" s="33" t="n">
        <v>94</v>
      </c>
      <c r="F320" s="33" t="s">
        <v>37</v>
      </c>
      <c r="G320" s="33" t="s">
        <v>109</v>
      </c>
      <c r="H320" s="33" t="n">
        <v>4</v>
      </c>
      <c r="I320" s="33" t="n">
        <v>4</v>
      </c>
      <c r="J320" s="33" t="n">
        <v>4</v>
      </c>
      <c r="K320" s="32" t="n">
        <v>925</v>
      </c>
      <c r="L320" s="33" t="str">
        <f aca="false">IF($B320="","",IFERROR(INDEX('Code Mapping'!$D$5:$D$1753,MATCH($B320,'Code Mapping'!$A$5:$A$1753,0)),"Unmapped"))</f>
        <v>Entertainer</v>
      </c>
      <c r="M320" s="33" t="str">
        <f aca="false">IF($B320="","",IFERROR(INDEX('Code Mapping'!$E$5:$E$1753,MATCH($B320,'Code Mapping'!$A$5:$A$1753,0)),"Unmapped"))</f>
        <v>Aggregator BOGO</v>
      </c>
      <c r="N320" s="33" t="str">
        <f aca="false">IF($F320="","",$F320)</f>
        <v>Kids City Driving School</v>
      </c>
    </row>
    <row r="321" customFormat="false" ht="15" hidden="false" customHeight="false" outlineLevel="0" collapsed="false">
      <c r="A321" s="33" t="n">
        <v>6805</v>
      </c>
      <c r="B321" s="33" t="s">
        <v>229</v>
      </c>
      <c r="C321" s="33" t="s">
        <v>230</v>
      </c>
      <c r="D321" s="33"/>
      <c r="E321" s="33" t="n">
        <v>91</v>
      </c>
      <c r="F321" s="33" t="s">
        <v>36</v>
      </c>
      <c r="G321" s="33" t="s">
        <v>109</v>
      </c>
      <c r="H321" s="33" t="n">
        <v>1</v>
      </c>
      <c r="I321" s="33" t="n">
        <v>2</v>
      </c>
      <c r="J321" s="33" t="n">
        <v>2</v>
      </c>
      <c r="K321" s="32" t="n">
        <v>48.75</v>
      </c>
      <c r="L321" s="33" t="str">
        <f aca="false">IF($B321="","",IFERROR(INDEX('Code Mapping'!$D$5:$D$1753,MATCH($B321,'Code Mapping'!$A$5:$A$1753,0)),"Unmapped"))</f>
        <v>HMC (not on master)</v>
      </c>
      <c r="M321" s="33" t="str">
        <f aca="false">IF($B321="","",IFERROR(INDEX('Code Mapping'!$E$5:$E$1753,MATCH($B321,'Code Mapping'!$A$5:$A$1753,0)),"Unmapped"))</f>
        <v>Not on master</v>
      </c>
      <c r="N321" s="33" t="str">
        <f aca="false">IF($F321="","",$F321)</f>
        <v>InflataPark</v>
      </c>
    </row>
    <row r="322" customFormat="false" ht="15" hidden="false" customHeight="false" outlineLevel="0" collapsed="false">
      <c r="A322" s="33" t="n">
        <v>7959</v>
      </c>
      <c r="B322" s="33" t="s">
        <v>397</v>
      </c>
      <c r="C322" s="33" t="s">
        <v>398</v>
      </c>
      <c r="D322" s="33"/>
      <c r="E322" s="33" t="n">
        <v>91</v>
      </c>
      <c r="F322" s="33" t="s">
        <v>36</v>
      </c>
      <c r="G322" s="33" t="s">
        <v>109</v>
      </c>
      <c r="H322" s="33" t="n">
        <v>1</v>
      </c>
      <c r="I322" s="33" t="n">
        <v>1</v>
      </c>
      <c r="J322" s="33" t="n">
        <v>1</v>
      </c>
      <c r="K322" s="32" t="n">
        <v>250</v>
      </c>
      <c r="L322" s="33" t="str">
        <f aca="false">IF($B322="","",IFERROR(INDEX('Code Mapping'!$D$5:$D$1753,MATCH($B322,'Code Mapping'!$A$5:$A$1753,0)),"Unmapped"))</f>
        <v>Unmapped</v>
      </c>
      <c r="M322" s="33" t="str">
        <f aca="false">IF($B322="","",IFERROR(INDEX('Code Mapping'!$E$5:$E$1753,MATCH($B322,'Code Mapping'!$A$5:$A$1753,0)),"Unmapped"))</f>
        <v>Unmapped</v>
      </c>
      <c r="N322" s="33" t="str">
        <f aca="false">IF($F322="","",$F322)</f>
        <v>InflataPark</v>
      </c>
    </row>
    <row r="323" customFormat="false" ht="15" hidden="false" customHeight="false" outlineLevel="0" collapsed="false">
      <c r="A323" s="33" t="n">
        <v>6796</v>
      </c>
      <c r="B323" s="33" t="s">
        <v>162</v>
      </c>
      <c r="C323" s="33" t="s">
        <v>163</v>
      </c>
      <c r="D323" s="33"/>
      <c r="E323" s="33" t="n">
        <v>91</v>
      </c>
      <c r="F323" s="33" t="s">
        <v>36</v>
      </c>
      <c r="G323" s="33" t="s">
        <v>109</v>
      </c>
      <c r="H323" s="33" t="n">
        <v>27</v>
      </c>
      <c r="I323" s="33" t="n">
        <v>27</v>
      </c>
      <c r="J323" s="33" t="n">
        <v>27</v>
      </c>
      <c r="K323" s="32" t="n">
        <v>4470</v>
      </c>
      <c r="L323" s="33" t="str">
        <f aca="false">IF($B323="","",IFERROR(INDEX('Code Mapping'!$D$5:$D$1753,MATCH($B323,'Code Mapping'!$A$5:$A$1753,0)),"Unmapped"))</f>
        <v>Entertainer</v>
      </c>
      <c r="M323" s="33" t="str">
        <f aca="false">IF($B323="","",IFERROR(INDEX('Code Mapping'!$E$5:$E$1753,MATCH($B323,'Code Mapping'!$A$5:$A$1753,0)),"Unmapped"))</f>
        <v>Aggregator BOGO</v>
      </c>
      <c r="N323" s="33" t="str">
        <f aca="false">IF($F323="","",$F323)</f>
        <v>InflataPark</v>
      </c>
    </row>
    <row r="324" customFormat="false" ht="15" hidden="false" customHeight="false" outlineLevel="0" collapsed="false">
      <c r="A324" s="33" t="n">
        <v>7570</v>
      </c>
      <c r="B324" s="33" t="s">
        <v>378</v>
      </c>
      <c r="C324" s="33" t="s">
        <v>309</v>
      </c>
      <c r="D324" s="33"/>
      <c r="E324" s="33" t="n">
        <v>124</v>
      </c>
      <c r="F324" s="33" t="s">
        <v>2151</v>
      </c>
      <c r="G324" s="33" t="s">
        <v>108</v>
      </c>
      <c r="H324" s="33" t="n">
        <v>1</v>
      </c>
      <c r="I324" s="33" t="n">
        <v>1</v>
      </c>
      <c r="J324" s="33" t="n">
        <v>1</v>
      </c>
      <c r="K324" s="32" t="n">
        <v>300</v>
      </c>
      <c r="L324" s="33" t="str">
        <f aca="false">IF($B324="","",IFERROR(INDEX('Code Mapping'!$D$5:$D$1753,MATCH($B324,'Code Mapping'!$A$5:$A$1753,0)),"Unmapped"))</f>
        <v>Internal / promotion</v>
      </c>
      <c r="M324" s="33" t="str">
        <f aca="false">IF($B324="","",IFERROR(INDEX('Code Mapping'!$E$5:$E$1753,MATCH($B324,'Code Mapping'!$A$5:$A$1753,0)),"Unmapped"))</f>
        <v>Internal / promotion</v>
      </c>
      <c r="N324" s="33" t="str">
        <f aca="false">IF($F324="","",$F324)</f>
        <v>INFLATARUN FOOTBALL MADNESS 2025</v>
      </c>
    </row>
    <row r="325" customFormat="false" ht="15" hidden="false" customHeight="false" outlineLevel="0" collapsed="false">
      <c r="A325" s="33" t="n">
        <v>6867</v>
      </c>
      <c r="B325" s="33" t="s">
        <v>373</v>
      </c>
      <c r="C325" s="33" t="s">
        <v>309</v>
      </c>
      <c r="D325" s="33"/>
      <c r="E325" s="33" t="n">
        <v>124</v>
      </c>
      <c r="F325" s="33" t="s">
        <v>2151</v>
      </c>
      <c r="G325" s="33" t="s">
        <v>108</v>
      </c>
      <c r="H325" s="33" t="n">
        <v>1</v>
      </c>
      <c r="I325" s="33" t="n">
        <v>1</v>
      </c>
      <c r="J325" s="33" t="n">
        <v>1</v>
      </c>
      <c r="K325" s="32" t="n">
        <v>75</v>
      </c>
      <c r="L325" s="33" t="str">
        <f aca="false">IF($B325="","",IFERROR(INDEX('Code Mapping'!$D$5:$D$1753,MATCH($B325,'Code Mapping'!$A$5:$A$1753,0)),"Unmapped"))</f>
        <v>Internal / promotion</v>
      </c>
      <c r="M325" s="33" t="str">
        <f aca="false">IF($B325="","",IFERROR(INDEX('Code Mapping'!$E$5:$E$1753,MATCH($B325,'Code Mapping'!$A$5:$A$1753,0)),"Unmapped"))</f>
        <v>Internal / promotion</v>
      </c>
      <c r="N325" s="33" t="str">
        <f aca="false">IF($F325="","",$F325)</f>
        <v>INFLATARUN FOOTBALL MADNESS 2025</v>
      </c>
    </row>
    <row r="326" customFormat="false" ht="15" hidden="false" customHeight="false" outlineLevel="0" collapsed="false">
      <c r="A326" s="33" t="n">
        <v>6871</v>
      </c>
      <c r="B326" s="33" t="s">
        <v>374</v>
      </c>
      <c r="C326" s="33" t="s">
        <v>309</v>
      </c>
      <c r="D326" s="33"/>
      <c r="E326" s="33" t="n">
        <v>124</v>
      </c>
      <c r="F326" s="33" t="s">
        <v>2151</v>
      </c>
      <c r="G326" s="33" t="s">
        <v>108</v>
      </c>
      <c r="H326" s="33" t="n">
        <v>1</v>
      </c>
      <c r="I326" s="33" t="n">
        <v>1</v>
      </c>
      <c r="J326" s="33" t="n">
        <v>1</v>
      </c>
      <c r="K326" s="32" t="n">
        <v>75</v>
      </c>
      <c r="L326" s="33" t="str">
        <f aca="false">IF($B326="","",IFERROR(INDEX('Code Mapping'!$D$5:$D$1753,MATCH($B326,'Code Mapping'!$A$5:$A$1753,0)),"Unmapped"))</f>
        <v>Internal / promotion</v>
      </c>
      <c r="M326" s="33" t="str">
        <f aca="false">IF($B326="","",IFERROR(INDEX('Code Mapping'!$E$5:$E$1753,MATCH($B326,'Code Mapping'!$A$5:$A$1753,0)),"Unmapped"))</f>
        <v>Internal / promotion</v>
      </c>
      <c r="N326" s="33" t="str">
        <f aca="false">IF($F326="","",$F326)</f>
        <v>INFLATARUN FOOTBALL MADNESS 2025</v>
      </c>
    </row>
    <row r="327" customFormat="false" ht="15" hidden="false" customHeight="false" outlineLevel="0" collapsed="false">
      <c r="A327" s="33" t="n">
        <v>6844</v>
      </c>
      <c r="B327" s="33" t="s">
        <v>375</v>
      </c>
      <c r="C327" s="33" t="s">
        <v>309</v>
      </c>
      <c r="D327" s="33"/>
      <c r="E327" s="33" t="n">
        <v>124</v>
      </c>
      <c r="F327" s="33" t="s">
        <v>2151</v>
      </c>
      <c r="G327" s="33" t="s">
        <v>108</v>
      </c>
      <c r="H327" s="33" t="n">
        <v>1</v>
      </c>
      <c r="I327" s="33" t="n">
        <v>1</v>
      </c>
      <c r="J327" s="33" t="n">
        <v>1</v>
      </c>
      <c r="K327" s="32" t="n">
        <v>75</v>
      </c>
      <c r="L327" s="33" t="str">
        <f aca="false">IF($B327="","",IFERROR(INDEX('Code Mapping'!$D$5:$D$1753,MATCH($B327,'Code Mapping'!$A$5:$A$1753,0)),"Unmapped"))</f>
        <v>Internal / promotion</v>
      </c>
      <c r="M327" s="33" t="str">
        <f aca="false">IF($B327="","",IFERROR(INDEX('Code Mapping'!$E$5:$E$1753,MATCH($B327,'Code Mapping'!$A$5:$A$1753,0)),"Unmapped"))</f>
        <v>Internal / promotion</v>
      </c>
      <c r="N327" s="33" t="str">
        <f aca="false">IF($F327="","",$F327)</f>
        <v>INFLATARUN FOOTBALL MADNESS 2025</v>
      </c>
    </row>
    <row r="328" customFormat="false" ht="15" hidden="false" customHeight="false" outlineLevel="0" collapsed="false">
      <c r="A328" s="33" t="n">
        <v>7825</v>
      </c>
      <c r="B328" s="33" t="s">
        <v>376</v>
      </c>
      <c r="C328" s="33" t="s">
        <v>309</v>
      </c>
      <c r="D328" s="33"/>
      <c r="E328" s="33" t="n">
        <v>124</v>
      </c>
      <c r="F328" s="33" t="s">
        <v>2151</v>
      </c>
      <c r="G328" s="33" t="s">
        <v>108</v>
      </c>
      <c r="H328" s="33" t="n">
        <v>1</v>
      </c>
      <c r="I328" s="33" t="n">
        <v>1</v>
      </c>
      <c r="J328" s="33" t="n">
        <v>1</v>
      </c>
      <c r="K328" s="32" t="n">
        <v>1000</v>
      </c>
      <c r="L328" s="33" t="str">
        <f aca="false">IF($B328="","",IFERROR(INDEX('Code Mapping'!$D$5:$D$1753,MATCH($B328,'Code Mapping'!$A$5:$A$1753,0)),"Unmapped"))</f>
        <v>Internal / promotion</v>
      </c>
      <c r="M328" s="33" t="str">
        <f aca="false">IF($B328="","",IFERROR(INDEX('Code Mapping'!$E$5:$E$1753,MATCH($B328,'Code Mapping'!$A$5:$A$1753,0)),"Unmapped"))</f>
        <v>Internal / promotion</v>
      </c>
      <c r="N328" s="33" t="str">
        <f aca="false">IF($F328="","",$F328)</f>
        <v>INFLATARUN FOOTBALL MADNESS 2025</v>
      </c>
    </row>
    <row r="329" customFormat="false" ht="15" hidden="false" customHeight="false" outlineLevel="0" collapsed="false">
      <c r="A329" s="33" t="n">
        <v>6884</v>
      </c>
      <c r="B329" s="33" t="s">
        <v>380</v>
      </c>
      <c r="C329" s="33" t="s">
        <v>309</v>
      </c>
      <c r="D329" s="33"/>
      <c r="E329" s="33" t="n">
        <v>124</v>
      </c>
      <c r="F329" s="33" t="s">
        <v>2151</v>
      </c>
      <c r="G329" s="33" t="s">
        <v>108</v>
      </c>
      <c r="H329" s="33" t="n">
        <v>1</v>
      </c>
      <c r="I329" s="33" t="n">
        <v>1</v>
      </c>
      <c r="J329" s="33" t="n">
        <v>1</v>
      </c>
      <c r="K329" s="32" t="n">
        <v>75</v>
      </c>
      <c r="L329" s="33" t="str">
        <f aca="false">IF($B329="","",IFERROR(INDEX('Code Mapping'!$D$5:$D$1753,MATCH($B329,'Code Mapping'!$A$5:$A$1753,0)),"Unmapped"))</f>
        <v>Internal / promotion</v>
      </c>
      <c r="M329" s="33" t="str">
        <f aca="false">IF($B329="","",IFERROR(INDEX('Code Mapping'!$E$5:$E$1753,MATCH($B329,'Code Mapping'!$A$5:$A$1753,0)),"Unmapped"))</f>
        <v>Internal / promotion</v>
      </c>
      <c r="N329" s="33" t="str">
        <f aca="false">IF($F329="","",$F329)</f>
        <v>INFLATARUN FOOTBALL MADNESS 2025</v>
      </c>
    </row>
    <row r="330" customFormat="false" ht="15" hidden="false" customHeight="false" outlineLevel="0" collapsed="false">
      <c r="A330" s="33" t="n">
        <v>6913</v>
      </c>
      <c r="B330" s="33" t="s">
        <v>379</v>
      </c>
      <c r="C330" s="33" t="s">
        <v>309</v>
      </c>
      <c r="D330" s="33"/>
      <c r="E330" s="33" t="n">
        <v>124</v>
      </c>
      <c r="F330" s="33" t="s">
        <v>2151</v>
      </c>
      <c r="G330" s="33" t="s">
        <v>108</v>
      </c>
      <c r="H330" s="33" t="n">
        <v>1</v>
      </c>
      <c r="I330" s="33" t="n">
        <v>1</v>
      </c>
      <c r="J330" s="33" t="n">
        <v>1</v>
      </c>
      <c r="K330" s="32" t="n">
        <v>75</v>
      </c>
      <c r="L330" s="33" t="str">
        <f aca="false">IF($B330="","",IFERROR(INDEX('Code Mapping'!$D$5:$D$1753,MATCH($B330,'Code Mapping'!$A$5:$A$1753,0)),"Unmapped"))</f>
        <v>Internal / promotion</v>
      </c>
      <c r="M330" s="33" t="str">
        <f aca="false">IF($B330="","",IFERROR(INDEX('Code Mapping'!$E$5:$E$1753,MATCH($B330,'Code Mapping'!$A$5:$A$1753,0)),"Unmapped"))</f>
        <v>Internal / promotion</v>
      </c>
      <c r="N330" s="33" t="str">
        <f aca="false">IF($F330="","",$F330)</f>
        <v>INFLATARUN FOOTBALL MADNESS 2025</v>
      </c>
    </row>
    <row r="331" customFormat="false" ht="15" hidden="false" customHeight="false" outlineLevel="0" collapsed="false">
      <c r="A331" s="33" t="n">
        <v>7559</v>
      </c>
      <c r="B331" s="33" t="s">
        <v>381</v>
      </c>
      <c r="C331" s="33" t="s">
        <v>309</v>
      </c>
      <c r="D331" s="33"/>
      <c r="E331" s="33" t="n">
        <v>124</v>
      </c>
      <c r="F331" s="33" t="s">
        <v>2151</v>
      </c>
      <c r="G331" s="33" t="s">
        <v>108</v>
      </c>
      <c r="H331" s="33" t="n">
        <v>1</v>
      </c>
      <c r="I331" s="33" t="n">
        <v>1</v>
      </c>
      <c r="J331" s="33" t="n">
        <v>1</v>
      </c>
      <c r="K331" s="32" t="n">
        <v>300</v>
      </c>
      <c r="L331" s="33" t="str">
        <f aca="false">IF($B331="","",IFERROR(INDEX('Code Mapping'!$D$5:$D$1753,MATCH($B331,'Code Mapping'!$A$5:$A$1753,0)),"Unmapped"))</f>
        <v>Internal / promotion</v>
      </c>
      <c r="M331" s="33" t="str">
        <f aca="false">IF($B331="","",IFERROR(INDEX('Code Mapping'!$E$5:$E$1753,MATCH($B331,'Code Mapping'!$A$5:$A$1753,0)),"Unmapped"))</f>
        <v>Internal / promotion</v>
      </c>
      <c r="N331" s="33" t="str">
        <f aca="false">IF($F331="","",$F331)</f>
        <v>INFLATARUN FOOTBALL MADNESS 2025</v>
      </c>
    </row>
    <row r="332" customFormat="false" ht="15" hidden="false" customHeight="false" outlineLevel="0" collapsed="false">
      <c r="A332" s="33" t="n">
        <v>7850</v>
      </c>
      <c r="B332" s="33" t="s">
        <v>382</v>
      </c>
      <c r="C332" s="33" t="s">
        <v>309</v>
      </c>
      <c r="D332" s="33"/>
      <c r="E332" s="33" t="n">
        <v>124</v>
      </c>
      <c r="F332" s="33" t="s">
        <v>2151</v>
      </c>
      <c r="G332" s="33" t="s">
        <v>108</v>
      </c>
      <c r="H332" s="33" t="n">
        <v>1</v>
      </c>
      <c r="I332" s="33" t="n">
        <v>1</v>
      </c>
      <c r="J332" s="33" t="n">
        <v>1</v>
      </c>
      <c r="K332" s="32" t="n">
        <v>1000</v>
      </c>
      <c r="L332" s="33" t="str">
        <f aca="false">IF($B332="","",IFERROR(INDEX('Code Mapping'!$D$5:$D$1753,MATCH($B332,'Code Mapping'!$A$5:$A$1753,0)),"Unmapped"))</f>
        <v>Internal / promotion</v>
      </c>
      <c r="M332" s="33" t="str">
        <f aca="false">IF($B332="","",IFERROR(INDEX('Code Mapping'!$E$5:$E$1753,MATCH($B332,'Code Mapping'!$A$5:$A$1753,0)),"Unmapped"))</f>
        <v>Internal / promotion</v>
      </c>
      <c r="N332" s="33" t="str">
        <f aca="false">IF($F332="","",$F332)</f>
        <v>INFLATARUN FOOTBALL MADNESS 2025</v>
      </c>
    </row>
    <row r="333" customFormat="false" ht="15" hidden="false" customHeight="false" outlineLevel="0" collapsed="false">
      <c r="A333" s="33" t="n">
        <v>7869</v>
      </c>
      <c r="B333" s="33" t="s">
        <v>372</v>
      </c>
      <c r="C333" s="33" t="s">
        <v>309</v>
      </c>
      <c r="D333" s="33"/>
      <c r="E333" s="33" t="n">
        <v>124</v>
      </c>
      <c r="F333" s="33" t="s">
        <v>2151</v>
      </c>
      <c r="G333" s="33" t="s">
        <v>108</v>
      </c>
      <c r="H333" s="33" t="n">
        <v>1</v>
      </c>
      <c r="I333" s="33" t="n">
        <v>1</v>
      </c>
      <c r="J333" s="33" t="n">
        <v>1</v>
      </c>
      <c r="K333" s="32" t="n">
        <v>1000</v>
      </c>
      <c r="L333" s="33" t="str">
        <f aca="false">IF($B333="","",IFERROR(INDEX('Code Mapping'!$D$5:$D$1753,MATCH($B333,'Code Mapping'!$A$5:$A$1753,0)),"Unmapped"))</f>
        <v>Internal / promotion</v>
      </c>
      <c r="M333" s="33" t="str">
        <f aca="false">IF($B333="","",IFERROR(INDEX('Code Mapping'!$E$5:$E$1753,MATCH($B333,'Code Mapping'!$A$5:$A$1753,0)),"Unmapped"))</f>
        <v>Internal / promotion</v>
      </c>
      <c r="N333" s="33" t="str">
        <f aca="false">IF($F333="","",$F333)</f>
        <v>INFLATARUN FOOTBALL MADNESS 2025</v>
      </c>
    </row>
    <row r="334" customFormat="false" ht="15" hidden="false" customHeight="false" outlineLevel="0" collapsed="false">
      <c r="A334" s="33" t="n">
        <v>6889</v>
      </c>
      <c r="B334" s="33" t="s">
        <v>384</v>
      </c>
      <c r="C334" s="33" t="s">
        <v>309</v>
      </c>
      <c r="D334" s="33"/>
      <c r="E334" s="33" t="n">
        <v>124</v>
      </c>
      <c r="F334" s="33" t="s">
        <v>2151</v>
      </c>
      <c r="G334" s="33" t="s">
        <v>108</v>
      </c>
      <c r="H334" s="33" t="n">
        <v>1</v>
      </c>
      <c r="I334" s="33" t="n">
        <v>1</v>
      </c>
      <c r="J334" s="33" t="n">
        <v>1</v>
      </c>
      <c r="K334" s="32" t="n">
        <v>75</v>
      </c>
      <c r="L334" s="33" t="str">
        <f aca="false">IF($B334="","",IFERROR(INDEX('Code Mapping'!$D$5:$D$1753,MATCH($B334,'Code Mapping'!$A$5:$A$1753,0)),"Unmapped"))</f>
        <v>Internal / promotion</v>
      </c>
      <c r="M334" s="33" t="str">
        <f aca="false">IF($B334="","",IFERROR(INDEX('Code Mapping'!$E$5:$E$1753,MATCH($B334,'Code Mapping'!$A$5:$A$1753,0)),"Unmapped"))</f>
        <v>Internal / promotion</v>
      </c>
      <c r="N334" s="33" t="str">
        <f aca="false">IF($F334="","",$F334)</f>
        <v>INFLATARUN FOOTBALL MADNESS 2025</v>
      </c>
    </row>
    <row r="335" customFormat="false" ht="15" hidden="false" customHeight="false" outlineLevel="0" collapsed="false">
      <c r="A335" s="33" t="n">
        <v>6886</v>
      </c>
      <c r="B335" s="33" t="s">
        <v>386</v>
      </c>
      <c r="C335" s="33" t="s">
        <v>309</v>
      </c>
      <c r="D335" s="33"/>
      <c r="E335" s="33" t="n">
        <v>124</v>
      </c>
      <c r="F335" s="33" t="s">
        <v>2151</v>
      </c>
      <c r="G335" s="33" t="s">
        <v>108</v>
      </c>
      <c r="H335" s="33" t="n">
        <v>1</v>
      </c>
      <c r="I335" s="33" t="n">
        <v>1</v>
      </c>
      <c r="J335" s="33" t="n">
        <v>1</v>
      </c>
      <c r="K335" s="32" t="n">
        <v>75</v>
      </c>
      <c r="L335" s="33" t="str">
        <f aca="false">IF($B335="","",IFERROR(INDEX('Code Mapping'!$D$5:$D$1753,MATCH($B335,'Code Mapping'!$A$5:$A$1753,0)),"Unmapped"))</f>
        <v>Internal / promotion</v>
      </c>
      <c r="M335" s="33" t="str">
        <f aca="false">IF($B335="","",IFERROR(INDEX('Code Mapping'!$E$5:$E$1753,MATCH($B335,'Code Mapping'!$A$5:$A$1753,0)),"Unmapped"))</f>
        <v>Internal / promotion</v>
      </c>
      <c r="N335" s="33" t="str">
        <f aca="false">IF($F335="","",$F335)</f>
        <v>INFLATARUN FOOTBALL MADNESS 2025</v>
      </c>
    </row>
    <row r="336" customFormat="false" ht="15" hidden="false" customHeight="false" outlineLevel="0" collapsed="false">
      <c r="A336" s="33" t="n">
        <v>7791</v>
      </c>
      <c r="B336" s="33" t="s">
        <v>383</v>
      </c>
      <c r="C336" s="33" t="s">
        <v>309</v>
      </c>
      <c r="D336" s="33"/>
      <c r="E336" s="33" t="n">
        <v>124</v>
      </c>
      <c r="F336" s="33" t="s">
        <v>2151</v>
      </c>
      <c r="G336" s="33" t="s">
        <v>108</v>
      </c>
      <c r="H336" s="33" t="n">
        <v>1</v>
      </c>
      <c r="I336" s="33" t="n">
        <v>1</v>
      </c>
      <c r="J336" s="33" t="n">
        <v>1</v>
      </c>
      <c r="K336" s="32" t="n">
        <v>1000</v>
      </c>
      <c r="L336" s="33" t="str">
        <f aca="false">IF($B336="","",IFERROR(INDEX('Code Mapping'!$D$5:$D$1753,MATCH($B336,'Code Mapping'!$A$5:$A$1753,0)),"Unmapped"))</f>
        <v>Internal / promotion</v>
      </c>
      <c r="M336" s="33" t="str">
        <f aca="false">IF($B336="","",IFERROR(INDEX('Code Mapping'!$E$5:$E$1753,MATCH($B336,'Code Mapping'!$A$5:$A$1753,0)),"Unmapped"))</f>
        <v>Internal / promotion</v>
      </c>
      <c r="N336" s="33" t="str">
        <f aca="false">IF($F336="","",$F336)</f>
        <v>INFLATARUN FOOTBALL MADNESS 2025</v>
      </c>
    </row>
    <row r="337" customFormat="false" ht="15" hidden="false" customHeight="false" outlineLevel="0" collapsed="false">
      <c r="A337" s="33" t="n">
        <v>6848</v>
      </c>
      <c r="B337" s="33" t="s">
        <v>368</v>
      </c>
      <c r="C337" s="33" t="s">
        <v>309</v>
      </c>
      <c r="D337" s="33"/>
      <c r="E337" s="33" t="n">
        <v>124</v>
      </c>
      <c r="F337" s="33" t="s">
        <v>2151</v>
      </c>
      <c r="G337" s="33" t="s">
        <v>108</v>
      </c>
      <c r="H337" s="33" t="n">
        <v>1</v>
      </c>
      <c r="I337" s="33" t="n">
        <v>1</v>
      </c>
      <c r="J337" s="33" t="n">
        <v>1</v>
      </c>
      <c r="K337" s="32" t="n">
        <v>75</v>
      </c>
      <c r="L337" s="33" t="str">
        <f aca="false">IF($B337="","",IFERROR(INDEX('Code Mapping'!$D$5:$D$1753,MATCH($B337,'Code Mapping'!$A$5:$A$1753,0)),"Unmapped"))</f>
        <v>Internal / promotion</v>
      </c>
      <c r="M337" s="33" t="str">
        <f aca="false">IF($B337="","",IFERROR(INDEX('Code Mapping'!$E$5:$E$1753,MATCH($B337,'Code Mapping'!$A$5:$A$1753,0)),"Unmapped"))</f>
        <v>Internal / promotion</v>
      </c>
      <c r="N337" s="33" t="str">
        <f aca="false">IF($F337="","",$F337)</f>
        <v>INFLATARUN FOOTBALL MADNESS 2025</v>
      </c>
    </row>
    <row r="338" customFormat="false" ht="15" hidden="false" customHeight="false" outlineLevel="0" collapsed="false">
      <c r="A338" s="33" t="n">
        <v>6864</v>
      </c>
      <c r="B338" s="33" t="s">
        <v>371</v>
      </c>
      <c r="C338" s="33" t="s">
        <v>309</v>
      </c>
      <c r="D338" s="33"/>
      <c r="E338" s="33" t="n">
        <v>124</v>
      </c>
      <c r="F338" s="33" t="s">
        <v>2151</v>
      </c>
      <c r="G338" s="33" t="s">
        <v>108</v>
      </c>
      <c r="H338" s="33" t="n">
        <v>1</v>
      </c>
      <c r="I338" s="33" t="n">
        <v>1</v>
      </c>
      <c r="J338" s="33" t="n">
        <v>1</v>
      </c>
      <c r="K338" s="32" t="n">
        <v>75</v>
      </c>
      <c r="L338" s="33" t="str">
        <f aca="false">IF($B338="","",IFERROR(INDEX('Code Mapping'!$D$5:$D$1753,MATCH($B338,'Code Mapping'!$A$5:$A$1753,0)),"Unmapped"))</f>
        <v>Internal / promotion</v>
      </c>
      <c r="M338" s="33" t="str">
        <f aca="false">IF($B338="","",IFERROR(INDEX('Code Mapping'!$E$5:$E$1753,MATCH($B338,'Code Mapping'!$A$5:$A$1753,0)),"Unmapped"))</f>
        <v>Internal / promotion</v>
      </c>
      <c r="N338" s="33" t="str">
        <f aca="false">IF($F338="","",$F338)</f>
        <v>INFLATARUN FOOTBALL MADNESS 2025</v>
      </c>
    </row>
    <row r="339" customFormat="false" ht="15" hidden="false" customHeight="false" outlineLevel="0" collapsed="false">
      <c r="A339" s="33" t="n">
        <v>7814</v>
      </c>
      <c r="B339" s="33" t="s">
        <v>370</v>
      </c>
      <c r="C339" s="33" t="s">
        <v>309</v>
      </c>
      <c r="D339" s="33"/>
      <c r="E339" s="33" t="n">
        <v>124</v>
      </c>
      <c r="F339" s="33" t="s">
        <v>2151</v>
      </c>
      <c r="G339" s="33" t="s">
        <v>108</v>
      </c>
      <c r="H339" s="33" t="n">
        <v>1</v>
      </c>
      <c r="I339" s="33" t="n">
        <v>1</v>
      </c>
      <c r="J339" s="33" t="n">
        <v>1</v>
      </c>
      <c r="K339" s="32" t="n">
        <v>1000</v>
      </c>
      <c r="L339" s="33" t="str">
        <f aca="false">IF($B339="","",IFERROR(INDEX('Code Mapping'!$D$5:$D$1753,MATCH($B339,'Code Mapping'!$A$5:$A$1753,0)),"Unmapped"))</f>
        <v>Internal / promotion</v>
      </c>
      <c r="M339" s="33" t="str">
        <f aca="false">IF($B339="","",IFERROR(INDEX('Code Mapping'!$E$5:$E$1753,MATCH($B339,'Code Mapping'!$A$5:$A$1753,0)),"Unmapped"))</f>
        <v>Internal / promotion</v>
      </c>
      <c r="N339" s="33" t="str">
        <f aca="false">IF($F339="","",$F339)</f>
        <v>INFLATARUN FOOTBALL MADNESS 2025</v>
      </c>
    </row>
    <row r="340" customFormat="false" ht="15" hidden="false" customHeight="false" outlineLevel="0" collapsed="false">
      <c r="A340" s="33" t="n">
        <v>6895</v>
      </c>
      <c r="B340" s="33" t="s">
        <v>369</v>
      </c>
      <c r="C340" s="33" t="s">
        <v>309</v>
      </c>
      <c r="D340" s="33"/>
      <c r="E340" s="33" t="n">
        <v>124</v>
      </c>
      <c r="F340" s="33" t="s">
        <v>2151</v>
      </c>
      <c r="G340" s="33" t="s">
        <v>108</v>
      </c>
      <c r="H340" s="33" t="n">
        <v>1</v>
      </c>
      <c r="I340" s="33" t="n">
        <v>1</v>
      </c>
      <c r="J340" s="33" t="n">
        <v>1</v>
      </c>
      <c r="K340" s="32" t="n">
        <v>75</v>
      </c>
      <c r="L340" s="33" t="str">
        <f aca="false">IF($B340="","",IFERROR(INDEX('Code Mapping'!$D$5:$D$1753,MATCH($B340,'Code Mapping'!$A$5:$A$1753,0)),"Unmapped"))</f>
        <v>Internal / promotion</v>
      </c>
      <c r="M340" s="33" t="str">
        <f aca="false">IF($B340="","",IFERROR(INDEX('Code Mapping'!$E$5:$E$1753,MATCH($B340,'Code Mapping'!$A$5:$A$1753,0)),"Unmapped"))</f>
        <v>Internal / promotion</v>
      </c>
      <c r="N340" s="33" t="str">
        <f aca="false">IF($F340="","",$F340)</f>
        <v>INFLATARUN FOOTBALL MADNESS 2025</v>
      </c>
    </row>
    <row r="341" customFormat="false" ht="15" hidden="false" customHeight="false" outlineLevel="0" collapsed="false">
      <c r="A341" s="33" t="n">
        <v>7866</v>
      </c>
      <c r="B341" s="33" t="s">
        <v>367</v>
      </c>
      <c r="C341" s="33" t="s">
        <v>309</v>
      </c>
      <c r="D341" s="33"/>
      <c r="E341" s="33" t="n">
        <v>124</v>
      </c>
      <c r="F341" s="33" t="s">
        <v>2151</v>
      </c>
      <c r="G341" s="33" t="s">
        <v>108</v>
      </c>
      <c r="H341" s="33" t="n">
        <v>1</v>
      </c>
      <c r="I341" s="33" t="n">
        <v>1</v>
      </c>
      <c r="J341" s="33" t="n">
        <v>1</v>
      </c>
      <c r="K341" s="32" t="n">
        <v>1000</v>
      </c>
      <c r="L341" s="33" t="str">
        <f aca="false">IF($B341="","",IFERROR(INDEX('Code Mapping'!$D$5:$D$1753,MATCH($B341,'Code Mapping'!$A$5:$A$1753,0)),"Unmapped"))</f>
        <v>Internal / promotion</v>
      </c>
      <c r="M341" s="33" t="str">
        <f aca="false">IF($B341="","",IFERROR(INDEX('Code Mapping'!$E$5:$E$1753,MATCH($B341,'Code Mapping'!$A$5:$A$1753,0)),"Unmapped"))</f>
        <v>Internal / promotion</v>
      </c>
      <c r="N341" s="33" t="str">
        <f aca="false">IF($F341="","",$F341)</f>
        <v>INFLATARUN FOOTBALL MADNESS 2025</v>
      </c>
    </row>
    <row r="342" customFormat="false" ht="15" hidden="false" customHeight="false" outlineLevel="0" collapsed="false">
      <c r="A342" s="33" t="n">
        <v>7543</v>
      </c>
      <c r="B342" s="33" t="s">
        <v>366</v>
      </c>
      <c r="C342" s="33" t="s">
        <v>309</v>
      </c>
      <c r="D342" s="33"/>
      <c r="E342" s="33" t="n">
        <v>124</v>
      </c>
      <c r="F342" s="33" t="s">
        <v>2151</v>
      </c>
      <c r="G342" s="33" t="s">
        <v>108</v>
      </c>
      <c r="H342" s="33" t="n">
        <v>1</v>
      </c>
      <c r="I342" s="33" t="n">
        <v>1</v>
      </c>
      <c r="J342" s="33" t="n">
        <v>1</v>
      </c>
      <c r="K342" s="32" t="n">
        <v>300</v>
      </c>
      <c r="L342" s="33" t="str">
        <f aca="false">IF($B342="","",IFERROR(INDEX('Code Mapping'!$D$5:$D$1753,MATCH($B342,'Code Mapping'!$A$5:$A$1753,0)),"Unmapped"))</f>
        <v>Internal / promotion</v>
      </c>
      <c r="M342" s="33" t="str">
        <f aca="false">IF($B342="","",IFERROR(INDEX('Code Mapping'!$E$5:$E$1753,MATCH($B342,'Code Mapping'!$A$5:$A$1753,0)),"Unmapped"))</f>
        <v>Internal / promotion</v>
      </c>
      <c r="N342" s="33" t="str">
        <f aca="false">IF($F342="","",$F342)</f>
        <v>INFLATARUN FOOTBALL MADNESS 2025</v>
      </c>
    </row>
    <row r="343" customFormat="false" ht="15" hidden="false" customHeight="false" outlineLevel="0" collapsed="false">
      <c r="A343" s="33" t="n">
        <v>6863</v>
      </c>
      <c r="B343" s="33" t="s">
        <v>365</v>
      </c>
      <c r="C343" s="33" t="s">
        <v>309</v>
      </c>
      <c r="D343" s="33"/>
      <c r="E343" s="33" t="n">
        <v>124</v>
      </c>
      <c r="F343" s="33" t="s">
        <v>2151</v>
      </c>
      <c r="G343" s="33" t="s">
        <v>108</v>
      </c>
      <c r="H343" s="33" t="n">
        <v>1</v>
      </c>
      <c r="I343" s="33" t="n">
        <v>1</v>
      </c>
      <c r="J343" s="33" t="n">
        <v>1</v>
      </c>
      <c r="K343" s="32" t="n">
        <v>75</v>
      </c>
      <c r="L343" s="33" t="str">
        <f aca="false">IF($B343="","",IFERROR(INDEX('Code Mapping'!$D$5:$D$1753,MATCH($B343,'Code Mapping'!$A$5:$A$1753,0)),"Unmapped"))</f>
        <v>Internal / promotion</v>
      </c>
      <c r="M343" s="33" t="str">
        <f aca="false">IF($B343="","",IFERROR(INDEX('Code Mapping'!$E$5:$E$1753,MATCH($B343,'Code Mapping'!$A$5:$A$1753,0)),"Unmapped"))</f>
        <v>Internal / promotion</v>
      </c>
      <c r="N343" s="33" t="str">
        <f aca="false">IF($F343="","",$F343)</f>
        <v>INFLATARUN FOOTBALL MADNESS 2025</v>
      </c>
    </row>
    <row r="344" customFormat="false" ht="15" hidden="false" customHeight="false" outlineLevel="0" collapsed="false">
      <c r="A344" s="33" t="n">
        <v>7569</v>
      </c>
      <c r="B344" s="33" t="s">
        <v>364</v>
      </c>
      <c r="C344" s="33" t="s">
        <v>309</v>
      </c>
      <c r="D344" s="33"/>
      <c r="E344" s="33" t="n">
        <v>124</v>
      </c>
      <c r="F344" s="33" t="s">
        <v>2151</v>
      </c>
      <c r="G344" s="33" t="s">
        <v>108</v>
      </c>
      <c r="H344" s="33" t="n">
        <v>1</v>
      </c>
      <c r="I344" s="33" t="n">
        <v>1</v>
      </c>
      <c r="J344" s="33" t="n">
        <v>1</v>
      </c>
      <c r="K344" s="32" t="n">
        <v>300</v>
      </c>
      <c r="L344" s="33" t="str">
        <f aca="false">IF($B344="","",IFERROR(INDEX('Code Mapping'!$D$5:$D$1753,MATCH($B344,'Code Mapping'!$A$5:$A$1753,0)),"Unmapped"))</f>
        <v>Internal / promotion</v>
      </c>
      <c r="M344" s="33" t="str">
        <f aca="false">IF($B344="","",IFERROR(INDEX('Code Mapping'!$E$5:$E$1753,MATCH($B344,'Code Mapping'!$A$5:$A$1753,0)),"Unmapped"))</f>
        <v>Internal / promotion</v>
      </c>
      <c r="N344" s="33" t="str">
        <f aca="false">IF($F344="","",$F344)</f>
        <v>INFLATARUN FOOTBALL MADNESS 2025</v>
      </c>
    </row>
    <row r="345" customFormat="false" ht="15" hidden="false" customHeight="false" outlineLevel="0" collapsed="false">
      <c r="A345" s="33" t="n">
        <v>7550</v>
      </c>
      <c r="B345" s="33" t="s">
        <v>363</v>
      </c>
      <c r="C345" s="33" t="s">
        <v>309</v>
      </c>
      <c r="D345" s="33"/>
      <c r="E345" s="33" t="n">
        <v>124</v>
      </c>
      <c r="F345" s="33" t="s">
        <v>2151</v>
      </c>
      <c r="G345" s="33" t="s">
        <v>108</v>
      </c>
      <c r="H345" s="33" t="n">
        <v>1</v>
      </c>
      <c r="I345" s="33" t="n">
        <v>1</v>
      </c>
      <c r="J345" s="33" t="n">
        <v>1</v>
      </c>
      <c r="K345" s="32" t="n">
        <v>300</v>
      </c>
      <c r="L345" s="33" t="str">
        <f aca="false">IF($B345="","",IFERROR(INDEX('Code Mapping'!$D$5:$D$1753,MATCH($B345,'Code Mapping'!$A$5:$A$1753,0)),"Unmapped"))</f>
        <v>Internal / promotion</v>
      </c>
      <c r="M345" s="33" t="str">
        <f aca="false">IF($B345="","",IFERROR(INDEX('Code Mapping'!$E$5:$E$1753,MATCH($B345,'Code Mapping'!$A$5:$A$1753,0)),"Unmapped"))</f>
        <v>Internal / promotion</v>
      </c>
      <c r="N345" s="33" t="str">
        <f aca="false">IF($F345="","",$F345)</f>
        <v>INFLATARUN FOOTBALL MADNESS 2025</v>
      </c>
    </row>
    <row r="346" customFormat="false" ht="15" hidden="false" customHeight="false" outlineLevel="0" collapsed="false">
      <c r="A346" s="33" t="n">
        <v>6870</v>
      </c>
      <c r="B346" s="33" t="s">
        <v>362</v>
      </c>
      <c r="C346" s="33" t="s">
        <v>309</v>
      </c>
      <c r="D346" s="33"/>
      <c r="E346" s="33" t="n">
        <v>124</v>
      </c>
      <c r="F346" s="33" t="s">
        <v>2151</v>
      </c>
      <c r="G346" s="33" t="s">
        <v>108</v>
      </c>
      <c r="H346" s="33" t="n">
        <v>1</v>
      </c>
      <c r="I346" s="33" t="n">
        <v>1</v>
      </c>
      <c r="J346" s="33" t="n">
        <v>1</v>
      </c>
      <c r="K346" s="32" t="n">
        <v>75</v>
      </c>
      <c r="L346" s="33" t="str">
        <f aca="false">IF($B346="","",IFERROR(INDEX('Code Mapping'!$D$5:$D$1753,MATCH($B346,'Code Mapping'!$A$5:$A$1753,0)),"Unmapped"))</f>
        <v>Internal / promotion</v>
      </c>
      <c r="M346" s="33" t="str">
        <f aca="false">IF($B346="","",IFERROR(INDEX('Code Mapping'!$E$5:$E$1753,MATCH($B346,'Code Mapping'!$A$5:$A$1753,0)),"Unmapped"))</f>
        <v>Internal / promotion</v>
      </c>
      <c r="N346" s="33" t="str">
        <f aca="false">IF($F346="","",$F346)</f>
        <v>INFLATARUN FOOTBALL MADNESS 2025</v>
      </c>
    </row>
    <row r="347" customFormat="false" ht="15" hidden="false" customHeight="false" outlineLevel="0" collapsed="false">
      <c r="A347" s="33" t="n">
        <v>6873</v>
      </c>
      <c r="B347" s="33" t="s">
        <v>360</v>
      </c>
      <c r="C347" s="33" t="s">
        <v>309</v>
      </c>
      <c r="D347" s="33"/>
      <c r="E347" s="33" t="n">
        <v>124</v>
      </c>
      <c r="F347" s="33" t="s">
        <v>2151</v>
      </c>
      <c r="G347" s="33" t="s">
        <v>108</v>
      </c>
      <c r="H347" s="33" t="n">
        <v>1</v>
      </c>
      <c r="I347" s="33" t="n">
        <v>1</v>
      </c>
      <c r="J347" s="33" t="n">
        <v>1</v>
      </c>
      <c r="K347" s="32" t="n">
        <v>75</v>
      </c>
      <c r="L347" s="33" t="str">
        <f aca="false">IF($B347="","",IFERROR(INDEX('Code Mapping'!$D$5:$D$1753,MATCH($B347,'Code Mapping'!$A$5:$A$1753,0)),"Unmapped"))</f>
        <v>Internal / promotion</v>
      </c>
      <c r="M347" s="33" t="str">
        <f aca="false">IF($B347="","",IFERROR(INDEX('Code Mapping'!$E$5:$E$1753,MATCH($B347,'Code Mapping'!$A$5:$A$1753,0)),"Unmapped"))</f>
        <v>Internal / promotion</v>
      </c>
      <c r="N347" s="33" t="str">
        <f aca="false">IF($F347="","",$F347)</f>
        <v>INFLATARUN FOOTBALL MADNESS 2025</v>
      </c>
    </row>
    <row r="348" customFormat="false" ht="15" hidden="false" customHeight="false" outlineLevel="0" collapsed="false">
      <c r="A348" s="33" t="n">
        <v>7856</v>
      </c>
      <c r="B348" s="33" t="s">
        <v>359</v>
      </c>
      <c r="C348" s="33" t="s">
        <v>309</v>
      </c>
      <c r="D348" s="33"/>
      <c r="E348" s="33" t="n">
        <v>124</v>
      </c>
      <c r="F348" s="33" t="s">
        <v>2151</v>
      </c>
      <c r="G348" s="33" t="s">
        <v>108</v>
      </c>
      <c r="H348" s="33" t="n">
        <v>1</v>
      </c>
      <c r="I348" s="33" t="n">
        <v>1</v>
      </c>
      <c r="J348" s="33" t="n">
        <v>1</v>
      </c>
      <c r="K348" s="32" t="n">
        <v>1000</v>
      </c>
      <c r="L348" s="33" t="str">
        <f aca="false">IF($B348="","",IFERROR(INDEX('Code Mapping'!$D$5:$D$1753,MATCH($B348,'Code Mapping'!$A$5:$A$1753,0)),"Unmapped"))</f>
        <v>Internal / promotion</v>
      </c>
      <c r="M348" s="33" t="str">
        <f aca="false">IF($B348="","",IFERROR(INDEX('Code Mapping'!$E$5:$E$1753,MATCH($B348,'Code Mapping'!$A$5:$A$1753,0)),"Unmapped"))</f>
        <v>Internal / promotion</v>
      </c>
      <c r="N348" s="33" t="str">
        <f aca="false">IF($F348="","",$F348)</f>
        <v>INFLATARUN FOOTBALL MADNESS 2025</v>
      </c>
    </row>
    <row r="349" customFormat="false" ht="15" hidden="false" customHeight="false" outlineLevel="0" collapsed="false">
      <c r="A349" s="33" t="n">
        <v>6883</v>
      </c>
      <c r="B349" s="33" t="s">
        <v>358</v>
      </c>
      <c r="C349" s="33" t="s">
        <v>309</v>
      </c>
      <c r="D349" s="33"/>
      <c r="E349" s="33" t="n">
        <v>124</v>
      </c>
      <c r="F349" s="33" t="s">
        <v>2151</v>
      </c>
      <c r="G349" s="33" t="s">
        <v>108</v>
      </c>
      <c r="H349" s="33" t="n">
        <v>1</v>
      </c>
      <c r="I349" s="33" t="n">
        <v>1</v>
      </c>
      <c r="J349" s="33" t="n">
        <v>1</v>
      </c>
      <c r="K349" s="32" t="n">
        <v>75</v>
      </c>
      <c r="L349" s="33" t="str">
        <f aca="false">IF($B349="","",IFERROR(INDEX('Code Mapping'!$D$5:$D$1753,MATCH($B349,'Code Mapping'!$A$5:$A$1753,0)),"Unmapped"))</f>
        <v>Internal / promotion</v>
      </c>
      <c r="M349" s="33" t="str">
        <f aca="false">IF($B349="","",IFERROR(INDEX('Code Mapping'!$E$5:$E$1753,MATCH($B349,'Code Mapping'!$A$5:$A$1753,0)),"Unmapped"))</f>
        <v>Internal / promotion</v>
      </c>
      <c r="N349" s="33" t="str">
        <f aca="false">IF($F349="","",$F349)</f>
        <v>INFLATARUN FOOTBALL MADNESS 2025</v>
      </c>
    </row>
    <row r="350" customFormat="false" ht="15" hidden="false" customHeight="false" outlineLevel="0" collapsed="false">
      <c r="A350" s="33" t="n">
        <v>6904</v>
      </c>
      <c r="B350" s="33" t="s">
        <v>388</v>
      </c>
      <c r="C350" s="33" t="s">
        <v>309</v>
      </c>
      <c r="D350" s="33"/>
      <c r="E350" s="33" t="n">
        <v>124</v>
      </c>
      <c r="F350" s="33" t="s">
        <v>2151</v>
      </c>
      <c r="G350" s="33" t="s">
        <v>108</v>
      </c>
      <c r="H350" s="33" t="n">
        <v>1</v>
      </c>
      <c r="I350" s="33" t="n">
        <v>1</v>
      </c>
      <c r="J350" s="33" t="n">
        <v>1</v>
      </c>
      <c r="K350" s="32" t="n">
        <v>75</v>
      </c>
      <c r="L350" s="33" t="str">
        <f aca="false">IF($B350="","",IFERROR(INDEX('Code Mapping'!$D$5:$D$1753,MATCH($B350,'Code Mapping'!$A$5:$A$1753,0)),"Unmapped"))</f>
        <v>Internal / promotion</v>
      </c>
      <c r="M350" s="33" t="str">
        <f aca="false">IF($B350="","",IFERROR(INDEX('Code Mapping'!$E$5:$E$1753,MATCH($B350,'Code Mapping'!$A$5:$A$1753,0)),"Unmapped"))</f>
        <v>Internal / promotion</v>
      </c>
      <c r="N350" s="33" t="str">
        <f aca="false">IF($F350="","",$F350)</f>
        <v>INFLATARUN FOOTBALL MADNESS 2025</v>
      </c>
    </row>
    <row r="351" customFormat="false" ht="15" hidden="false" customHeight="false" outlineLevel="0" collapsed="false">
      <c r="A351" s="33" t="n">
        <v>7573</v>
      </c>
      <c r="B351" s="33" t="s">
        <v>387</v>
      </c>
      <c r="C351" s="33" t="s">
        <v>309</v>
      </c>
      <c r="D351" s="33"/>
      <c r="E351" s="33" t="n">
        <v>124</v>
      </c>
      <c r="F351" s="33" t="s">
        <v>2151</v>
      </c>
      <c r="G351" s="33" t="s">
        <v>108</v>
      </c>
      <c r="H351" s="33" t="n">
        <v>1</v>
      </c>
      <c r="I351" s="33" t="n">
        <v>1</v>
      </c>
      <c r="J351" s="33" t="n">
        <v>1</v>
      </c>
      <c r="K351" s="32" t="n">
        <v>300</v>
      </c>
      <c r="L351" s="33" t="str">
        <f aca="false">IF($B351="","",IFERROR(INDEX('Code Mapping'!$D$5:$D$1753,MATCH($B351,'Code Mapping'!$A$5:$A$1753,0)),"Unmapped"))</f>
        <v>Internal / promotion</v>
      </c>
      <c r="M351" s="33" t="str">
        <f aca="false">IF($B351="","",IFERROR(INDEX('Code Mapping'!$E$5:$E$1753,MATCH($B351,'Code Mapping'!$A$5:$A$1753,0)),"Unmapped"))</f>
        <v>Internal / promotion</v>
      </c>
      <c r="N351" s="33" t="str">
        <f aca="false">IF($F351="","",$F351)</f>
        <v>INFLATARUN FOOTBALL MADNESS 2025</v>
      </c>
    </row>
    <row r="352" customFormat="false" ht="15" hidden="false" customHeight="false" outlineLevel="0" collapsed="false">
      <c r="A352" s="33" t="n">
        <v>6798</v>
      </c>
      <c r="B352" s="33" t="s">
        <v>146</v>
      </c>
      <c r="C352" s="33" t="s">
        <v>147</v>
      </c>
      <c r="D352" s="33"/>
      <c r="E352" s="33" t="n">
        <v>91</v>
      </c>
      <c r="F352" s="33" t="s">
        <v>36</v>
      </c>
      <c r="G352" s="33" t="s">
        <v>108</v>
      </c>
      <c r="H352" s="33" t="n">
        <v>83</v>
      </c>
      <c r="I352" s="33" t="n">
        <v>83</v>
      </c>
      <c r="J352" s="33" t="n">
        <v>83</v>
      </c>
      <c r="K352" s="32" t="n">
        <v>13190</v>
      </c>
      <c r="L352" s="33" t="str">
        <f aca="false">IF($B352="","",IFERROR(INDEX('Code Mapping'!$D$5:$D$1753,MATCH($B352,'Code Mapping'!$A$5:$A$1753,0)),"Unmapped"))</f>
        <v>My Book</v>
      </c>
      <c r="M352" s="33" t="str">
        <f aca="false">IF($B352="","",IFERROR(INDEX('Code Mapping'!$E$5:$E$1753,MATCH($B352,'Code Mapping'!$A$5:$A$1753,0)),"Unmapped"))</f>
        <v>Aggregator BOGO</v>
      </c>
      <c r="N352" s="33" t="str">
        <f aca="false">IF($F352="","",$F352)</f>
        <v>InflataPark</v>
      </c>
    </row>
    <row r="353" customFormat="false" ht="15" hidden="false" customHeight="false" outlineLevel="0" collapsed="false">
      <c r="A353" s="33" t="n">
        <v>6859</v>
      </c>
      <c r="B353" s="33" t="s">
        <v>389</v>
      </c>
      <c r="C353" s="33" t="s">
        <v>309</v>
      </c>
      <c r="D353" s="33"/>
      <c r="E353" s="33" t="n">
        <v>124</v>
      </c>
      <c r="F353" s="33" t="s">
        <v>2151</v>
      </c>
      <c r="G353" s="33" t="s">
        <v>108</v>
      </c>
      <c r="H353" s="33" t="n">
        <v>1</v>
      </c>
      <c r="I353" s="33" t="n">
        <v>1</v>
      </c>
      <c r="J353" s="33" t="n">
        <v>1</v>
      </c>
      <c r="K353" s="32" t="n">
        <v>75</v>
      </c>
      <c r="L353" s="33" t="str">
        <f aca="false">IF($B353="","",IFERROR(INDEX('Code Mapping'!$D$5:$D$1753,MATCH($B353,'Code Mapping'!$A$5:$A$1753,0)),"Unmapped"))</f>
        <v>Internal / promotion</v>
      </c>
      <c r="M353" s="33" t="str">
        <f aca="false">IF($B353="","",IFERROR(INDEX('Code Mapping'!$E$5:$E$1753,MATCH($B353,'Code Mapping'!$A$5:$A$1753,0)),"Unmapped"))</f>
        <v>Internal / promotion</v>
      </c>
      <c r="N353" s="33" t="str">
        <f aca="false">IF($F353="","",$F353)</f>
        <v>INFLATARUN FOOTBALL MADNESS 2025</v>
      </c>
    </row>
    <row r="354" customFormat="false" ht="15" hidden="false" customHeight="false" outlineLevel="0" collapsed="false">
      <c r="A354" s="33" t="n">
        <v>7566</v>
      </c>
      <c r="B354" s="33" t="s">
        <v>390</v>
      </c>
      <c r="C354" s="33" t="s">
        <v>309</v>
      </c>
      <c r="D354" s="33"/>
      <c r="E354" s="33" t="n">
        <v>124</v>
      </c>
      <c r="F354" s="33" t="s">
        <v>2151</v>
      </c>
      <c r="G354" s="33" t="s">
        <v>108</v>
      </c>
      <c r="H354" s="33" t="n">
        <v>1</v>
      </c>
      <c r="I354" s="33" t="n">
        <v>1</v>
      </c>
      <c r="J354" s="33" t="n">
        <v>1</v>
      </c>
      <c r="K354" s="32" t="n">
        <v>300</v>
      </c>
      <c r="L354" s="33" t="str">
        <f aca="false">IF($B354="","",IFERROR(INDEX('Code Mapping'!$D$5:$D$1753,MATCH($B354,'Code Mapping'!$A$5:$A$1753,0)),"Unmapped"))</f>
        <v>Internal / promotion</v>
      </c>
      <c r="M354" s="33" t="str">
        <f aca="false">IF($B354="","",IFERROR(INDEX('Code Mapping'!$E$5:$E$1753,MATCH($B354,'Code Mapping'!$A$5:$A$1753,0)),"Unmapped"))</f>
        <v>Internal / promotion</v>
      </c>
      <c r="N354" s="33" t="str">
        <f aca="false">IF($F354="","",$F354)</f>
        <v>INFLATARUN FOOTBALL MADNESS 2025</v>
      </c>
    </row>
    <row r="355" customFormat="false" ht="15" hidden="false" customHeight="false" outlineLevel="0" collapsed="false">
      <c r="A355" s="33" t="n">
        <v>6875</v>
      </c>
      <c r="B355" s="33" t="s">
        <v>356</v>
      </c>
      <c r="C355" s="33" t="s">
        <v>309</v>
      </c>
      <c r="D355" s="33"/>
      <c r="E355" s="33" t="n">
        <v>124</v>
      </c>
      <c r="F355" s="33" t="s">
        <v>2151</v>
      </c>
      <c r="G355" s="33" t="s">
        <v>108</v>
      </c>
      <c r="H355" s="33" t="n">
        <v>1</v>
      </c>
      <c r="I355" s="33" t="n">
        <v>1</v>
      </c>
      <c r="J355" s="33" t="n">
        <v>1</v>
      </c>
      <c r="K355" s="32" t="n">
        <v>75</v>
      </c>
      <c r="L355" s="33" t="str">
        <f aca="false">IF($B355="","",IFERROR(INDEX('Code Mapping'!$D$5:$D$1753,MATCH($B355,'Code Mapping'!$A$5:$A$1753,0)),"Unmapped"))</f>
        <v>Internal / promotion</v>
      </c>
      <c r="M355" s="33" t="str">
        <f aca="false">IF($B355="","",IFERROR(INDEX('Code Mapping'!$E$5:$E$1753,MATCH($B355,'Code Mapping'!$A$5:$A$1753,0)),"Unmapped"))</f>
        <v>Internal / promotion</v>
      </c>
      <c r="N355" s="33" t="str">
        <f aca="false">IF($F355="","",$F355)</f>
        <v>INFLATARUN FOOTBALL MADNESS 2025</v>
      </c>
    </row>
    <row r="356" customFormat="false" ht="15" hidden="false" customHeight="false" outlineLevel="0" collapsed="false">
      <c r="A356" s="33" t="n">
        <v>7951</v>
      </c>
      <c r="B356" s="33" t="s">
        <v>202</v>
      </c>
      <c r="C356" s="33" t="s">
        <v>203</v>
      </c>
      <c r="D356" s="33"/>
      <c r="E356" s="33" t="n">
        <v>129</v>
      </c>
      <c r="F356" s="33" t="s">
        <v>2150</v>
      </c>
      <c r="G356" s="33" t="s">
        <v>108</v>
      </c>
      <c r="H356" s="33" t="n">
        <v>32</v>
      </c>
      <c r="I356" s="33" t="n">
        <v>45</v>
      </c>
      <c r="J356" s="33" t="n">
        <v>45</v>
      </c>
      <c r="K356" s="32" t="n">
        <v>145.5</v>
      </c>
      <c r="L356" s="33" t="str">
        <f aca="false">IF($B356="","",IFERROR(INDEX('Code Mapping'!$D$5:$D$1753,MATCH($B356,'Code Mapping'!$A$5:$A$1753,0)),"Unmapped"))</f>
        <v>Internal / promotion</v>
      </c>
      <c r="M356" s="33" t="str">
        <f aca="false">IF($B356="","",IFERROR(INDEX('Code Mapping'!$E$5:$E$1753,MATCH($B356,'Code Mapping'!$A$5:$A$1753,0)),"Unmapped"))</f>
        <v>Internal / promotion</v>
      </c>
      <c r="N356" s="33" t="str">
        <f aca="false">IF($F356="","",$F356)</f>
        <v>Aspire Zubara</v>
      </c>
    </row>
    <row r="357" customFormat="false" ht="15" hidden="false" customHeight="false" outlineLevel="0" collapsed="false">
      <c r="A357" s="33" t="n">
        <v>7957</v>
      </c>
      <c r="B357" s="33" t="s">
        <v>431</v>
      </c>
      <c r="C357" s="33" t="s">
        <v>432</v>
      </c>
      <c r="D357" s="33"/>
      <c r="E357" s="33" t="n">
        <v>91</v>
      </c>
      <c r="F357" s="33" t="s">
        <v>36</v>
      </c>
      <c r="G357" s="33" t="s">
        <v>108</v>
      </c>
      <c r="H357" s="33" t="n">
        <v>1</v>
      </c>
      <c r="I357" s="33" t="n">
        <v>1</v>
      </c>
      <c r="J357" s="33" t="n">
        <v>1</v>
      </c>
      <c r="K357" s="32" t="n">
        <v>250</v>
      </c>
      <c r="L357" s="33" t="str">
        <f aca="false">IF($B357="","",IFERROR(INDEX('Code Mapping'!$D$5:$D$1753,MATCH($B357,'Code Mapping'!$A$5:$A$1753,0)),"Unmapped"))</f>
        <v>Unmapped</v>
      </c>
      <c r="M357" s="33" t="str">
        <f aca="false">IF($B357="","",IFERROR(INDEX('Code Mapping'!$E$5:$E$1753,MATCH($B357,'Code Mapping'!$A$5:$A$1753,0)),"Unmapped"))</f>
        <v>Unmapped</v>
      </c>
      <c r="N357" s="33" t="str">
        <f aca="false">IF($F357="","",$F357)</f>
        <v>InflataPark</v>
      </c>
    </row>
    <row r="358" customFormat="false" ht="15" hidden="false" customHeight="false" outlineLevel="0" collapsed="false">
      <c r="A358" s="33" t="n">
        <v>6794</v>
      </c>
      <c r="B358" s="33" t="s">
        <v>180</v>
      </c>
      <c r="C358" s="33" t="s">
        <v>177</v>
      </c>
      <c r="D358" s="33"/>
      <c r="E358" s="33" t="n">
        <v>94</v>
      </c>
      <c r="F358" s="33" t="s">
        <v>37</v>
      </c>
      <c r="G358" s="33" t="s">
        <v>108</v>
      </c>
      <c r="H358" s="33" t="n">
        <v>36</v>
      </c>
      <c r="I358" s="33" t="n">
        <v>36</v>
      </c>
      <c r="J358" s="33" t="n">
        <v>36</v>
      </c>
      <c r="K358" s="32" t="n">
        <v>8150</v>
      </c>
      <c r="L358" s="33" t="str">
        <f aca="false">IF($B358="","",IFERROR(INDEX('Code Mapping'!$D$5:$D$1753,MATCH($B358,'Code Mapping'!$A$5:$A$1753,0)),"Unmapped"))</f>
        <v>Urban Point</v>
      </c>
      <c r="M358" s="33" t="str">
        <f aca="false">IF($B358="","",IFERROR(INDEX('Code Mapping'!$E$5:$E$1753,MATCH($B358,'Code Mapping'!$A$5:$A$1753,0)),"Unmapped"))</f>
        <v>Aggregator BOGO</v>
      </c>
      <c r="N358" s="33" t="str">
        <f aca="false">IF($F358="","",$F358)</f>
        <v>Kids City Driving School</v>
      </c>
    </row>
    <row r="359" customFormat="false" ht="15" hidden="false" customHeight="false" outlineLevel="0" collapsed="false">
      <c r="A359" s="33" t="n">
        <v>6826</v>
      </c>
      <c r="B359" s="33" t="s">
        <v>173</v>
      </c>
      <c r="C359" s="33" t="s">
        <v>174</v>
      </c>
      <c r="D359" s="33"/>
      <c r="E359" s="33" t="n">
        <v>61</v>
      </c>
      <c r="F359" s="33" t="s">
        <v>38</v>
      </c>
      <c r="G359" s="33" t="s">
        <v>108</v>
      </c>
      <c r="H359" s="33" t="n">
        <v>29</v>
      </c>
      <c r="I359" s="33" t="n">
        <v>29</v>
      </c>
      <c r="J359" s="33" t="n">
        <v>29</v>
      </c>
      <c r="K359" s="32" t="n">
        <v>2900</v>
      </c>
      <c r="L359" s="33" t="str">
        <f aca="false">IF($B359="","",IFERROR(INDEX('Code Mapping'!$D$5:$D$1753,MATCH($B359,'Code Mapping'!$A$5:$A$1753,0)),"Unmapped"))</f>
        <v>Urban Point</v>
      </c>
      <c r="M359" s="33" t="str">
        <f aca="false">IF($B359="","",IFERROR(INDEX('Code Mapping'!$E$5:$E$1753,MATCH($B359,'Code Mapping'!$A$5:$A$1753,0)),"Unmapped"))</f>
        <v>Aggregator BOGO</v>
      </c>
      <c r="N359" s="33" t="str">
        <f aca="false">IF($F359="","",$F359)</f>
        <v>Crayons &amp; Bricks Vendome</v>
      </c>
    </row>
    <row r="360" customFormat="false" ht="15" hidden="false" customHeight="false" outlineLevel="0" collapsed="false">
      <c r="A360" s="33" t="n">
        <v>6797</v>
      </c>
      <c r="B360" s="33" t="s">
        <v>143</v>
      </c>
      <c r="C360" s="33" t="s">
        <v>144</v>
      </c>
      <c r="D360" s="33"/>
      <c r="E360" s="33" t="n">
        <v>91</v>
      </c>
      <c r="F360" s="33" t="s">
        <v>36</v>
      </c>
      <c r="G360" s="33" t="s">
        <v>108</v>
      </c>
      <c r="H360" s="33" t="n">
        <v>90</v>
      </c>
      <c r="I360" s="33" t="n">
        <v>90</v>
      </c>
      <c r="J360" s="33" t="n">
        <v>90</v>
      </c>
      <c r="K360" s="32" t="n">
        <v>15420</v>
      </c>
      <c r="L360" s="33" t="str">
        <f aca="false">IF($B360="","",IFERROR(INDEX('Code Mapping'!$D$5:$D$1753,MATCH($B360,'Code Mapping'!$A$5:$A$1753,0)),"Unmapped"))</f>
        <v>Urban Point</v>
      </c>
      <c r="M360" s="33" t="str">
        <f aca="false">IF($B360="","",IFERROR(INDEX('Code Mapping'!$E$5:$E$1753,MATCH($B360,'Code Mapping'!$A$5:$A$1753,0)),"Unmapped"))</f>
        <v>Aggregator BOGO</v>
      </c>
      <c r="N360" s="33" t="str">
        <f aca="false">IF($F360="","",$F360)</f>
        <v>InflataPark</v>
      </c>
    </row>
    <row r="361" customFormat="false" ht="15" hidden="false" customHeight="false" outlineLevel="0" collapsed="false">
      <c r="A361" s="33" t="n">
        <v>7953</v>
      </c>
      <c r="B361" s="33" t="s">
        <v>176</v>
      </c>
      <c r="C361" s="33" t="s">
        <v>177</v>
      </c>
      <c r="D361" s="33"/>
      <c r="E361" s="33" t="n">
        <v>94</v>
      </c>
      <c r="F361" s="33" t="s">
        <v>37</v>
      </c>
      <c r="G361" s="33" t="s">
        <v>108</v>
      </c>
      <c r="H361" s="33" t="n">
        <v>12</v>
      </c>
      <c r="I361" s="33" t="n">
        <v>12</v>
      </c>
      <c r="J361" s="33" t="n">
        <v>12</v>
      </c>
      <c r="K361" s="32" t="n">
        <v>2750</v>
      </c>
      <c r="L361" s="33" t="str">
        <f aca="false">IF($B361="","",IFERROR(INDEX('Code Mapping'!$D$5:$D$1753,MATCH($B361,'Code Mapping'!$A$5:$A$1753,0)),"Unmapped"))</f>
        <v>Urban Point</v>
      </c>
      <c r="M361" s="33" t="str">
        <f aca="false">IF($B361="","",IFERROR(INDEX('Code Mapping'!$E$5:$E$1753,MATCH($B361,'Code Mapping'!$A$5:$A$1753,0)),"Unmapped"))</f>
        <v>Aggregator BOGO</v>
      </c>
      <c r="N361" s="33" t="str">
        <f aca="false">IF($F361="","",$F361)</f>
        <v>Kids City Driving School</v>
      </c>
    </row>
    <row r="362" customFormat="false" ht="15" hidden="false" customHeight="false" outlineLevel="0" collapsed="false">
      <c r="A362" s="33" t="n">
        <v>6839</v>
      </c>
      <c r="B362" s="33" t="s">
        <v>249</v>
      </c>
      <c r="C362" s="33" t="s">
        <v>250</v>
      </c>
      <c r="D362" s="33"/>
      <c r="E362" s="33" t="n">
        <v>94</v>
      </c>
      <c r="F362" s="33" t="s">
        <v>37</v>
      </c>
      <c r="G362" s="33" t="s">
        <v>108</v>
      </c>
      <c r="H362" s="33" t="n">
        <v>4</v>
      </c>
      <c r="I362" s="33" t="n">
        <v>5</v>
      </c>
      <c r="J362" s="33" t="n">
        <v>5</v>
      </c>
      <c r="K362" s="32" t="n">
        <v>75</v>
      </c>
      <c r="L362" s="33" t="str">
        <f aca="false">IF($B362="","",IFERROR(INDEX('Code Mapping'!$D$5:$D$1753,MATCH($B362,'Code Mapping'!$A$5:$A$1753,0)),"Unmapped"))</f>
        <v>TGI (not on master)</v>
      </c>
      <c r="M362" s="33" t="str">
        <f aca="false">IF($B362="","",IFERROR(INDEX('Code Mapping'!$E$5:$E$1753,MATCH($B362,'Code Mapping'!$A$5:$A$1753,0)),"Unmapped"))</f>
        <v>Not on master</v>
      </c>
      <c r="N362" s="33" t="str">
        <f aca="false">IF($F362="","",$F362)</f>
        <v>Kids City Driving School</v>
      </c>
    </row>
    <row r="363" customFormat="false" ht="15" hidden="false" customHeight="false" outlineLevel="0" collapsed="false">
      <c r="A363" s="33" t="n">
        <v>7947</v>
      </c>
      <c r="B363" s="33" t="s">
        <v>426</v>
      </c>
      <c r="C363" s="33" t="s">
        <v>427</v>
      </c>
      <c r="D363" s="33"/>
      <c r="E363" s="33" t="n">
        <v>124</v>
      </c>
      <c r="F363" s="33" t="s">
        <v>2151</v>
      </c>
      <c r="G363" s="33" t="s">
        <v>108</v>
      </c>
      <c r="H363" s="33" t="n">
        <v>1</v>
      </c>
      <c r="I363" s="33" t="n">
        <v>4</v>
      </c>
      <c r="J363" s="33" t="n">
        <v>4</v>
      </c>
      <c r="K363" s="32" t="n">
        <v>300</v>
      </c>
      <c r="L363" s="33" t="str">
        <f aca="false">IF($B363="","",IFERROR(INDEX('Code Mapping'!$D$5:$D$1753,MATCH($B363,'Code Mapping'!$A$5:$A$1753,0)),"Unmapped"))</f>
        <v>Unmapped</v>
      </c>
      <c r="M363" s="33" t="str">
        <f aca="false">IF($B363="","",IFERROR(INDEX('Code Mapping'!$E$5:$E$1753,MATCH($B363,'Code Mapping'!$A$5:$A$1753,0)),"Unmapped"))</f>
        <v>Unmapped</v>
      </c>
      <c r="N363" s="33" t="str">
        <f aca="false">IF($F363="","",$F363)</f>
        <v>INFLATARUN FOOTBALL MADNESS 2025</v>
      </c>
    </row>
    <row r="364" customFormat="false" ht="15" hidden="false" customHeight="false" outlineLevel="0" collapsed="false">
      <c r="A364" s="33" t="n">
        <v>6801</v>
      </c>
      <c r="B364" s="33" t="s">
        <v>258</v>
      </c>
      <c r="C364" s="33" t="s">
        <v>259</v>
      </c>
      <c r="D364" s="33"/>
      <c r="E364" s="33" t="n">
        <v>91</v>
      </c>
      <c r="F364" s="33" t="s">
        <v>36</v>
      </c>
      <c r="G364" s="33" t="s">
        <v>108</v>
      </c>
      <c r="H364" s="33" t="n">
        <v>5</v>
      </c>
      <c r="I364" s="33" t="n">
        <v>11</v>
      </c>
      <c r="J364" s="33" t="n">
        <v>11</v>
      </c>
      <c r="K364" s="32" t="n">
        <v>245.25</v>
      </c>
      <c r="L364" s="33" t="str">
        <f aca="false">IF($B364="","",IFERROR(INDEX('Code Mapping'!$D$5:$D$1753,MATCH($B364,'Code Mapping'!$A$5:$A$1753,0)),"Unmapped"))</f>
        <v>QIB</v>
      </c>
      <c r="M364" s="33" t="str">
        <f aca="false">IF($B364="","",IFERROR(INDEX('Code Mapping'!$E$5:$E$1753,MATCH($B364,'Code Mapping'!$A$5:$A$1753,0)),"Unmapped"))</f>
        <v>Corporate discount</v>
      </c>
      <c r="N364" s="33" t="str">
        <f aca="false">IF($F364="","",$F364)</f>
        <v>InflataPark</v>
      </c>
    </row>
    <row r="365" customFormat="false" ht="15" hidden="false" customHeight="false" outlineLevel="0" collapsed="false">
      <c r="A365" s="33" t="n">
        <v>6803</v>
      </c>
      <c r="B365" s="33" t="s">
        <v>191</v>
      </c>
      <c r="C365" s="33" t="s">
        <v>192</v>
      </c>
      <c r="D365" s="33"/>
      <c r="E365" s="33" t="n">
        <v>91</v>
      </c>
      <c r="F365" s="33" t="s">
        <v>36</v>
      </c>
      <c r="G365" s="33" t="s">
        <v>108</v>
      </c>
      <c r="H365" s="33" t="n">
        <v>5</v>
      </c>
      <c r="I365" s="33" t="n">
        <v>8</v>
      </c>
      <c r="J365" s="33" t="n">
        <v>8</v>
      </c>
      <c r="K365" s="32" t="n">
        <v>114.75</v>
      </c>
      <c r="L365" s="33" t="str">
        <f aca="false">IF($B365="","",IFERROR(INDEX('Code Mapping'!$D$5:$D$1753,MATCH($B365,'Code Mapping'!$A$5:$A$1753,0)),"Unmapped"))</f>
        <v>Qatar Airways</v>
      </c>
      <c r="M365" s="33" t="str">
        <f aca="false">IF($B365="","",IFERROR(INDEX('Code Mapping'!$E$5:$E$1753,MATCH($B365,'Code Mapping'!$A$5:$A$1753,0)),"Unmapped"))</f>
        <v>Corporate discount</v>
      </c>
      <c r="N365" s="33" t="str">
        <f aca="false">IF($F365="","",$F365)</f>
        <v>InflataPark</v>
      </c>
    </row>
    <row r="366" customFormat="false" ht="15" hidden="false" customHeight="false" outlineLevel="0" collapsed="false">
      <c r="A366" s="33" t="n">
        <v>6811</v>
      </c>
      <c r="B366" s="33" t="s">
        <v>238</v>
      </c>
      <c r="C366" s="33" t="s">
        <v>239</v>
      </c>
      <c r="D366" s="33"/>
      <c r="E366" s="33" t="n">
        <v>94</v>
      </c>
      <c r="F366" s="33" t="s">
        <v>37</v>
      </c>
      <c r="G366" s="33" t="s">
        <v>108</v>
      </c>
      <c r="H366" s="33" t="n">
        <v>2</v>
      </c>
      <c r="I366" s="33" t="n">
        <v>2</v>
      </c>
      <c r="J366" s="33" t="n">
        <v>2</v>
      </c>
      <c r="K366" s="32" t="n">
        <v>67.5</v>
      </c>
      <c r="L366" s="33" t="str">
        <f aca="false">IF($B366="","",IFERROR(INDEX('Code Mapping'!$D$5:$D$1753,MATCH($B366,'Code Mapping'!$A$5:$A$1753,0)),"Unmapped"))</f>
        <v>Qatar Airways</v>
      </c>
      <c r="M366" s="33" t="str">
        <f aca="false">IF($B366="","",IFERROR(INDEX('Code Mapping'!$E$5:$E$1753,MATCH($B366,'Code Mapping'!$A$5:$A$1753,0)),"Unmapped"))</f>
        <v>Corporate discount</v>
      </c>
      <c r="N366" s="33" t="str">
        <f aca="false">IF($F366="","",$F366)</f>
        <v>Kids City Driving School</v>
      </c>
    </row>
    <row r="367" customFormat="false" ht="15" hidden="false" customHeight="false" outlineLevel="0" collapsed="false">
      <c r="A367" s="33" t="n">
        <v>7944</v>
      </c>
      <c r="B367" s="33" t="s">
        <v>187</v>
      </c>
      <c r="C367" s="33"/>
      <c r="D367" s="33"/>
      <c r="E367" s="33" t="n">
        <v>124</v>
      </c>
      <c r="F367" s="33" t="s">
        <v>2151</v>
      </c>
      <c r="G367" s="33" t="s">
        <v>108</v>
      </c>
      <c r="H367" s="33" t="n">
        <v>60</v>
      </c>
      <c r="I367" s="33" t="n">
        <v>157</v>
      </c>
      <c r="J367" s="33" t="n">
        <v>157</v>
      </c>
      <c r="K367" s="32" t="n">
        <v>2355</v>
      </c>
      <c r="L367" s="33" t="str">
        <f aca="false">IF($B367="","",IFERROR(INDEX('Code Mapping'!$D$5:$D$1753,MATCH($B367,'Code Mapping'!$A$5:$A$1753,0)),"Unmapped"))</f>
        <v>Internal / promotion</v>
      </c>
      <c r="M367" s="33" t="str">
        <f aca="false">IF($B367="","",IFERROR(INDEX('Code Mapping'!$E$5:$E$1753,MATCH($B367,'Code Mapping'!$A$5:$A$1753,0)),"Unmapped"))</f>
        <v>Internal / promotion</v>
      </c>
      <c r="N367" s="33" t="str">
        <f aca="false">IF($F367="","",$F367)</f>
        <v>INFLATARUN FOOTBALL MADNESS 2025</v>
      </c>
    </row>
    <row r="368" customFormat="false" ht="15" hidden="false" customHeight="false" outlineLevel="0" collapsed="false">
      <c r="A368" s="33" t="n">
        <v>6827</v>
      </c>
      <c r="B368" s="33" t="s">
        <v>182</v>
      </c>
      <c r="C368" s="33"/>
      <c r="D368" s="33"/>
      <c r="E368" s="33" t="n">
        <v>61</v>
      </c>
      <c r="F368" s="33" t="s">
        <v>38</v>
      </c>
      <c r="G368" s="33" t="s">
        <v>108</v>
      </c>
      <c r="H368" s="33" t="n">
        <v>8</v>
      </c>
      <c r="I368" s="33" t="n">
        <v>8</v>
      </c>
      <c r="J368" s="33" t="n">
        <v>8</v>
      </c>
      <c r="K368" s="32" t="n">
        <v>800</v>
      </c>
      <c r="L368" s="33" t="str">
        <f aca="false">IF($B368="","",IFERROR(INDEX('Code Mapping'!$D$5:$D$1753,MATCH($B368,'Code Mapping'!$A$5:$A$1753,0)),"Unmapped"))</f>
        <v>My Book</v>
      </c>
      <c r="M368" s="33" t="str">
        <f aca="false">IF($B368="","",IFERROR(INDEX('Code Mapping'!$E$5:$E$1753,MATCH($B368,'Code Mapping'!$A$5:$A$1753,0)),"Unmapped"))</f>
        <v>Aggregator BOGO</v>
      </c>
      <c r="N368" s="33" t="str">
        <f aca="false">IF($F368="","",$F368)</f>
        <v>Crayons &amp; Bricks Vendome</v>
      </c>
    </row>
    <row r="369" customFormat="false" ht="15" hidden="false" customHeight="false" outlineLevel="0" collapsed="false">
      <c r="A369" s="33" t="n">
        <v>7956</v>
      </c>
      <c r="B369" s="33" t="s">
        <v>412</v>
      </c>
      <c r="C369" s="33" t="s">
        <v>413</v>
      </c>
      <c r="D369" s="33"/>
      <c r="E369" s="33" t="n">
        <v>94</v>
      </c>
      <c r="F369" s="33" t="s">
        <v>37</v>
      </c>
      <c r="G369" s="33" t="s">
        <v>108</v>
      </c>
      <c r="H369" s="33" t="n">
        <v>1</v>
      </c>
      <c r="I369" s="33" t="n">
        <v>1</v>
      </c>
      <c r="J369" s="33" t="n">
        <v>1</v>
      </c>
      <c r="K369" s="32" t="n">
        <v>225</v>
      </c>
      <c r="L369" s="33" t="str">
        <f aca="false">IF($B369="","",IFERROR(INDEX('Code Mapping'!$D$5:$D$1753,MATCH($B369,'Code Mapping'!$A$5:$A$1753,0)),"Unmapped"))</f>
        <v>Unmapped</v>
      </c>
      <c r="M369" s="33" t="str">
        <f aca="false">IF($B369="","",IFERROR(INDEX('Code Mapping'!$E$5:$E$1753,MATCH($B369,'Code Mapping'!$A$5:$A$1753,0)),"Unmapped"))</f>
        <v>Unmapped</v>
      </c>
      <c r="N369" s="33" t="str">
        <f aca="false">IF($F369="","",$F369)</f>
        <v>Kids City Driving School</v>
      </c>
    </row>
    <row r="370" customFormat="false" ht="15" hidden="false" customHeight="false" outlineLevel="0" collapsed="false">
      <c r="A370" s="33" t="n">
        <v>5538</v>
      </c>
      <c r="B370" s="33" t="s">
        <v>247</v>
      </c>
      <c r="C370" s="33" t="s">
        <v>248</v>
      </c>
      <c r="D370" s="33"/>
      <c r="E370" s="33" t="n">
        <v>91</v>
      </c>
      <c r="F370" s="33" t="s">
        <v>36</v>
      </c>
      <c r="G370" s="33" t="s">
        <v>108</v>
      </c>
      <c r="H370" s="33" t="n">
        <v>1</v>
      </c>
      <c r="I370" s="33" t="n">
        <v>4</v>
      </c>
      <c r="J370" s="33" t="n">
        <v>4</v>
      </c>
      <c r="K370" s="32" t="n">
        <v>45</v>
      </c>
      <c r="L370" s="33" t="str">
        <f aca="false">IF($B370="","",IFERROR(INDEX('Code Mapping'!$D$5:$D$1753,MATCH($B370,'Code Mapping'!$A$5:$A$1753,0)),"Unmapped"))</f>
        <v>Internal / promotion</v>
      </c>
      <c r="M370" s="33" t="str">
        <f aca="false">IF($B370="","",IFERROR(INDEX('Code Mapping'!$E$5:$E$1753,MATCH($B370,'Code Mapping'!$A$5:$A$1753,0)),"Unmapped"))</f>
        <v>Internal / promotion</v>
      </c>
      <c r="N370" s="33" t="str">
        <f aca="false">IF($F370="","",$F370)</f>
        <v>InflataPark</v>
      </c>
    </row>
    <row r="371" customFormat="false" ht="15" hidden="false" customHeight="false" outlineLevel="0" collapsed="false">
      <c r="A371" s="33" t="n">
        <v>6841</v>
      </c>
      <c r="B371" s="33" t="s">
        <v>242</v>
      </c>
      <c r="C371" s="33" t="s">
        <v>243</v>
      </c>
      <c r="D371" s="33"/>
      <c r="E371" s="33" t="n">
        <v>91</v>
      </c>
      <c r="F371" s="33" t="s">
        <v>36</v>
      </c>
      <c r="G371" s="33" t="s">
        <v>108</v>
      </c>
      <c r="H371" s="33" t="n">
        <v>16</v>
      </c>
      <c r="I371" s="33" t="n">
        <v>16</v>
      </c>
      <c r="J371" s="33" t="n">
        <v>16</v>
      </c>
      <c r="K371" s="32" t="n">
        <v>2080</v>
      </c>
      <c r="L371" s="33" t="str">
        <f aca="false">IF($B371="","",IFERROR(INDEX('Code Mapping'!$D$5:$D$1753,MATCH($B371,'Code Mapping'!$A$5:$A$1753,0)),"Unmapped"))</f>
        <v>Internal / promotion</v>
      </c>
      <c r="M371" s="33" t="str">
        <f aca="false">IF($B371="","",IFERROR(INDEX('Code Mapping'!$E$5:$E$1753,MATCH($B371,'Code Mapping'!$A$5:$A$1753,0)),"Unmapped"))</f>
        <v>Internal / promotion</v>
      </c>
      <c r="N371" s="33" t="str">
        <f aca="false">IF($F371="","",$F371)</f>
        <v>InflataPark</v>
      </c>
    </row>
    <row r="372" customFormat="false" ht="15" hidden="false" customHeight="false" outlineLevel="0" collapsed="false">
      <c r="A372" s="33" t="n">
        <v>7950</v>
      </c>
      <c r="B372" s="33" t="s">
        <v>301</v>
      </c>
      <c r="C372" s="33"/>
      <c r="D372" s="33"/>
      <c r="E372" s="33" t="n">
        <v>124</v>
      </c>
      <c r="F372" s="33" t="s">
        <v>2151</v>
      </c>
      <c r="G372" s="33" t="s">
        <v>108</v>
      </c>
      <c r="H372" s="33" t="n">
        <v>2</v>
      </c>
      <c r="I372" s="33" t="n">
        <v>2</v>
      </c>
      <c r="J372" s="33" t="n">
        <v>2</v>
      </c>
      <c r="K372" s="32" t="n">
        <v>400</v>
      </c>
      <c r="L372" s="33" t="str">
        <f aca="false">IF($B372="","",IFERROR(INDEX('Code Mapping'!$D$5:$D$1753,MATCH($B372,'Code Mapping'!$A$5:$A$1753,0)),"Unmapped"))</f>
        <v>Unmapped</v>
      </c>
      <c r="M372" s="33" t="str">
        <f aca="false">IF($B372="","",IFERROR(INDEX('Code Mapping'!$E$5:$E$1753,MATCH($B372,'Code Mapping'!$A$5:$A$1753,0)),"Unmapped"))</f>
        <v>Unmapped</v>
      </c>
      <c r="N372" s="33" t="str">
        <f aca="false">IF($F372="","",$F372)</f>
        <v>INFLATARUN FOOTBALL MADNESS 2025</v>
      </c>
    </row>
    <row r="373" customFormat="false" ht="15" hidden="false" customHeight="false" outlineLevel="0" collapsed="false">
      <c r="A373" s="33" t="n">
        <v>6842</v>
      </c>
      <c r="B373" s="33" t="s">
        <v>240</v>
      </c>
      <c r="C373" s="33" t="s">
        <v>241</v>
      </c>
      <c r="D373" s="33"/>
      <c r="E373" s="33" t="n">
        <v>94</v>
      </c>
      <c r="F373" s="33" t="s">
        <v>37</v>
      </c>
      <c r="G373" s="33" t="s">
        <v>108</v>
      </c>
      <c r="H373" s="33" t="n">
        <v>17</v>
      </c>
      <c r="I373" s="33" t="n">
        <v>18</v>
      </c>
      <c r="J373" s="33" t="n">
        <v>18</v>
      </c>
      <c r="K373" s="32" t="n">
        <v>4500</v>
      </c>
      <c r="L373" s="33" t="str">
        <f aca="false">IF($B373="","",IFERROR(INDEX('Code Mapping'!$D$5:$D$1753,MATCH($B373,'Code Mapping'!$A$5:$A$1753,0)),"Unmapped"))</f>
        <v>Internal / promotion</v>
      </c>
      <c r="M373" s="33" t="str">
        <f aca="false">IF($B373="","",IFERROR(INDEX('Code Mapping'!$E$5:$E$1753,MATCH($B373,'Code Mapping'!$A$5:$A$1753,0)),"Unmapped"))</f>
        <v>Internal / promotion</v>
      </c>
      <c r="N373" s="33" t="str">
        <f aca="false">IF($F373="","",$F373)</f>
        <v>Kids City Driving School</v>
      </c>
    </row>
    <row r="374" customFormat="false" ht="15" hidden="false" customHeight="false" outlineLevel="0" collapsed="false">
      <c r="A374" s="33" t="n">
        <v>7565</v>
      </c>
      <c r="B374" s="33" t="s">
        <v>396</v>
      </c>
      <c r="C374" s="33" t="s">
        <v>309</v>
      </c>
      <c r="D374" s="33"/>
      <c r="E374" s="33" t="n">
        <v>124</v>
      </c>
      <c r="F374" s="33" t="s">
        <v>2151</v>
      </c>
      <c r="G374" s="33" t="s">
        <v>108</v>
      </c>
      <c r="H374" s="33" t="n">
        <v>1</v>
      </c>
      <c r="I374" s="33" t="n">
        <v>1</v>
      </c>
      <c r="J374" s="33" t="n">
        <v>1</v>
      </c>
      <c r="K374" s="32" t="n">
        <v>300</v>
      </c>
      <c r="L374" s="33" t="str">
        <f aca="false">IF($B374="","",IFERROR(INDEX('Code Mapping'!$D$5:$D$1753,MATCH($B374,'Code Mapping'!$A$5:$A$1753,0)),"Unmapped"))</f>
        <v>Internal / promotion</v>
      </c>
      <c r="M374" s="33" t="str">
        <f aca="false">IF($B374="","",IFERROR(INDEX('Code Mapping'!$E$5:$E$1753,MATCH($B374,'Code Mapping'!$A$5:$A$1753,0)),"Unmapped"))</f>
        <v>Internal / promotion</v>
      </c>
      <c r="N374" s="33" t="str">
        <f aca="false">IF($F374="","",$F374)</f>
        <v>INFLATARUN FOOTBALL MADNESS 2025</v>
      </c>
    </row>
    <row r="375" customFormat="false" ht="15" hidden="false" customHeight="false" outlineLevel="0" collapsed="false">
      <c r="A375" s="33" t="n">
        <v>7548</v>
      </c>
      <c r="B375" s="33" t="s">
        <v>395</v>
      </c>
      <c r="C375" s="33" t="s">
        <v>309</v>
      </c>
      <c r="D375" s="33"/>
      <c r="E375" s="33" t="n">
        <v>124</v>
      </c>
      <c r="F375" s="33" t="s">
        <v>2151</v>
      </c>
      <c r="G375" s="33" t="s">
        <v>108</v>
      </c>
      <c r="H375" s="33" t="n">
        <v>1</v>
      </c>
      <c r="I375" s="33" t="n">
        <v>1</v>
      </c>
      <c r="J375" s="33" t="n">
        <v>1</v>
      </c>
      <c r="K375" s="32" t="n">
        <v>300</v>
      </c>
      <c r="L375" s="33" t="str">
        <f aca="false">IF($B375="","",IFERROR(INDEX('Code Mapping'!$D$5:$D$1753,MATCH($B375,'Code Mapping'!$A$5:$A$1753,0)),"Unmapped"))</f>
        <v>Internal / promotion</v>
      </c>
      <c r="M375" s="33" t="str">
        <f aca="false">IF($B375="","",IFERROR(INDEX('Code Mapping'!$E$5:$E$1753,MATCH($B375,'Code Mapping'!$A$5:$A$1753,0)),"Unmapped"))</f>
        <v>Internal / promotion</v>
      </c>
      <c r="N375" s="33" t="str">
        <f aca="false">IF($F375="","",$F375)</f>
        <v>INFLATARUN FOOTBALL MADNESS 2025</v>
      </c>
    </row>
    <row r="376" customFormat="false" ht="15" hidden="false" customHeight="false" outlineLevel="0" collapsed="false">
      <c r="A376" s="33" t="n">
        <v>7846</v>
      </c>
      <c r="B376" s="33" t="s">
        <v>394</v>
      </c>
      <c r="C376" s="33" t="s">
        <v>309</v>
      </c>
      <c r="D376" s="33"/>
      <c r="E376" s="33" t="n">
        <v>124</v>
      </c>
      <c r="F376" s="33" t="s">
        <v>2151</v>
      </c>
      <c r="G376" s="33" t="s">
        <v>108</v>
      </c>
      <c r="H376" s="33" t="n">
        <v>1</v>
      </c>
      <c r="I376" s="33" t="n">
        <v>1</v>
      </c>
      <c r="J376" s="33" t="n">
        <v>1</v>
      </c>
      <c r="K376" s="32" t="n">
        <v>1000</v>
      </c>
      <c r="L376" s="33" t="str">
        <f aca="false">IF($B376="","",IFERROR(INDEX('Code Mapping'!$D$5:$D$1753,MATCH($B376,'Code Mapping'!$A$5:$A$1753,0)),"Unmapped"))</f>
        <v>Internal / promotion</v>
      </c>
      <c r="M376" s="33" t="str">
        <f aca="false">IF($B376="","",IFERROR(INDEX('Code Mapping'!$E$5:$E$1753,MATCH($B376,'Code Mapping'!$A$5:$A$1753,0)),"Unmapped"))</f>
        <v>Internal / promotion</v>
      </c>
      <c r="N376" s="33" t="str">
        <f aca="false">IF($F376="","",$F376)</f>
        <v>INFLATARUN FOOTBALL MADNESS 2025</v>
      </c>
    </row>
    <row r="377" customFormat="false" ht="15" hidden="false" customHeight="false" outlineLevel="0" collapsed="false">
      <c r="A377" s="33" t="n">
        <v>6915</v>
      </c>
      <c r="B377" s="33" t="s">
        <v>393</v>
      </c>
      <c r="C377" s="33" t="s">
        <v>309</v>
      </c>
      <c r="D377" s="33"/>
      <c r="E377" s="33" t="n">
        <v>124</v>
      </c>
      <c r="F377" s="33" t="s">
        <v>2151</v>
      </c>
      <c r="G377" s="33" t="s">
        <v>108</v>
      </c>
      <c r="H377" s="33" t="n">
        <v>1</v>
      </c>
      <c r="I377" s="33" t="n">
        <v>1</v>
      </c>
      <c r="J377" s="33" t="n">
        <v>1</v>
      </c>
      <c r="K377" s="32" t="n">
        <v>75</v>
      </c>
      <c r="L377" s="33" t="str">
        <f aca="false">IF($B377="","",IFERROR(INDEX('Code Mapping'!$D$5:$D$1753,MATCH($B377,'Code Mapping'!$A$5:$A$1753,0)),"Unmapped"))</f>
        <v>Internal / promotion</v>
      </c>
      <c r="M377" s="33" t="str">
        <f aca="false">IF($B377="","",IFERROR(INDEX('Code Mapping'!$E$5:$E$1753,MATCH($B377,'Code Mapping'!$A$5:$A$1753,0)),"Unmapped"))</f>
        <v>Internal / promotion</v>
      </c>
      <c r="N377" s="33" t="str">
        <f aca="false">IF($F377="","",$F377)</f>
        <v>INFLATARUN FOOTBALL MADNESS 2025</v>
      </c>
    </row>
    <row r="378" customFormat="false" ht="15" hidden="false" customHeight="false" outlineLevel="0" collapsed="false">
      <c r="A378" s="33" t="n">
        <v>7817</v>
      </c>
      <c r="B378" s="33" t="s">
        <v>392</v>
      </c>
      <c r="C378" s="33" t="s">
        <v>309</v>
      </c>
      <c r="D378" s="33"/>
      <c r="E378" s="33" t="n">
        <v>124</v>
      </c>
      <c r="F378" s="33" t="s">
        <v>2151</v>
      </c>
      <c r="G378" s="33" t="s">
        <v>108</v>
      </c>
      <c r="H378" s="33" t="n">
        <v>1</v>
      </c>
      <c r="I378" s="33" t="n">
        <v>1</v>
      </c>
      <c r="J378" s="33" t="n">
        <v>1</v>
      </c>
      <c r="K378" s="32" t="n">
        <v>1000</v>
      </c>
      <c r="L378" s="33" t="str">
        <f aca="false">IF($B378="","",IFERROR(INDEX('Code Mapping'!$D$5:$D$1753,MATCH($B378,'Code Mapping'!$A$5:$A$1753,0)),"Unmapped"))</f>
        <v>Internal / promotion</v>
      </c>
      <c r="M378" s="33" t="str">
        <f aca="false">IF($B378="","",IFERROR(INDEX('Code Mapping'!$E$5:$E$1753,MATCH($B378,'Code Mapping'!$A$5:$A$1753,0)),"Unmapped"))</f>
        <v>Internal / promotion</v>
      </c>
      <c r="N378" s="33" t="str">
        <f aca="false">IF($F378="","",$F378)</f>
        <v>INFLATARUN FOOTBALL MADNESS 2025</v>
      </c>
    </row>
    <row r="379" customFormat="false" ht="15" hidden="false" customHeight="false" outlineLevel="0" collapsed="false">
      <c r="A379" s="33" t="n">
        <v>6846</v>
      </c>
      <c r="B379" s="33" t="s">
        <v>391</v>
      </c>
      <c r="C379" s="33" t="s">
        <v>309</v>
      </c>
      <c r="D379" s="33"/>
      <c r="E379" s="33" t="n">
        <v>124</v>
      </c>
      <c r="F379" s="33" t="s">
        <v>2151</v>
      </c>
      <c r="G379" s="33" t="s">
        <v>108</v>
      </c>
      <c r="H379" s="33" t="n">
        <v>1</v>
      </c>
      <c r="I379" s="33" t="n">
        <v>1</v>
      </c>
      <c r="J379" s="33" t="n">
        <v>1</v>
      </c>
      <c r="K379" s="32" t="n">
        <v>75</v>
      </c>
      <c r="L379" s="33" t="str">
        <f aca="false">IF($B379="","",IFERROR(INDEX('Code Mapping'!$D$5:$D$1753,MATCH($B379,'Code Mapping'!$A$5:$A$1753,0)),"Unmapped"))</f>
        <v>Internal / promotion</v>
      </c>
      <c r="M379" s="33" t="str">
        <f aca="false">IF($B379="","",IFERROR(INDEX('Code Mapping'!$E$5:$E$1753,MATCH($B379,'Code Mapping'!$A$5:$A$1753,0)),"Unmapped"))</f>
        <v>Internal / promotion</v>
      </c>
      <c r="N379" s="33" t="str">
        <f aca="false">IF($F379="","",$F379)</f>
        <v>INFLATARUN FOOTBALL MADNESS 2025</v>
      </c>
    </row>
    <row r="380" customFormat="false" ht="15" hidden="false" customHeight="false" outlineLevel="0" collapsed="false">
      <c r="A380" s="33" t="n">
        <v>7848</v>
      </c>
      <c r="B380" s="33" t="s">
        <v>357</v>
      </c>
      <c r="C380" s="33" t="s">
        <v>309</v>
      </c>
      <c r="D380" s="33"/>
      <c r="E380" s="33" t="n">
        <v>124</v>
      </c>
      <c r="F380" s="33" t="s">
        <v>2151</v>
      </c>
      <c r="G380" s="33" t="s">
        <v>108</v>
      </c>
      <c r="H380" s="33" t="n">
        <v>1</v>
      </c>
      <c r="I380" s="33" t="n">
        <v>1</v>
      </c>
      <c r="J380" s="33" t="n">
        <v>1</v>
      </c>
      <c r="K380" s="32" t="n">
        <v>1000</v>
      </c>
      <c r="L380" s="33" t="str">
        <f aca="false">IF($B380="","",IFERROR(INDEX('Code Mapping'!$D$5:$D$1753,MATCH($B380,'Code Mapping'!$A$5:$A$1753,0)),"Unmapped"))</f>
        <v>Internal / promotion</v>
      </c>
      <c r="M380" s="33" t="str">
        <f aca="false">IF($B380="","",IFERROR(INDEX('Code Mapping'!$E$5:$E$1753,MATCH($B380,'Code Mapping'!$A$5:$A$1753,0)),"Unmapped"))</f>
        <v>Internal / promotion</v>
      </c>
      <c r="N380" s="33" t="str">
        <f aca="false">IF($F380="","",$F380)</f>
        <v>INFLATARUN FOOTBALL MADNESS 2025</v>
      </c>
    </row>
    <row r="381" customFormat="false" ht="15" hidden="false" customHeight="false" outlineLevel="0" collapsed="false">
      <c r="A381" s="33" t="n">
        <v>7841</v>
      </c>
      <c r="B381" s="33" t="s">
        <v>361</v>
      </c>
      <c r="C381" s="33" t="s">
        <v>309</v>
      </c>
      <c r="D381" s="33"/>
      <c r="E381" s="33" t="n">
        <v>124</v>
      </c>
      <c r="F381" s="33" t="s">
        <v>2151</v>
      </c>
      <c r="G381" s="33" t="s">
        <v>108</v>
      </c>
      <c r="H381" s="33" t="n">
        <v>1</v>
      </c>
      <c r="I381" s="33" t="n">
        <v>1</v>
      </c>
      <c r="J381" s="33" t="n">
        <v>1</v>
      </c>
      <c r="K381" s="32" t="n">
        <v>1000</v>
      </c>
      <c r="L381" s="33" t="str">
        <f aca="false">IF($B381="","",IFERROR(INDEX('Code Mapping'!$D$5:$D$1753,MATCH($B381,'Code Mapping'!$A$5:$A$1753,0)),"Unmapped"))</f>
        <v>Internal / promotion</v>
      </c>
      <c r="M381" s="33" t="str">
        <f aca="false">IF($B381="","",IFERROR(INDEX('Code Mapping'!$E$5:$E$1753,MATCH($B381,'Code Mapping'!$A$5:$A$1753,0)),"Unmapped"))</f>
        <v>Internal / promotion</v>
      </c>
      <c r="N381" s="33" t="str">
        <f aca="false">IF($F381="","",$F381)</f>
        <v>INFLATARUN FOOTBALL MADNESS 2025</v>
      </c>
    </row>
    <row r="382" customFormat="false" ht="15" hidden="false" customHeight="false" outlineLevel="0" collapsed="false">
      <c r="A382" s="33" t="n">
        <v>6900</v>
      </c>
      <c r="B382" s="33" t="s">
        <v>355</v>
      </c>
      <c r="C382" s="33" t="s">
        <v>309</v>
      </c>
      <c r="D382" s="33"/>
      <c r="E382" s="33" t="n">
        <v>124</v>
      </c>
      <c r="F382" s="33" t="s">
        <v>2151</v>
      </c>
      <c r="G382" s="33" t="s">
        <v>108</v>
      </c>
      <c r="H382" s="33" t="n">
        <v>1</v>
      </c>
      <c r="I382" s="33" t="n">
        <v>1</v>
      </c>
      <c r="J382" s="33" t="n">
        <v>1</v>
      </c>
      <c r="K382" s="32" t="n">
        <v>75</v>
      </c>
      <c r="L382" s="33" t="str">
        <f aca="false">IF($B382="","",IFERROR(INDEX('Code Mapping'!$D$5:$D$1753,MATCH($B382,'Code Mapping'!$A$5:$A$1753,0)),"Unmapped"))</f>
        <v>Internal / promotion</v>
      </c>
      <c r="M382" s="33" t="str">
        <f aca="false">IF($B382="","",IFERROR(INDEX('Code Mapping'!$E$5:$E$1753,MATCH($B382,'Code Mapping'!$A$5:$A$1753,0)),"Unmapped"))</f>
        <v>Internal / promotion</v>
      </c>
      <c r="N382" s="33" t="str">
        <f aca="false">IF($F382="","",$F382)</f>
        <v>INFLATARUN FOOTBALL MADNESS 2025</v>
      </c>
    </row>
    <row r="383" customFormat="false" ht="15" hidden="false" customHeight="false" outlineLevel="0" collapsed="false">
      <c r="A383" s="33" t="n">
        <v>7544</v>
      </c>
      <c r="B383" s="33" t="s">
        <v>310</v>
      </c>
      <c r="C383" s="33" t="s">
        <v>309</v>
      </c>
      <c r="D383" s="33"/>
      <c r="E383" s="33" t="n">
        <v>124</v>
      </c>
      <c r="F383" s="33" t="s">
        <v>2151</v>
      </c>
      <c r="G383" s="33" t="s">
        <v>108</v>
      </c>
      <c r="H383" s="33" t="n">
        <v>1</v>
      </c>
      <c r="I383" s="33" t="n">
        <v>1</v>
      </c>
      <c r="J383" s="33" t="n">
        <v>1</v>
      </c>
      <c r="K383" s="32" t="n">
        <v>300</v>
      </c>
      <c r="L383" s="33" t="str">
        <f aca="false">IF($B383="","",IFERROR(INDEX('Code Mapping'!$D$5:$D$1753,MATCH($B383,'Code Mapping'!$A$5:$A$1753,0)),"Unmapped"))</f>
        <v>Internal / promotion</v>
      </c>
      <c r="M383" s="33" t="str">
        <f aca="false">IF($B383="","",IFERROR(INDEX('Code Mapping'!$E$5:$E$1753,MATCH($B383,'Code Mapping'!$A$5:$A$1753,0)),"Unmapped"))</f>
        <v>Internal / promotion</v>
      </c>
      <c r="N383" s="33" t="str">
        <f aca="false">IF($F383="","",$F383)</f>
        <v>INFLATARUN FOOTBALL MADNESS 2025</v>
      </c>
    </row>
    <row r="384" customFormat="false" ht="15" hidden="false" customHeight="false" outlineLevel="0" collapsed="false">
      <c r="A384" s="33" t="n">
        <v>6858</v>
      </c>
      <c r="B384" s="33" t="s">
        <v>323</v>
      </c>
      <c r="C384" s="33" t="s">
        <v>309</v>
      </c>
      <c r="D384" s="33"/>
      <c r="E384" s="33" t="n">
        <v>124</v>
      </c>
      <c r="F384" s="33" t="s">
        <v>2151</v>
      </c>
      <c r="G384" s="33" t="s">
        <v>108</v>
      </c>
      <c r="H384" s="33" t="n">
        <v>1</v>
      </c>
      <c r="I384" s="33" t="n">
        <v>1</v>
      </c>
      <c r="J384" s="33" t="n">
        <v>1</v>
      </c>
      <c r="K384" s="32" t="n">
        <v>75</v>
      </c>
      <c r="L384" s="33" t="str">
        <f aca="false">IF($B384="","",IFERROR(INDEX('Code Mapping'!$D$5:$D$1753,MATCH($B384,'Code Mapping'!$A$5:$A$1753,0)),"Unmapped"))</f>
        <v>Internal / promotion</v>
      </c>
      <c r="M384" s="33" t="str">
        <f aca="false">IF($B384="","",IFERROR(INDEX('Code Mapping'!$E$5:$E$1753,MATCH($B384,'Code Mapping'!$A$5:$A$1753,0)),"Unmapped"))</f>
        <v>Internal / promotion</v>
      </c>
      <c r="N384" s="33" t="str">
        <f aca="false">IF($F384="","",$F384)</f>
        <v>INFLATARUN FOOTBALL MADNESS 2025</v>
      </c>
    </row>
    <row r="385" customFormat="false" ht="15" hidden="false" customHeight="false" outlineLevel="0" collapsed="false">
      <c r="A385" s="33" t="n">
        <v>6909</v>
      </c>
      <c r="B385" s="33" t="s">
        <v>322</v>
      </c>
      <c r="C385" s="33" t="s">
        <v>309</v>
      </c>
      <c r="D385" s="33"/>
      <c r="E385" s="33" t="n">
        <v>124</v>
      </c>
      <c r="F385" s="33" t="s">
        <v>2151</v>
      </c>
      <c r="G385" s="33" t="s">
        <v>108</v>
      </c>
      <c r="H385" s="33" t="n">
        <v>1</v>
      </c>
      <c r="I385" s="33" t="n">
        <v>1</v>
      </c>
      <c r="J385" s="33" t="n">
        <v>1</v>
      </c>
      <c r="K385" s="32" t="n">
        <v>75</v>
      </c>
      <c r="L385" s="33" t="str">
        <f aca="false">IF($B385="","",IFERROR(INDEX('Code Mapping'!$D$5:$D$1753,MATCH($B385,'Code Mapping'!$A$5:$A$1753,0)),"Unmapped"))</f>
        <v>Internal / promotion</v>
      </c>
      <c r="M385" s="33" t="str">
        <f aca="false">IF($B385="","",IFERROR(INDEX('Code Mapping'!$E$5:$E$1753,MATCH($B385,'Code Mapping'!$A$5:$A$1753,0)),"Unmapped"))</f>
        <v>Internal / promotion</v>
      </c>
      <c r="N385" s="33" t="str">
        <f aca="false">IF($F385="","",$F385)</f>
        <v>INFLATARUN FOOTBALL MADNESS 2025</v>
      </c>
    </row>
    <row r="386" customFormat="false" ht="15" hidden="false" customHeight="false" outlineLevel="0" collapsed="false">
      <c r="A386" s="33" t="n">
        <v>6905</v>
      </c>
      <c r="B386" s="33" t="s">
        <v>321</v>
      </c>
      <c r="C386" s="33" t="s">
        <v>309</v>
      </c>
      <c r="D386" s="33"/>
      <c r="E386" s="33" t="n">
        <v>124</v>
      </c>
      <c r="F386" s="33" t="s">
        <v>2151</v>
      </c>
      <c r="G386" s="33" t="s">
        <v>108</v>
      </c>
      <c r="H386" s="33" t="n">
        <v>1</v>
      </c>
      <c r="I386" s="33" t="n">
        <v>1</v>
      </c>
      <c r="J386" s="33" t="n">
        <v>1</v>
      </c>
      <c r="K386" s="32" t="n">
        <v>75</v>
      </c>
      <c r="L386" s="33" t="str">
        <f aca="false">IF($B386="","",IFERROR(INDEX('Code Mapping'!$D$5:$D$1753,MATCH($B386,'Code Mapping'!$A$5:$A$1753,0)),"Unmapped"))</f>
        <v>Internal / promotion</v>
      </c>
      <c r="M386" s="33" t="str">
        <f aca="false">IF($B386="","",IFERROR(INDEX('Code Mapping'!$E$5:$E$1753,MATCH($B386,'Code Mapping'!$A$5:$A$1753,0)),"Unmapped"))</f>
        <v>Internal / promotion</v>
      </c>
      <c r="N386" s="33" t="str">
        <f aca="false">IF($F386="","",$F386)</f>
        <v>INFLATARUN FOOTBALL MADNESS 2025</v>
      </c>
    </row>
    <row r="387" customFormat="false" ht="15" hidden="false" customHeight="false" outlineLevel="0" collapsed="false">
      <c r="A387" s="33" t="n">
        <v>6887</v>
      </c>
      <c r="B387" s="33" t="s">
        <v>319</v>
      </c>
      <c r="C387" s="33" t="s">
        <v>309</v>
      </c>
      <c r="D387" s="33"/>
      <c r="E387" s="33" t="n">
        <v>124</v>
      </c>
      <c r="F387" s="33" t="s">
        <v>2151</v>
      </c>
      <c r="G387" s="33" t="s">
        <v>108</v>
      </c>
      <c r="H387" s="33" t="n">
        <v>1</v>
      </c>
      <c r="I387" s="33" t="n">
        <v>1</v>
      </c>
      <c r="J387" s="33" t="n">
        <v>1</v>
      </c>
      <c r="K387" s="32" t="n">
        <v>75</v>
      </c>
      <c r="L387" s="33" t="str">
        <f aca="false">IF($B387="","",IFERROR(INDEX('Code Mapping'!$D$5:$D$1753,MATCH($B387,'Code Mapping'!$A$5:$A$1753,0)),"Unmapped"))</f>
        <v>Internal / promotion</v>
      </c>
      <c r="M387" s="33" t="str">
        <f aca="false">IF($B387="","",IFERROR(INDEX('Code Mapping'!$E$5:$E$1753,MATCH($B387,'Code Mapping'!$A$5:$A$1753,0)),"Unmapped"))</f>
        <v>Internal / promotion</v>
      </c>
      <c r="N387" s="33" t="str">
        <f aca="false">IF($F387="","",$F387)</f>
        <v>INFLATARUN FOOTBALL MADNESS 2025</v>
      </c>
    </row>
    <row r="388" customFormat="false" ht="15" hidden="false" customHeight="false" outlineLevel="0" collapsed="false">
      <c r="A388" s="33" t="n">
        <v>6937</v>
      </c>
      <c r="B388" s="33" t="s">
        <v>318</v>
      </c>
      <c r="C388" s="33" t="s">
        <v>309</v>
      </c>
      <c r="D388" s="33"/>
      <c r="E388" s="33" t="n">
        <v>124</v>
      </c>
      <c r="F388" s="33" t="s">
        <v>2151</v>
      </c>
      <c r="G388" s="33" t="s">
        <v>108</v>
      </c>
      <c r="H388" s="33" t="n">
        <v>1</v>
      </c>
      <c r="I388" s="33" t="n">
        <v>1</v>
      </c>
      <c r="J388" s="33" t="n">
        <v>1</v>
      </c>
      <c r="K388" s="32" t="n">
        <v>75</v>
      </c>
      <c r="L388" s="33" t="str">
        <f aca="false">IF($B388="","",IFERROR(INDEX('Code Mapping'!$D$5:$D$1753,MATCH($B388,'Code Mapping'!$A$5:$A$1753,0)),"Unmapped"))</f>
        <v>Internal / promotion</v>
      </c>
      <c r="M388" s="33" t="str">
        <f aca="false">IF($B388="","",IFERROR(INDEX('Code Mapping'!$E$5:$E$1753,MATCH($B388,'Code Mapping'!$A$5:$A$1753,0)),"Unmapped"))</f>
        <v>Internal / promotion</v>
      </c>
      <c r="N388" s="33" t="str">
        <f aca="false">IF($F388="","",$F388)</f>
        <v>INFLATARUN FOOTBALL MADNESS 2025</v>
      </c>
    </row>
    <row r="389" customFormat="false" ht="15" hidden="false" customHeight="false" outlineLevel="0" collapsed="false">
      <c r="A389" s="33" t="n">
        <v>7744</v>
      </c>
      <c r="B389" s="33" t="s">
        <v>317</v>
      </c>
      <c r="C389" s="33" t="s">
        <v>309</v>
      </c>
      <c r="D389" s="33"/>
      <c r="E389" s="33" t="n">
        <v>124</v>
      </c>
      <c r="F389" s="33" t="s">
        <v>2151</v>
      </c>
      <c r="G389" s="33" t="s">
        <v>108</v>
      </c>
      <c r="H389" s="33" t="n">
        <v>1</v>
      </c>
      <c r="I389" s="33" t="n">
        <v>1</v>
      </c>
      <c r="J389" s="33" t="n">
        <v>1</v>
      </c>
      <c r="K389" s="32" t="n">
        <v>1000</v>
      </c>
      <c r="L389" s="33" t="str">
        <f aca="false">IF($B389="","",IFERROR(INDEX('Code Mapping'!$D$5:$D$1753,MATCH($B389,'Code Mapping'!$A$5:$A$1753,0)),"Unmapped"))</f>
        <v>Internal / promotion</v>
      </c>
      <c r="M389" s="33" t="str">
        <f aca="false">IF($B389="","",IFERROR(INDEX('Code Mapping'!$E$5:$E$1753,MATCH($B389,'Code Mapping'!$A$5:$A$1753,0)),"Unmapped"))</f>
        <v>Internal / promotion</v>
      </c>
      <c r="N389" s="33" t="str">
        <f aca="false">IF($F389="","",$F389)</f>
        <v>INFLATARUN FOOTBALL MADNESS 2025</v>
      </c>
    </row>
    <row r="390" customFormat="false" ht="15" hidden="false" customHeight="false" outlineLevel="0" collapsed="false">
      <c r="A390" s="33" t="n">
        <v>6912</v>
      </c>
      <c r="B390" s="33" t="s">
        <v>316</v>
      </c>
      <c r="C390" s="33" t="s">
        <v>309</v>
      </c>
      <c r="D390" s="33"/>
      <c r="E390" s="33" t="n">
        <v>124</v>
      </c>
      <c r="F390" s="33" t="s">
        <v>2151</v>
      </c>
      <c r="G390" s="33" t="s">
        <v>108</v>
      </c>
      <c r="H390" s="33" t="n">
        <v>1</v>
      </c>
      <c r="I390" s="33" t="n">
        <v>1</v>
      </c>
      <c r="J390" s="33" t="n">
        <v>1</v>
      </c>
      <c r="K390" s="32" t="n">
        <v>75</v>
      </c>
      <c r="L390" s="33" t="str">
        <f aca="false">IF($B390="","",IFERROR(INDEX('Code Mapping'!$D$5:$D$1753,MATCH($B390,'Code Mapping'!$A$5:$A$1753,0)),"Unmapped"))</f>
        <v>Internal / promotion</v>
      </c>
      <c r="M390" s="33" t="str">
        <f aca="false">IF($B390="","",IFERROR(INDEX('Code Mapping'!$E$5:$E$1753,MATCH($B390,'Code Mapping'!$A$5:$A$1753,0)),"Unmapped"))</f>
        <v>Internal / promotion</v>
      </c>
      <c r="N390" s="33" t="str">
        <f aca="false">IF($F390="","",$F390)</f>
        <v>INFLATARUN FOOTBALL MADNESS 2025</v>
      </c>
    </row>
    <row r="391" customFormat="false" ht="15" hidden="false" customHeight="false" outlineLevel="0" collapsed="false">
      <c r="A391" s="33" t="n">
        <v>6897</v>
      </c>
      <c r="B391" s="33" t="s">
        <v>315</v>
      </c>
      <c r="C391" s="33" t="s">
        <v>309</v>
      </c>
      <c r="D391" s="33"/>
      <c r="E391" s="33" t="n">
        <v>124</v>
      </c>
      <c r="F391" s="33" t="s">
        <v>2151</v>
      </c>
      <c r="G391" s="33" t="s">
        <v>108</v>
      </c>
      <c r="H391" s="33" t="n">
        <v>1</v>
      </c>
      <c r="I391" s="33" t="n">
        <v>1</v>
      </c>
      <c r="J391" s="33" t="n">
        <v>1</v>
      </c>
      <c r="K391" s="32" t="n">
        <v>75</v>
      </c>
      <c r="L391" s="33" t="str">
        <f aca="false">IF($B391="","",IFERROR(INDEX('Code Mapping'!$D$5:$D$1753,MATCH($B391,'Code Mapping'!$A$5:$A$1753,0)),"Unmapped"))</f>
        <v>Internal / promotion</v>
      </c>
      <c r="M391" s="33" t="str">
        <f aca="false">IF($B391="","",IFERROR(INDEX('Code Mapping'!$E$5:$E$1753,MATCH($B391,'Code Mapping'!$A$5:$A$1753,0)),"Unmapped"))</f>
        <v>Internal / promotion</v>
      </c>
      <c r="N391" s="33" t="str">
        <f aca="false">IF($F391="","",$F391)</f>
        <v>INFLATARUN FOOTBALL MADNESS 2025</v>
      </c>
    </row>
    <row r="392" customFormat="false" ht="15" hidden="false" customHeight="false" outlineLevel="0" collapsed="false">
      <c r="A392" s="33" t="n">
        <v>6928</v>
      </c>
      <c r="B392" s="33" t="s">
        <v>314</v>
      </c>
      <c r="C392" s="33" t="s">
        <v>309</v>
      </c>
      <c r="D392" s="33"/>
      <c r="E392" s="33" t="n">
        <v>124</v>
      </c>
      <c r="F392" s="33" t="s">
        <v>2151</v>
      </c>
      <c r="G392" s="33" t="s">
        <v>108</v>
      </c>
      <c r="H392" s="33" t="n">
        <v>1</v>
      </c>
      <c r="I392" s="33" t="n">
        <v>1</v>
      </c>
      <c r="J392" s="33" t="n">
        <v>1</v>
      </c>
      <c r="K392" s="32" t="n">
        <v>75</v>
      </c>
      <c r="L392" s="33" t="str">
        <f aca="false">IF($B392="","",IFERROR(INDEX('Code Mapping'!$D$5:$D$1753,MATCH($B392,'Code Mapping'!$A$5:$A$1753,0)),"Unmapped"))</f>
        <v>Internal / promotion</v>
      </c>
      <c r="M392" s="33" t="str">
        <f aca="false">IF($B392="","",IFERROR(INDEX('Code Mapping'!$E$5:$E$1753,MATCH($B392,'Code Mapping'!$A$5:$A$1753,0)),"Unmapped"))</f>
        <v>Internal / promotion</v>
      </c>
      <c r="N392" s="33" t="str">
        <f aca="false">IF($F392="","",$F392)</f>
        <v>INFLATARUN FOOTBALL MADNESS 2025</v>
      </c>
    </row>
    <row r="393" customFormat="false" ht="15" hidden="false" customHeight="false" outlineLevel="0" collapsed="false">
      <c r="A393" s="33" t="n">
        <v>6942</v>
      </c>
      <c r="B393" s="33" t="s">
        <v>313</v>
      </c>
      <c r="C393" s="33" t="s">
        <v>309</v>
      </c>
      <c r="D393" s="33"/>
      <c r="E393" s="33" t="n">
        <v>124</v>
      </c>
      <c r="F393" s="33" t="s">
        <v>2151</v>
      </c>
      <c r="G393" s="33" t="s">
        <v>108</v>
      </c>
      <c r="H393" s="33" t="n">
        <v>1</v>
      </c>
      <c r="I393" s="33" t="n">
        <v>1</v>
      </c>
      <c r="J393" s="33" t="n">
        <v>1</v>
      </c>
      <c r="K393" s="32" t="n">
        <v>75</v>
      </c>
      <c r="L393" s="33" t="str">
        <f aca="false">IF($B393="","",IFERROR(INDEX('Code Mapping'!$D$5:$D$1753,MATCH($B393,'Code Mapping'!$A$5:$A$1753,0)),"Unmapped"))</f>
        <v>Internal / promotion</v>
      </c>
      <c r="M393" s="33" t="str">
        <f aca="false">IF($B393="","",IFERROR(INDEX('Code Mapping'!$E$5:$E$1753,MATCH($B393,'Code Mapping'!$A$5:$A$1753,0)),"Unmapped"))</f>
        <v>Internal / promotion</v>
      </c>
      <c r="N393" s="33" t="str">
        <f aca="false">IF($F393="","",$F393)</f>
        <v>INFLATARUN FOOTBALL MADNESS 2025</v>
      </c>
    </row>
    <row r="394" customFormat="false" ht="15" hidden="false" customHeight="false" outlineLevel="0" collapsed="false">
      <c r="A394" s="33" t="n">
        <v>6882</v>
      </c>
      <c r="B394" s="33" t="s">
        <v>312</v>
      </c>
      <c r="C394" s="33" t="s">
        <v>309</v>
      </c>
      <c r="D394" s="33"/>
      <c r="E394" s="33" t="n">
        <v>124</v>
      </c>
      <c r="F394" s="33" t="s">
        <v>2151</v>
      </c>
      <c r="G394" s="33" t="s">
        <v>108</v>
      </c>
      <c r="H394" s="33" t="n">
        <v>1</v>
      </c>
      <c r="I394" s="33" t="n">
        <v>1</v>
      </c>
      <c r="J394" s="33" t="n">
        <v>1</v>
      </c>
      <c r="K394" s="32" t="n">
        <v>75</v>
      </c>
      <c r="L394" s="33" t="str">
        <f aca="false">IF($B394="","",IFERROR(INDEX('Code Mapping'!$D$5:$D$1753,MATCH($B394,'Code Mapping'!$A$5:$A$1753,0)),"Unmapped"))</f>
        <v>Internal / promotion</v>
      </c>
      <c r="M394" s="33" t="str">
        <f aca="false">IF($B394="","",IFERROR(INDEX('Code Mapping'!$E$5:$E$1753,MATCH($B394,'Code Mapping'!$A$5:$A$1753,0)),"Unmapped"))</f>
        <v>Internal / promotion</v>
      </c>
      <c r="N394" s="33" t="str">
        <f aca="false">IF($F394="","",$F394)</f>
        <v>INFLATARUN FOOTBALL MADNESS 2025</v>
      </c>
    </row>
    <row r="395" customFormat="false" ht="15" hidden="false" customHeight="false" outlineLevel="0" collapsed="false">
      <c r="A395" s="33" t="n">
        <v>7823</v>
      </c>
      <c r="B395" s="33" t="s">
        <v>311</v>
      </c>
      <c r="C395" s="33" t="s">
        <v>309</v>
      </c>
      <c r="D395" s="33"/>
      <c r="E395" s="33" t="n">
        <v>124</v>
      </c>
      <c r="F395" s="33" t="s">
        <v>2151</v>
      </c>
      <c r="G395" s="33" t="s">
        <v>108</v>
      </c>
      <c r="H395" s="33" t="n">
        <v>1</v>
      </c>
      <c r="I395" s="33" t="n">
        <v>1</v>
      </c>
      <c r="J395" s="33" t="n">
        <v>1</v>
      </c>
      <c r="K395" s="32" t="n">
        <v>1000</v>
      </c>
      <c r="L395" s="33" t="str">
        <f aca="false">IF($B395="","",IFERROR(INDEX('Code Mapping'!$D$5:$D$1753,MATCH($B395,'Code Mapping'!$A$5:$A$1753,0)),"Unmapped"))</f>
        <v>Internal / promotion</v>
      </c>
      <c r="M395" s="33" t="str">
        <f aca="false">IF($B395="","",IFERROR(INDEX('Code Mapping'!$E$5:$E$1753,MATCH($B395,'Code Mapping'!$A$5:$A$1753,0)),"Unmapped"))</f>
        <v>Internal / promotion</v>
      </c>
      <c r="N395" s="33" t="str">
        <f aca="false">IF($F395="","",$F395)</f>
        <v>INFLATARUN FOOTBALL MADNESS 2025</v>
      </c>
    </row>
    <row r="396" customFormat="false" ht="15" hidden="false" customHeight="false" outlineLevel="0" collapsed="false">
      <c r="A396" s="33" t="n">
        <v>6921</v>
      </c>
      <c r="B396" s="33" t="s">
        <v>308</v>
      </c>
      <c r="C396" s="33" t="s">
        <v>309</v>
      </c>
      <c r="D396" s="33"/>
      <c r="E396" s="33" t="n">
        <v>124</v>
      </c>
      <c r="F396" s="33" t="s">
        <v>2151</v>
      </c>
      <c r="G396" s="33" t="s">
        <v>108</v>
      </c>
      <c r="H396" s="33" t="n">
        <v>1</v>
      </c>
      <c r="I396" s="33" t="n">
        <v>1</v>
      </c>
      <c r="J396" s="33" t="n">
        <v>1</v>
      </c>
      <c r="K396" s="32" t="n">
        <v>75</v>
      </c>
      <c r="L396" s="33" t="str">
        <f aca="false">IF($B396="","",IFERROR(INDEX('Code Mapping'!$D$5:$D$1753,MATCH($B396,'Code Mapping'!$A$5:$A$1753,0)),"Unmapped"))</f>
        <v>Internal / promotion</v>
      </c>
      <c r="M396" s="33" t="str">
        <f aca="false">IF($B396="","",IFERROR(INDEX('Code Mapping'!$E$5:$E$1753,MATCH($B396,'Code Mapping'!$A$5:$A$1753,0)),"Unmapped"))</f>
        <v>Internal / promotion</v>
      </c>
      <c r="N396" s="33" t="str">
        <f aca="false">IF($F396="","",$F396)</f>
        <v>INFLATARUN FOOTBALL MADNESS 2025</v>
      </c>
    </row>
    <row r="397" customFormat="false" ht="15" hidden="false" customHeight="false" outlineLevel="0" collapsed="false">
      <c r="A397" s="33" t="n">
        <v>6885</v>
      </c>
      <c r="B397" s="33" t="s">
        <v>325</v>
      </c>
      <c r="C397" s="33" t="s">
        <v>309</v>
      </c>
      <c r="D397" s="33"/>
      <c r="E397" s="33" t="n">
        <v>124</v>
      </c>
      <c r="F397" s="33" t="s">
        <v>2151</v>
      </c>
      <c r="G397" s="33" t="s">
        <v>108</v>
      </c>
      <c r="H397" s="33" t="n">
        <v>1</v>
      </c>
      <c r="I397" s="33" t="n">
        <v>1</v>
      </c>
      <c r="J397" s="33" t="n">
        <v>1</v>
      </c>
      <c r="K397" s="32" t="n">
        <v>75</v>
      </c>
      <c r="L397" s="33" t="str">
        <f aca="false">IF($B397="","",IFERROR(INDEX('Code Mapping'!$D$5:$D$1753,MATCH($B397,'Code Mapping'!$A$5:$A$1753,0)),"Unmapped"))</f>
        <v>Internal / promotion</v>
      </c>
      <c r="M397" s="33" t="str">
        <f aca="false">IF($B397="","",IFERROR(INDEX('Code Mapping'!$E$5:$E$1753,MATCH($B397,'Code Mapping'!$A$5:$A$1753,0)),"Unmapped"))</f>
        <v>Internal / promotion</v>
      </c>
      <c r="N397" s="33" t="str">
        <f aca="false">IF($F397="","",$F397)</f>
        <v>INFLATARUN FOOTBALL MADNESS 2025</v>
      </c>
    </row>
    <row r="398" customFormat="false" ht="15" hidden="false" customHeight="false" outlineLevel="0" collapsed="false">
      <c r="A398" s="33" t="n">
        <v>6805</v>
      </c>
      <c r="B398" s="33" t="s">
        <v>229</v>
      </c>
      <c r="C398" s="33" t="s">
        <v>230</v>
      </c>
      <c r="D398" s="33"/>
      <c r="E398" s="33" t="n">
        <v>91</v>
      </c>
      <c r="F398" s="33" t="s">
        <v>36</v>
      </c>
      <c r="G398" s="33" t="s">
        <v>108</v>
      </c>
      <c r="H398" s="33" t="n">
        <v>3</v>
      </c>
      <c r="I398" s="33" t="n">
        <v>6</v>
      </c>
      <c r="J398" s="33" t="n">
        <v>6</v>
      </c>
      <c r="K398" s="32" t="n">
        <v>92.25</v>
      </c>
      <c r="L398" s="33" t="str">
        <f aca="false">IF($B398="","",IFERROR(INDEX('Code Mapping'!$D$5:$D$1753,MATCH($B398,'Code Mapping'!$A$5:$A$1753,0)),"Unmapped"))</f>
        <v>HMC (not on master)</v>
      </c>
      <c r="M398" s="33" t="str">
        <f aca="false">IF($B398="","",IFERROR(INDEX('Code Mapping'!$E$5:$E$1753,MATCH($B398,'Code Mapping'!$A$5:$A$1753,0)),"Unmapped"))</f>
        <v>Not on master</v>
      </c>
      <c r="N398" s="33" t="str">
        <f aca="false">IF($F398="","",$F398)</f>
        <v>InflataPark</v>
      </c>
    </row>
    <row r="399" customFormat="false" ht="15" hidden="false" customHeight="false" outlineLevel="0" collapsed="false">
      <c r="A399" s="33" t="n">
        <v>6813</v>
      </c>
      <c r="B399" s="33" t="s">
        <v>270</v>
      </c>
      <c r="C399" s="33" t="s">
        <v>271</v>
      </c>
      <c r="D399" s="33"/>
      <c r="E399" s="33" t="n">
        <v>94</v>
      </c>
      <c r="F399" s="33" t="s">
        <v>37</v>
      </c>
      <c r="G399" s="33" t="s">
        <v>108</v>
      </c>
      <c r="H399" s="33" t="n">
        <v>2</v>
      </c>
      <c r="I399" s="33" t="n">
        <v>2</v>
      </c>
      <c r="J399" s="33" t="n">
        <v>2</v>
      </c>
      <c r="K399" s="32" t="n">
        <v>67.5</v>
      </c>
      <c r="L399" s="33" t="str">
        <f aca="false">IF($B399="","",IFERROR(INDEX('Code Mapping'!$D$5:$D$1753,MATCH($B399,'Code Mapping'!$A$5:$A$1753,0)),"Unmapped"))</f>
        <v>HMC (not on master)</v>
      </c>
      <c r="M399" s="33" t="str">
        <f aca="false">IF($B399="","",IFERROR(INDEX('Code Mapping'!$E$5:$E$1753,MATCH($B399,'Code Mapping'!$A$5:$A$1753,0)),"Unmapped"))</f>
        <v>Not on master</v>
      </c>
      <c r="N399" s="33" t="str">
        <f aca="false">IF($F399="","",$F399)</f>
        <v>Kids City Driving School</v>
      </c>
    </row>
    <row r="400" customFormat="false" ht="15" hidden="false" customHeight="false" outlineLevel="0" collapsed="false">
      <c r="A400" s="33" t="n">
        <v>7949</v>
      </c>
      <c r="B400" s="33" t="s">
        <v>294</v>
      </c>
      <c r="C400" s="33" t="s">
        <v>295</v>
      </c>
      <c r="D400" s="33"/>
      <c r="E400" s="33" t="n">
        <v>124</v>
      </c>
      <c r="F400" s="33" t="s">
        <v>2151</v>
      </c>
      <c r="G400" s="33" t="s">
        <v>108</v>
      </c>
      <c r="H400" s="33" t="n">
        <v>2</v>
      </c>
      <c r="I400" s="33" t="n">
        <v>4</v>
      </c>
      <c r="J400" s="33" t="n">
        <v>4</v>
      </c>
      <c r="K400" s="32" t="n">
        <v>75</v>
      </c>
      <c r="L400" s="33" t="str">
        <f aca="false">IF($B400="","",IFERROR(INDEX('Code Mapping'!$D$5:$D$1753,MATCH($B400,'Code Mapping'!$A$5:$A$1753,0)),"Unmapped"))</f>
        <v>Unmapped</v>
      </c>
      <c r="M400" s="33" t="str">
        <f aca="false">IF($B400="","",IFERROR(INDEX('Code Mapping'!$E$5:$E$1753,MATCH($B400,'Code Mapping'!$A$5:$A$1753,0)),"Unmapped"))</f>
        <v>Unmapped</v>
      </c>
      <c r="N400" s="33" t="str">
        <f aca="false">IF($F400="","",$F400)</f>
        <v>INFLATARUN FOOTBALL MADNESS 2025</v>
      </c>
    </row>
    <row r="401" customFormat="false" ht="15" hidden="false" customHeight="false" outlineLevel="0" collapsed="false">
      <c r="A401" s="33" t="n">
        <v>6793</v>
      </c>
      <c r="B401" s="33" t="s">
        <v>197</v>
      </c>
      <c r="C401" s="33" t="s">
        <v>198</v>
      </c>
      <c r="D401" s="33"/>
      <c r="E401" s="33" t="n">
        <v>94</v>
      </c>
      <c r="F401" s="33" t="s">
        <v>37</v>
      </c>
      <c r="G401" s="33" t="s">
        <v>108</v>
      </c>
      <c r="H401" s="33" t="n">
        <v>8</v>
      </c>
      <c r="I401" s="33" t="n">
        <v>8</v>
      </c>
      <c r="J401" s="33" t="n">
        <v>8</v>
      </c>
      <c r="K401" s="32" t="n">
        <v>1825</v>
      </c>
      <c r="L401" s="33" t="str">
        <f aca="false">IF($B401="","",IFERROR(INDEX('Code Mapping'!$D$5:$D$1753,MATCH($B401,'Code Mapping'!$A$5:$A$1753,0)),"Unmapped"))</f>
        <v>Entertainer</v>
      </c>
      <c r="M401" s="33" t="str">
        <f aca="false">IF($B401="","",IFERROR(INDEX('Code Mapping'!$E$5:$E$1753,MATCH($B401,'Code Mapping'!$A$5:$A$1753,0)),"Unmapped"))</f>
        <v>Aggregator BOGO</v>
      </c>
      <c r="N401" s="33" t="str">
        <f aca="false">IF($F401="","",$F401)</f>
        <v>Kids City Driving School</v>
      </c>
    </row>
    <row r="402" customFormat="false" ht="15" hidden="false" customHeight="false" outlineLevel="0" collapsed="false">
      <c r="A402" s="33" t="n">
        <v>6796</v>
      </c>
      <c r="B402" s="33" t="s">
        <v>162</v>
      </c>
      <c r="C402" s="33" t="s">
        <v>163</v>
      </c>
      <c r="D402" s="33"/>
      <c r="E402" s="33" t="n">
        <v>91</v>
      </c>
      <c r="F402" s="33" t="s">
        <v>36</v>
      </c>
      <c r="G402" s="33" t="s">
        <v>108</v>
      </c>
      <c r="H402" s="33" t="n">
        <v>37</v>
      </c>
      <c r="I402" s="33" t="n">
        <v>37</v>
      </c>
      <c r="J402" s="33" t="n">
        <v>37</v>
      </c>
      <c r="K402" s="32" t="n">
        <v>6370</v>
      </c>
      <c r="L402" s="33" t="str">
        <f aca="false">IF($B402="","",IFERROR(INDEX('Code Mapping'!$D$5:$D$1753,MATCH($B402,'Code Mapping'!$A$5:$A$1753,0)),"Unmapped"))</f>
        <v>Entertainer</v>
      </c>
      <c r="M402" s="33" t="str">
        <f aca="false">IF($B402="","",IFERROR(INDEX('Code Mapping'!$E$5:$E$1753,MATCH($B402,'Code Mapping'!$A$5:$A$1753,0)),"Unmapped"))</f>
        <v>Aggregator BOGO</v>
      </c>
      <c r="N402" s="33" t="str">
        <f aca="false">IF($F402="","",$F402)</f>
        <v>InflataPark</v>
      </c>
    </row>
    <row r="403" customFormat="false" ht="15" hidden="false" customHeight="false" outlineLevel="0" collapsed="false">
      <c r="A403" s="33" t="n">
        <v>7954</v>
      </c>
      <c r="B403" s="33" t="s">
        <v>237</v>
      </c>
      <c r="C403" s="33" t="s">
        <v>198</v>
      </c>
      <c r="D403" s="33"/>
      <c r="E403" s="33" t="n">
        <v>94</v>
      </c>
      <c r="F403" s="33" t="s">
        <v>37</v>
      </c>
      <c r="G403" s="33" t="s">
        <v>108</v>
      </c>
      <c r="H403" s="33" t="n">
        <v>3</v>
      </c>
      <c r="I403" s="33" t="n">
        <v>3</v>
      </c>
      <c r="J403" s="33" t="n">
        <v>3</v>
      </c>
      <c r="K403" s="32" t="n">
        <v>675</v>
      </c>
      <c r="L403" s="33" t="str">
        <f aca="false">IF($B403="","",IFERROR(INDEX('Code Mapping'!$D$5:$D$1753,MATCH($B403,'Code Mapping'!$A$5:$A$1753,0)),"Unmapped"))</f>
        <v>Entertainer</v>
      </c>
      <c r="M403" s="33" t="str">
        <f aca="false">IF($B403="","",IFERROR(INDEX('Code Mapping'!$E$5:$E$1753,MATCH($B403,'Code Mapping'!$A$5:$A$1753,0)),"Unmapped"))</f>
        <v>Aggregator BOGO</v>
      </c>
      <c r="N403" s="33" t="str">
        <f aca="false">IF($F403="","",$F403)</f>
        <v>Kids City Driving School</v>
      </c>
    </row>
    <row r="404" customFormat="false" ht="15" hidden="false" customHeight="false" outlineLevel="0" collapsed="false">
      <c r="A404" s="33" t="n">
        <v>5557</v>
      </c>
      <c r="B404" s="33" t="s">
        <v>181</v>
      </c>
      <c r="C404" s="33"/>
      <c r="D404" s="33"/>
      <c r="E404" s="33" t="n">
        <v>61</v>
      </c>
      <c r="F404" s="33" t="s">
        <v>38</v>
      </c>
      <c r="G404" s="33" t="s">
        <v>108</v>
      </c>
      <c r="H404" s="33" t="n">
        <v>14</v>
      </c>
      <c r="I404" s="33" t="n">
        <v>14</v>
      </c>
      <c r="J404" s="33" t="n">
        <v>14</v>
      </c>
      <c r="K404" s="32" t="n">
        <v>1400</v>
      </c>
      <c r="L404" s="33" t="str">
        <f aca="false">IF($B404="","",IFERROR(INDEX('Code Mapping'!$D$5:$D$1753,MATCH($B404,'Code Mapping'!$A$5:$A$1753,0)),"Unmapped"))</f>
        <v>Entertainer</v>
      </c>
      <c r="M404" s="33" t="str">
        <f aca="false">IF($B404="","",IFERROR(INDEX('Code Mapping'!$E$5:$E$1753,MATCH($B404,'Code Mapping'!$A$5:$A$1753,0)),"Unmapped"))</f>
        <v>Aggregator BOGO</v>
      </c>
      <c r="N404" s="33" t="str">
        <f aca="false">IF($F404="","",$F404)</f>
        <v>Crayons &amp; Bricks Vendome</v>
      </c>
    </row>
    <row r="405" customFormat="false" ht="15" hidden="false" customHeight="false" outlineLevel="0" collapsed="false">
      <c r="A405" s="33" t="n">
        <v>5484</v>
      </c>
      <c r="B405" s="33" t="s">
        <v>205</v>
      </c>
      <c r="C405" s="33" t="s">
        <v>206</v>
      </c>
      <c r="D405" s="33"/>
      <c r="E405" s="33" t="n">
        <v>91</v>
      </c>
      <c r="F405" s="33" t="s">
        <v>36</v>
      </c>
      <c r="G405" s="33" t="s">
        <v>108</v>
      </c>
      <c r="H405" s="33" t="n">
        <v>4</v>
      </c>
      <c r="I405" s="33" t="n">
        <v>11</v>
      </c>
      <c r="J405" s="33" t="n">
        <v>11</v>
      </c>
      <c r="K405" s="32" t="n">
        <v>273</v>
      </c>
      <c r="L405" s="33" t="str">
        <f aca="false">IF($B405="","",IFERROR(INDEX('Code Mapping'!$D$5:$D$1753,MATCH($B405,'Code Mapping'!$A$5:$A$1753,0)),"Unmapped"))</f>
        <v>Internal / promotion</v>
      </c>
      <c r="M405" s="33" t="str">
        <f aca="false">IF($B405="","",IFERROR(INDEX('Code Mapping'!$E$5:$E$1753,MATCH($B405,'Code Mapping'!$A$5:$A$1753,0)),"Unmapped"))</f>
        <v>Internal / promotion</v>
      </c>
      <c r="N405" s="33" t="str">
        <f aca="false">IF($F405="","",$F405)</f>
        <v>InflataPark</v>
      </c>
    </row>
    <row r="406" customFormat="false" ht="15" hidden="false" customHeight="false" outlineLevel="0" collapsed="false">
      <c r="A406" s="33" t="n">
        <v>7946</v>
      </c>
      <c r="B406" s="33" t="s">
        <v>215</v>
      </c>
      <c r="C406" s="33" t="s">
        <v>216</v>
      </c>
      <c r="D406" s="33"/>
      <c r="E406" s="33" t="n">
        <v>124</v>
      </c>
      <c r="F406" s="33" t="s">
        <v>2151</v>
      </c>
      <c r="G406" s="33" t="s">
        <v>108</v>
      </c>
      <c r="H406" s="33" t="n">
        <v>26</v>
      </c>
      <c r="I406" s="33" t="n">
        <v>39</v>
      </c>
      <c r="J406" s="33" t="n">
        <v>39</v>
      </c>
      <c r="K406" s="32" t="n">
        <v>292.5</v>
      </c>
      <c r="L406" s="33" t="str">
        <f aca="false">IF($B406="","",IFERROR(INDEX('Code Mapping'!$D$5:$D$1753,MATCH($B406,'Code Mapping'!$A$5:$A$1753,0)),"Unmapped"))</f>
        <v>Internal / promotion</v>
      </c>
      <c r="M406" s="33" t="str">
        <f aca="false">IF($B406="","",IFERROR(INDEX('Code Mapping'!$E$5:$E$1753,MATCH($B406,'Code Mapping'!$A$5:$A$1753,0)),"Unmapped"))</f>
        <v>Internal / promotion</v>
      </c>
      <c r="N406" s="33" t="str">
        <f aca="false">IF($F406="","",$F406)</f>
        <v>INFLATARUN FOOTBALL MADNESS 2025</v>
      </c>
    </row>
    <row r="407" customFormat="false" ht="15" hidden="false" customHeight="false" outlineLevel="0" collapsed="false">
      <c r="A407" s="33" t="n">
        <v>6795</v>
      </c>
      <c r="B407" s="33" t="s">
        <v>196</v>
      </c>
      <c r="C407" s="33" t="s">
        <v>185</v>
      </c>
      <c r="D407" s="33"/>
      <c r="E407" s="33" t="n">
        <v>94</v>
      </c>
      <c r="F407" s="33" t="s">
        <v>37</v>
      </c>
      <c r="G407" s="33" t="s">
        <v>108</v>
      </c>
      <c r="H407" s="33" t="n">
        <v>11</v>
      </c>
      <c r="I407" s="33" t="n">
        <v>11</v>
      </c>
      <c r="J407" s="33" t="n">
        <v>11</v>
      </c>
      <c r="K407" s="32" t="n">
        <v>2475</v>
      </c>
      <c r="L407" s="33" t="str">
        <f aca="false">IF($B407="","",IFERROR(INDEX('Code Mapping'!$D$5:$D$1753,MATCH($B407,'Code Mapping'!$A$5:$A$1753,0)),"Unmapped"))</f>
        <v>My Book</v>
      </c>
      <c r="M407" s="33" t="str">
        <f aca="false">IF($B407="","",IFERROR(INDEX('Code Mapping'!$E$5:$E$1753,MATCH($B407,'Code Mapping'!$A$5:$A$1753,0)),"Unmapped"))</f>
        <v>Aggregator BOGO</v>
      </c>
      <c r="N407" s="33" t="str">
        <f aca="false">IF($F407="","",$F407)</f>
        <v>Kids City Driving School</v>
      </c>
    </row>
    <row r="408" customFormat="false" ht="15" hidden="false" customHeight="false" outlineLevel="0" collapsed="false">
      <c r="A408" s="33" t="n">
        <v>7952</v>
      </c>
      <c r="B408" s="33" t="s">
        <v>184</v>
      </c>
      <c r="C408" s="33" t="s">
        <v>185</v>
      </c>
      <c r="D408" s="33"/>
      <c r="E408" s="33" t="n">
        <v>94</v>
      </c>
      <c r="F408" s="33" t="s">
        <v>37</v>
      </c>
      <c r="G408" s="33" t="s">
        <v>108</v>
      </c>
      <c r="H408" s="33" t="n">
        <v>14</v>
      </c>
      <c r="I408" s="33" t="n">
        <v>14</v>
      </c>
      <c r="J408" s="33" t="n">
        <v>14</v>
      </c>
      <c r="K408" s="32" t="n">
        <v>3175</v>
      </c>
      <c r="L408" s="33" t="str">
        <f aca="false">IF($B408="","",IFERROR(INDEX('Code Mapping'!$D$5:$D$1753,MATCH($B408,'Code Mapping'!$A$5:$A$1753,0)),"Unmapped"))</f>
        <v>My Book</v>
      </c>
      <c r="M408" s="33" t="str">
        <f aca="false">IF($B408="","",IFERROR(INDEX('Code Mapping'!$E$5:$E$1753,MATCH($B408,'Code Mapping'!$A$5:$A$1753,0)),"Unmapped"))</f>
        <v>Aggregator BOGO</v>
      </c>
      <c r="N408" s="33" t="str">
        <f aca="false">IF($F408="","",$F408)</f>
        <v>Kids City Driving School</v>
      </c>
    </row>
    <row r="409" customFormat="false" ht="15" hidden="false" customHeight="false" outlineLevel="0" collapsed="false">
      <c r="A409" s="33" t="n">
        <v>6799</v>
      </c>
      <c r="B409" s="33" t="s">
        <v>256</v>
      </c>
      <c r="C409" s="33" t="s">
        <v>257</v>
      </c>
      <c r="D409" s="33"/>
      <c r="E409" s="33" t="n">
        <v>91</v>
      </c>
      <c r="F409" s="33" t="s">
        <v>36</v>
      </c>
      <c r="G409" s="33" t="s">
        <v>108</v>
      </c>
      <c r="H409" s="33" t="n">
        <v>1</v>
      </c>
      <c r="I409" s="33" t="n">
        <v>1</v>
      </c>
      <c r="J409" s="33" t="n">
        <v>1</v>
      </c>
      <c r="K409" s="32" t="n">
        <v>19.5</v>
      </c>
      <c r="L409" s="33" t="str">
        <f aca="false">IF($B409="","",IFERROR(INDEX('Code Mapping'!$D$5:$D$1753,MATCH($B409,'Code Mapping'!$A$5:$A$1753,0)),"Unmapped"))</f>
        <v>Al Jazeera Imtiyazat</v>
      </c>
      <c r="M409" s="33" t="str">
        <f aca="false">IF($B409="","",IFERROR(INDEX('Code Mapping'!$E$5:$E$1753,MATCH($B409,'Code Mapping'!$A$5:$A$1753,0)),"Unmapped"))</f>
        <v>Corporate discount</v>
      </c>
      <c r="N409" s="33" t="str">
        <f aca="false">IF($F409="","",$F409)</f>
        <v>InflataPark</v>
      </c>
    </row>
    <row r="410" customFormat="false" ht="15" hidden="false" customHeight="false" outlineLevel="0" collapsed="false">
      <c r="A410" s="33" t="n">
        <v>6925</v>
      </c>
      <c r="B410" s="33" t="s">
        <v>324</v>
      </c>
      <c r="C410" s="33" t="s">
        <v>309</v>
      </c>
      <c r="D410" s="33"/>
      <c r="E410" s="33" t="n">
        <v>124</v>
      </c>
      <c r="F410" s="33" t="s">
        <v>2151</v>
      </c>
      <c r="G410" s="33" t="s">
        <v>108</v>
      </c>
      <c r="H410" s="33" t="n">
        <v>1</v>
      </c>
      <c r="I410" s="33" t="n">
        <v>1</v>
      </c>
      <c r="J410" s="33" t="n">
        <v>1</v>
      </c>
      <c r="K410" s="32" t="n">
        <v>75</v>
      </c>
      <c r="L410" s="33" t="str">
        <f aca="false">IF($B410="","",IFERROR(INDEX('Code Mapping'!$D$5:$D$1753,MATCH($B410,'Code Mapping'!$A$5:$A$1753,0)),"Unmapped"))</f>
        <v>Internal / promotion</v>
      </c>
      <c r="M410" s="33" t="str">
        <f aca="false">IF($B410="","",IFERROR(INDEX('Code Mapping'!$E$5:$E$1753,MATCH($B410,'Code Mapping'!$A$5:$A$1753,0)),"Unmapped"))</f>
        <v>Internal / promotion</v>
      </c>
      <c r="N410" s="33" t="str">
        <f aca="false">IF($F410="","",$F410)</f>
        <v>INFLATARUN FOOTBALL MADNESS 2025</v>
      </c>
    </row>
    <row r="411" customFormat="false" ht="15" hidden="false" customHeight="false" outlineLevel="0" collapsed="false">
      <c r="A411" s="33" t="n">
        <v>7883</v>
      </c>
      <c r="B411" s="33" t="s">
        <v>320</v>
      </c>
      <c r="C411" s="33" t="s">
        <v>309</v>
      </c>
      <c r="D411" s="33"/>
      <c r="E411" s="33" t="n">
        <v>124</v>
      </c>
      <c r="F411" s="33" t="s">
        <v>2151</v>
      </c>
      <c r="G411" s="33" t="s">
        <v>108</v>
      </c>
      <c r="H411" s="33" t="n">
        <v>1</v>
      </c>
      <c r="I411" s="33" t="n">
        <v>1</v>
      </c>
      <c r="J411" s="33" t="n">
        <v>1</v>
      </c>
      <c r="K411" s="32" t="n">
        <v>1000</v>
      </c>
      <c r="L411" s="33" t="str">
        <f aca="false">IF($B411="","",IFERROR(INDEX('Code Mapping'!$D$5:$D$1753,MATCH($B411,'Code Mapping'!$A$5:$A$1753,0)),"Unmapped"))</f>
        <v>Internal / promotion</v>
      </c>
      <c r="M411" s="33" t="str">
        <f aca="false">IF($B411="","",IFERROR(INDEX('Code Mapping'!$E$5:$E$1753,MATCH($B411,'Code Mapping'!$A$5:$A$1753,0)),"Unmapped"))</f>
        <v>Internal / promotion</v>
      </c>
      <c r="N411" s="33" t="str">
        <f aca="false">IF($F411="","",$F411)</f>
        <v>INFLATARUN FOOTBALL MADNESS 2025</v>
      </c>
    </row>
    <row r="412" customFormat="false" ht="15" hidden="false" customHeight="false" outlineLevel="0" collapsed="false">
      <c r="A412" s="33" t="n">
        <v>6926</v>
      </c>
      <c r="B412" s="33" t="s">
        <v>326</v>
      </c>
      <c r="C412" s="33" t="s">
        <v>309</v>
      </c>
      <c r="D412" s="33"/>
      <c r="E412" s="33" t="n">
        <v>124</v>
      </c>
      <c r="F412" s="33" t="s">
        <v>2151</v>
      </c>
      <c r="G412" s="33" t="s">
        <v>108</v>
      </c>
      <c r="H412" s="33" t="n">
        <v>1</v>
      </c>
      <c r="I412" s="33" t="n">
        <v>1</v>
      </c>
      <c r="J412" s="33" t="n">
        <v>1</v>
      </c>
      <c r="K412" s="32" t="n">
        <v>75</v>
      </c>
      <c r="L412" s="33" t="str">
        <f aca="false">IF($B412="","",IFERROR(INDEX('Code Mapping'!$D$5:$D$1753,MATCH($B412,'Code Mapping'!$A$5:$A$1753,0)),"Unmapped"))</f>
        <v>Internal / promotion</v>
      </c>
      <c r="M412" s="33" t="str">
        <f aca="false">IF($B412="","",IFERROR(INDEX('Code Mapping'!$E$5:$E$1753,MATCH($B412,'Code Mapping'!$A$5:$A$1753,0)),"Unmapped"))</f>
        <v>Internal / promotion</v>
      </c>
      <c r="N412" s="33" t="str">
        <f aca="false">IF($F412="","",$F412)</f>
        <v>INFLATARUN FOOTBALL MADNESS 2025</v>
      </c>
    </row>
    <row r="413" customFormat="false" ht="15" hidden="false" customHeight="false" outlineLevel="0" collapsed="false">
      <c r="A413" s="33" t="n">
        <v>7554</v>
      </c>
      <c r="B413" s="33" t="s">
        <v>341</v>
      </c>
      <c r="C413" s="33" t="s">
        <v>309</v>
      </c>
      <c r="D413" s="33"/>
      <c r="E413" s="33" t="n">
        <v>124</v>
      </c>
      <c r="F413" s="33" t="s">
        <v>2151</v>
      </c>
      <c r="G413" s="33" t="s">
        <v>108</v>
      </c>
      <c r="H413" s="33" t="n">
        <v>1</v>
      </c>
      <c r="I413" s="33" t="n">
        <v>1</v>
      </c>
      <c r="J413" s="33" t="n">
        <v>1</v>
      </c>
      <c r="K413" s="32" t="n">
        <v>300</v>
      </c>
      <c r="L413" s="33" t="str">
        <f aca="false">IF($B413="","",IFERROR(INDEX('Code Mapping'!$D$5:$D$1753,MATCH($B413,'Code Mapping'!$A$5:$A$1753,0)),"Unmapped"))</f>
        <v>Internal / promotion</v>
      </c>
      <c r="M413" s="33" t="str">
        <f aca="false">IF($B413="","",IFERROR(INDEX('Code Mapping'!$E$5:$E$1753,MATCH($B413,'Code Mapping'!$A$5:$A$1753,0)),"Unmapped"))</f>
        <v>Internal / promotion</v>
      </c>
      <c r="N413" s="33" t="str">
        <f aca="false">IF($F413="","",$F413)</f>
        <v>INFLATARUN FOOTBALL MADNESS 2025</v>
      </c>
    </row>
    <row r="414" customFormat="false" ht="15" hidden="false" customHeight="false" outlineLevel="0" collapsed="false">
      <c r="A414" s="33" t="n">
        <v>7861</v>
      </c>
      <c r="B414" s="33" t="s">
        <v>353</v>
      </c>
      <c r="C414" s="33" t="s">
        <v>309</v>
      </c>
      <c r="D414" s="33"/>
      <c r="E414" s="33" t="n">
        <v>124</v>
      </c>
      <c r="F414" s="33" t="s">
        <v>2151</v>
      </c>
      <c r="G414" s="33" t="s">
        <v>108</v>
      </c>
      <c r="H414" s="33" t="n">
        <v>1</v>
      </c>
      <c r="I414" s="33" t="n">
        <v>1</v>
      </c>
      <c r="J414" s="33" t="n">
        <v>1</v>
      </c>
      <c r="K414" s="32" t="n">
        <v>1000</v>
      </c>
      <c r="L414" s="33" t="str">
        <f aca="false">IF($B414="","",IFERROR(INDEX('Code Mapping'!$D$5:$D$1753,MATCH($B414,'Code Mapping'!$A$5:$A$1753,0)),"Unmapped"))</f>
        <v>Internal / promotion</v>
      </c>
      <c r="M414" s="33" t="str">
        <f aca="false">IF($B414="","",IFERROR(INDEX('Code Mapping'!$E$5:$E$1753,MATCH($B414,'Code Mapping'!$A$5:$A$1753,0)),"Unmapped"))</f>
        <v>Internal / promotion</v>
      </c>
      <c r="N414" s="33" t="str">
        <f aca="false">IF($F414="","",$F414)</f>
        <v>INFLATARUN FOOTBALL MADNESS 2025</v>
      </c>
    </row>
    <row r="415" customFormat="false" ht="15" hidden="false" customHeight="false" outlineLevel="0" collapsed="false">
      <c r="A415" s="33" t="n">
        <v>6868</v>
      </c>
      <c r="B415" s="33" t="s">
        <v>352</v>
      </c>
      <c r="C415" s="33" t="s">
        <v>309</v>
      </c>
      <c r="D415" s="33"/>
      <c r="E415" s="33" t="n">
        <v>124</v>
      </c>
      <c r="F415" s="33" t="s">
        <v>2151</v>
      </c>
      <c r="G415" s="33" t="s">
        <v>108</v>
      </c>
      <c r="H415" s="33" t="n">
        <v>1</v>
      </c>
      <c r="I415" s="33" t="n">
        <v>1</v>
      </c>
      <c r="J415" s="33" t="n">
        <v>1</v>
      </c>
      <c r="K415" s="32" t="n">
        <v>75</v>
      </c>
      <c r="L415" s="33" t="str">
        <f aca="false">IF($B415="","",IFERROR(INDEX('Code Mapping'!$D$5:$D$1753,MATCH($B415,'Code Mapping'!$A$5:$A$1753,0)),"Unmapped"))</f>
        <v>Internal / promotion</v>
      </c>
      <c r="M415" s="33" t="str">
        <f aca="false">IF($B415="","",IFERROR(INDEX('Code Mapping'!$E$5:$E$1753,MATCH($B415,'Code Mapping'!$A$5:$A$1753,0)),"Unmapped"))</f>
        <v>Internal / promotion</v>
      </c>
      <c r="N415" s="33" t="str">
        <f aca="false">IF($F415="","",$F415)</f>
        <v>INFLATARUN FOOTBALL MADNESS 2025</v>
      </c>
    </row>
    <row r="416" customFormat="false" ht="15" hidden="false" customHeight="false" outlineLevel="0" collapsed="false">
      <c r="A416" s="33" t="n">
        <v>6919</v>
      </c>
      <c r="B416" s="33" t="s">
        <v>351</v>
      </c>
      <c r="C416" s="33" t="s">
        <v>309</v>
      </c>
      <c r="D416" s="33"/>
      <c r="E416" s="33" t="n">
        <v>124</v>
      </c>
      <c r="F416" s="33" t="s">
        <v>2151</v>
      </c>
      <c r="G416" s="33" t="s">
        <v>108</v>
      </c>
      <c r="H416" s="33" t="n">
        <v>1</v>
      </c>
      <c r="I416" s="33" t="n">
        <v>1</v>
      </c>
      <c r="J416" s="33" t="n">
        <v>1</v>
      </c>
      <c r="K416" s="32" t="n">
        <v>75</v>
      </c>
      <c r="L416" s="33" t="str">
        <f aca="false">IF($B416="","",IFERROR(INDEX('Code Mapping'!$D$5:$D$1753,MATCH($B416,'Code Mapping'!$A$5:$A$1753,0)),"Unmapped"))</f>
        <v>Internal / promotion</v>
      </c>
      <c r="M416" s="33" t="str">
        <f aca="false">IF($B416="","",IFERROR(INDEX('Code Mapping'!$E$5:$E$1753,MATCH($B416,'Code Mapping'!$A$5:$A$1753,0)),"Unmapped"))</f>
        <v>Internal / promotion</v>
      </c>
      <c r="N416" s="33" t="str">
        <f aca="false">IF($F416="","",$F416)</f>
        <v>INFLATARUN FOOTBALL MADNESS 2025</v>
      </c>
    </row>
    <row r="417" customFormat="false" ht="15" hidden="false" customHeight="false" outlineLevel="0" collapsed="false">
      <c r="A417" s="33" t="n">
        <v>7860</v>
      </c>
      <c r="B417" s="33" t="s">
        <v>354</v>
      </c>
      <c r="C417" s="33" t="s">
        <v>309</v>
      </c>
      <c r="D417" s="33"/>
      <c r="E417" s="33" t="n">
        <v>124</v>
      </c>
      <c r="F417" s="33" t="s">
        <v>2151</v>
      </c>
      <c r="G417" s="33" t="s">
        <v>108</v>
      </c>
      <c r="H417" s="33" t="n">
        <v>1</v>
      </c>
      <c r="I417" s="33" t="n">
        <v>1</v>
      </c>
      <c r="J417" s="33" t="n">
        <v>1</v>
      </c>
      <c r="K417" s="32" t="n">
        <v>1000</v>
      </c>
      <c r="L417" s="33" t="str">
        <f aca="false">IF($B417="","",IFERROR(INDEX('Code Mapping'!$D$5:$D$1753,MATCH($B417,'Code Mapping'!$A$5:$A$1753,0)),"Unmapped"))</f>
        <v>Internal / promotion</v>
      </c>
      <c r="M417" s="33" t="str">
        <f aca="false">IF($B417="","",IFERROR(INDEX('Code Mapping'!$E$5:$E$1753,MATCH($B417,'Code Mapping'!$A$5:$A$1753,0)),"Unmapped"))</f>
        <v>Internal / promotion</v>
      </c>
      <c r="N417" s="33" t="str">
        <f aca="false">IF($F417="","",$F417)</f>
        <v>INFLATARUN FOOTBALL MADNESS 2025</v>
      </c>
    </row>
    <row r="418" customFormat="false" ht="15" hidden="false" customHeight="false" outlineLevel="0" collapsed="false">
      <c r="A418" s="33" t="n">
        <v>6879</v>
      </c>
      <c r="B418" s="33" t="s">
        <v>350</v>
      </c>
      <c r="C418" s="33" t="s">
        <v>309</v>
      </c>
      <c r="D418" s="33"/>
      <c r="E418" s="33" t="n">
        <v>124</v>
      </c>
      <c r="F418" s="33" t="s">
        <v>2151</v>
      </c>
      <c r="G418" s="33" t="s">
        <v>108</v>
      </c>
      <c r="H418" s="33" t="n">
        <v>1</v>
      </c>
      <c r="I418" s="33" t="n">
        <v>1</v>
      </c>
      <c r="J418" s="33" t="n">
        <v>1</v>
      </c>
      <c r="K418" s="32" t="n">
        <v>75</v>
      </c>
      <c r="L418" s="33" t="str">
        <f aca="false">IF($B418="","",IFERROR(INDEX('Code Mapping'!$D$5:$D$1753,MATCH($B418,'Code Mapping'!$A$5:$A$1753,0)),"Unmapped"))</f>
        <v>Internal / promotion</v>
      </c>
      <c r="M418" s="33" t="str">
        <f aca="false">IF($B418="","",IFERROR(INDEX('Code Mapping'!$E$5:$E$1753,MATCH($B418,'Code Mapping'!$A$5:$A$1753,0)),"Unmapped"))</f>
        <v>Internal / promotion</v>
      </c>
      <c r="N418" s="33" t="str">
        <f aca="false">IF($F418="","",$F418)</f>
        <v>INFLATARUN FOOTBALL MADNESS 2025</v>
      </c>
    </row>
    <row r="419" customFormat="false" ht="15" hidden="false" customHeight="false" outlineLevel="0" collapsed="false">
      <c r="A419" s="33" t="n">
        <v>7563</v>
      </c>
      <c r="B419" s="33" t="s">
        <v>349</v>
      </c>
      <c r="C419" s="33" t="s">
        <v>309</v>
      </c>
      <c r="D419" s="33"/>
      <c r="E419" s="33" t="n">
        <v>124</v>
      </c>
      <c r="F419" s="33" t="s">
        <v>2151</v>
      </c>
      <c r="G419" s="33" t="s">
        <v>108</v>
      </c>
      <c r="H419" s="33" t="n">
        <v>1</v>
      </c>
      <c r="I419" s="33" t="n">
        <v>1</v>
      </c>
      <c r="J419" s="33" t="n">
        <v>1</v>
      </c>
      <c r="K419" s="32" t="n">
        <v>300</v>
      </c>
      <c r="L419" s="33" t="str">
        <f aca="false">IF($B419="","",IFERROR(INDEX('Code Mapping'!$D$5:$D$1753,MATCH($B419,'Code Mapping'!$A$5:$A$1753,0)),"Unmapped"))</f>
        <v>Internal / promotion</v>
      </c>
      <c r="M419" s="33" t="str">
        <f aca="false">IF($B419="","",IFERROR(INDEX('Code Mapping'!$E$5:$E$1753,MATCH($B419,'Code Mapping'!$A$5:$A$1753,0)),"Unmapped"))</f>
        <v>Internal / promotion</v>
      </c>
      <c r="N419" s="33" t="str">
        <f aca="false">IF($F419="","",$F419)</f>
        <v>INFLATARUN FOOTBALL MADNESS 2025</v>
      </c>
    </row>
    <row r="420" customFormat="false" ht="15" hidden="false" customHeight="false" outlineLevel="0" collapsed="false">
      <c r="A420" s="33" t="n">
        <v>7845</v>
      </c>
      <c r="B420" s="33" t="s">
        <v>348</v>
      </c>
      <c r="C420" s="33" t="s">
        <v>309</v>
      </c>
      <c r="D420" s="33"/>
      <c r="E420" s="33" t="n">
        <v>124</v>
      </c>
      <c r="F420" s="33" t="s">
        <v>2151</v>
      </c>
      <c r="G420" s="33" t="s">
        <v>108</v>
      </c>
      <c r="H420" s="33" t="n">
        <v>1</v>
      </c>
      <c r="I420" s="33" t="n">
        <v>1</v>
      </c>
      <c r="J420" s="33" t="n">
        <v>1</v>
      </c>
      <c r="K420" s="32" t="n">
        <v>1000</v>
      </c>
      <c r="L420" s="33" t="str">
        <f aca="false">IF($B420="","",IFERROR(INDEX('Code Mapping'!$D$5:$D$1753,MATCH($B420,'Code Mapping'!$A$5:$A$1753,0)),"Unmapped"))</f>
        <v>Internal / promotion</v>
      </c>
      <c r="M420" s="33" t="str">
        <f aca="false">IF($B420="","",IFERROR(INDEX('Code Mapping'!$E$5:$E$1753,MATCH($B420,'Code Mapping'!$A$5:$A$1753,0)),"Unmapped"))</f>
        <v>Internal / promotion</v>
      </c>
      <c r="N420" s="33" t="str">
        <f aca="false">IF($F420="","",$F420)</f>
        <v>INFLATARUN FOOTBALL MADNESS 2025</v>
      </c>
    </row>
    <row r="421" customFormat="false" ht="15" hidden="false" customHeight="false" outlineLevel="0" collapsed="false">
      <c r="A421" s="33" t="n">
        <v>6939</v>
      </c>
      <c r="B421" s="33" t="s">
        <v>347</v>
      </c>
      <c r="C421" s="33" t="s">
        <v>309</v>
      </c>
      <c r="D421" s="33"/>
      <c r="E421" s="33" t="n">
        <v>124</v>
      </c>
      <c r="F421" s="33" t="s">
        <v>2151</v>
      </c>
      <c r="G421" s="33" t="s">
        <v>108</v>
      </c>
      <c r="H421" s="33" t="n">
        <v>1</v>
      </c>
      <c r="I421" s="33" t="n">
        <v>1</v>
      </c>
      <c r="J421" s="33" t="n">
        <v>1</v>
      </c>
      <c r="K421" s="32" t="n">
        <v>75</v>
      </c>
      <c r="L421" s="33" t="str">
        <f aca="false">IF($B421="","",IFERROR(INDEX('Code Mapping'!$D$5:$D$1753,MATCH($B421,'Code Mapping'!$A$5:$A$1753,0)),"Unmapped"))</f>
        <v>Internal / promotion</v>
      </c>
      <c r="M421" s="33" t="str">
        <f aca="false">IF($B421="","",IFERROR(INDEX('Code Mapping'!$E$5:$E$1753,MATCH($B421,'Code Mapping'!$A$5:$A$1753,0)),"Unmapped"))</f>
        <v>Internal / promotion</v>
      </c>
      <c r="N421" s="33" t="str">
        <f aca="false">IF($F421="","",$F421)</f>
        <v>INFLATARUN FOOTBALL MADNESS 2025</v>
      </c>
    </row>
    <row r="422" customFormat="false" ht="15" hidden="false" customHeight="false" outlineLevel="0" collapsed="false">
      <c r="A422" s="33" t="n">
        <v>6850</v>
      </c>
      <c r="B422" s="33" t="s">
        <v>327</v>
      </c>
      <c r="C422" s="33" t="s">
        <v>309</v>
      </c>
      <c r="D422" s="33"/>
      <c r="E422" s="33" t="n">
        <v>124</v>
      </c>
      <c r="F422" s="33" t="s">
        <v>2151</v>
      </c>
      <c r="G422" s="33" t="s">
        <v>108</v>
      </c>
      <c r="H422" s="33" t="n">
        <v>1</v>
      </c>
      <c r="I422" s="33" t="n">
        <v>1</v>
      </c>
      <c r="J422" s="33" t="n">
        <v>1</v>
      </c>
      <c r="K422" s="32" t="n">
        <v>75</v>
      </c>
      <c r="L422" s="33" t="str">
        <f aca="false">IF($B422="","",IFERROR(INDEX('Code Mapping'!$D$5:$D$1753,MATCH($B422,'Code Mapping'!$A$5:$A$1753,0)),"Unmapped"))</f>
        <v>Internal / promotion</v>
      </c>
      <c r="M422" s="33" t="str">
        <f aca="false">IF($B422="","",IFERROR(INDEX('Code Mapping'!$E$5:$E$1753,MATCH($B422,'Code Mapping'!$A$5:$A$1753,0)),"Unmapped"))</f>
        <v>Internal / promotion</v>
      </c>
      <c r="N422" s="33" t="str">
        <f aca="false">IF($F422="","",$F422)</f>
        <v>INFLATARUN FOOTBALL MADNESS 2025</v>
      </c>
    </row>
    <row r="423" customFormat="false" ht="15" hidden="false" customHeight="false" outlineLevel="0" collapsed="false">
      <c r="A423" s="33" t="n">
        <v>6918</v>
      </c>
      <c r="B423" s="33" t="s">
        <v>345</v>
      </c>
      <c r="C423" s="33" t="s">
        <v>309</v>
      </c>
      <c r="D423" s="33"/>
      <c r="E423" s="33" t="n">
        <v>124</v>
      </c>
      <c r="F423" s="33" t="s">
        <v>2151</v>
      </c>
      <c r="G423" s="33" t="s">
        <v>108</v>
      </c>
      <c r="H423" s="33" t="n">
        <v>1</v>
      </c>
      <c r="I423" s="33" t="n">
        <v>1</v>
      </c>
      <c r="J423" s="33" t="n">
        <v>1</v>
      </c>
      <c r="K423" s="32" t="n">
        <v>75</v>
      </c>
      <c r="L423" s="33" t="str">
        <f aca="false">IF($B423="","",IFERROR(INDEX('Code Mapping'!$D$5:$D$1753,MATCH($B423,'Code Mapping'!$A$5:$A$1753,0)),"Unmapped"))</f>
        <v>Internal / promotion</v>
      </c>
      <c r="M423" s="33" t="str">
        <f aca="false">IF($B423="","",IFERROR(INDEX('Code Mapping'!$E$5:$E$1753,MATCH($B423,'Code Mapping'!$A$5:$A$1753,0)),"Unmapped"))</f>
        <v>Internal / promotion</v>
      </c>
      <c r="N423" s="33" t="str">
        <f aca="false">IF($F423="","",$F423)</f>
        <v>INFLATARUN FOOTBALL MADNESS 2025</v>
      </c>
    </row>
    <row r="424" customFormat="false" ht="15" hidden="false" customHeight="false" outlineLevel="0" collapsed="false">
      <c r="A424" s="33" t="n">
        <v>7572</v>
      </c>
      <c r="B424" s="33" t="s">
        <v>344</v>
      </c>
      <c r="C424" s="33" t="s">
        <v>309</v>
      </c>
      <c r="D424" s="33"/>
      <c r="E424" s="33" t="n">
        <v>124</v>
      </c>
      <c r="F424" s="33" t="s">
        <v>2151</v>
      </c>
      <c r="G424" s="33" t="s">
        <v>108</v>
      </c>
      <c r="H424" s="33" t="n">
        <v>1</v>
      </c>
      <c r="I424" s="33" t="n">
        <v>1</v>
      </c>
      <c r="J424" s="33" t="n">
        <v>1</v>
      </c>
      <c r="K424" s="32" t="n">
        <v>300</v>
      </c>
      <c r="L424" s="33" t="str">
        <f aca="false">IF($B424="","",IFERROR(INDEX('Code Mapping'!$D$5:$D$1753,MATCH($B424,'Code Mapping'!$A$5:$A$1753,0)),"Unmapped"))</f>
        <v>Internal / promotion</v>
      </c>
      <c r="M424" s="33" t="str">
        <f aca="false">IF($B424="","",IFERROR(INDEX('Code Mapping'!$E$5:$E$1753,MATCH($B424,'Code Mapping'!$A$5:$A$1753,0)),"Unmapped"))</f>
        <v>Internal / promotion</v>
      </c>
      <c r="N424" s="33" t="str">
        <f aca="false">IF($F424="","",$F424)</f>
        <v>INFLATARUN FOOTBALL MADNESS 2025</v>
      </c>
    </row>
    <row r="425" customFormat="false" ht="15" hidden="false" customHeight="false" outlineLevel="0" collapsed="false">
      <c r="A425" s="33" t="n">
        <v>7880</v>
      </c>
      <c r="B425" s="33" t="s">
        <v>343</v>
      </c>
      <c r="C425" s="33" t="s">
        <v>309</v>
      </c>
      <c r="D425" s="33"/>
      <c r="E425" s="33" t="n">
        <v>124</v>
      </c>
      <c r="F425" s="33" t="s">
        <v>2151</v>
      </c>
      <c r="G425" s="33" t="s">
        <v>108</v>
      </c>
      <c r="H425" s="33" t="n">
        <v>1</v>
      </c>
      <c r="I425" s="33" t="n">
        <v>1</v>
      </c>
      <c r="J425" s="33" t="n">
        <v>1</v>
      </c>
      <c r="K425" s="32" t="n">
        <v>1000</v>
      </c>
      <c r="L425" s="33" t="str">
        <f aca="false">IF($B425="","",IFERROR(INDEX('Code Mapping'!$D$5:$D$1753,MATCH($B425,'Code Mapping'!$A$5:$A$1753,0)),"Unmapped"))</f>
        <v>Internal / promotion</v>
      </c>
      <c r="M425" s="33" t="str">
        <f aca="false">IF($B425="","",IFERROR(INDEX('Code Mapping'!$E$5:$E$1753,MATCH($B425,'Code Mapping'!$A$5:$A$1753,0)),"Unmapped"))</f>
        <v>Internal / promotion</v>
      </c>
      <c r="N425" s="33" t="str">
        <f aca="false">IF($F425="","",$F425)</f>
        <v>INFLATARUN FOOTBALL MADNESS 2025</v>
      </c>
    </row>
    <row r="426" customFormat="false" ht="15" hidden="false" customHeight="false" outlineLevel="0" collapsed="false">
      <c r="A426" s="33" t="n">
        <v>7571</v>
      </c>
      <c r="B426" s="33" t="s">
        <v>342</v>
      </c>
      <c r="C426" s="33" t="s">
        <v>309</v>
      </c>
      <c r="D426" s="33"/>
      <c r="E426" s="33" t="n">
        <v>124</v>
      </c>
      <c r="F426" s="33" t="s">
        <v>2151</v>
      </c>
      <c r="G426" s="33" t="s">
        <v>108</v>
      </c>
      <c r="H426" s="33" t="n">
        <v>1</v>
      </c>
      <c r="I426" s="33" t="n">
        <v>1</v>
      </c>
      <c r="J426" s="33" t="n">
        <v>1</v>
      </c>
      <c r="K426" s="32" t="n">
        <v>300</v>
      </c>
      <c r="L426" s="33" t="str">
        <f aca="false">IF($B426="","",IFERROR(INDEX('Code Mapping'!$D$5:$D$1753,MATCH($B426,'Code Mapping'!$A$5:$A$1753,0)),"Unmapped"))</f>
        <v>Internal / promotion</v>
      </c>
      <c r="M426" s="33" t="str">
        <f aca="false">IF($B426="","",IFERROR(INDEX('Code Mapping'!$E$5:$E$1753,MATCH($B426,'Code Mapping'!$A$5:$A$1753,0)),"Unmapped"))</f>
        <v>Internal / promotion</v>
      </c>
      <c r="N426" s="33" t="str">
        <f aca="false">IF($F426="","",$F426)</f>
        <v>INFLATARUN FOOTBALL MADNESS 2025</v>
      </c>
    </row>
    <row r="427" customFormat="false" ht="15" hidden="false" customHeight="false" outlineLevel="0" collapsed="false">
      <c r="A427" s="33" t="n">
        <v>6874</v>
      </c>
      <c r="B427" s="33" t="s">
        <v>346</v>
      </c>
      <c r="C427" s="33" t="s">
        <v>309</v>
      </c>
      <c r="D427" s="33"/>
      <c r="E427" s="33" t="n">
        <v>124</v>
      </c>
      <c r="F427" s="33" t="s">
        <v>2151</v>
      </c>
      <c r="G427" s="33" t="s">
        <v>108</v>
      </c>
      <c r="H427" s="33" t="n">
        <v>1</v>
      </c>
      <c r="I427" s="33" t="n">
        <v>1</v>
      </c>
      <c r="J427" s="33" t="n">
        <v>1</v>
      </c>
      <c r="K427" s="32" t="n">
        <v>75</v>
      </c>
      <c r="L427" s="33" t="str">
        <f aca="false">IF($B427="","",IFERROR(INDEX('Code Mapping'!$D$5:$D$1753,MATCH($B427,'Code Mapping'!$A$5:$A$1753,0)),"Unmapped"))</f>
        <v>Internal / promotion</v>
      </c>
      <c r="M427" s="33" t="str">
        <f aca="false">IF($B427="","",IFERROR(INDEX('Code Mapping'!$E$5:$E$1753,MATCH($B427,'Code Mapping'!$A$5:$A$1753,0)),"Unmapped"))</f>
        <v>Internal / promotion</v>
      </c>
      <c r="N427" s="33" t="str">
        <f aca="false">IF($F427="","",$F427)</f>
        <v>INFLATARUN FOOTBALL MADNESS 2025</v>
      </c>
    </row>
    <row r="428" customFormat="false" ht="15" hidden="false" customHeight="false" outlineLevel="0" collapsed="false">
      <c r="A428" s="33" t="n">
        <v>6890</v>
      </c>
      <c r="B428" s="33" t="s">
        <v>340</v>
      </c>
      <c r="C428" s="33" t="s">
        <v>309</v>
      </c>
      <c r="D428" s="33"/>
      <c r="E428" s="33" t="n">
        <v>124</v>
      </c>
      <c r="F428" s="33" t="s">
        <v>2151</v>
      </c>
      <c r="G428" s="33" t="s">
        <v>108</v>
      </c>
      <c r="H428" s="33" t="n">
        <v>1</v>
      </c>
      <c r="I428" s="33" t="n">
        <v>1</v>
      </c>
      <c r="J428" s="33" t="n">
        <v>1</v>
      </c>
      <c r="K428" s="32" t="n">
        <v>75</v>
      </c>
      <c r="L428" s="33" t="str">
        <f aca="false">IF($B428="","",IFERROR(INDEX('Code Mapping'!$D$5:$D$1753,MATCH($B428,'Code Mapping'!$A$5:$A$1753,0)),"Unmapped"))</f>
        <v>Internal / promotion</v>
      </c>
      <c r="M428" s="33" t="str">
        <f aca="false">IF($B428="","",IFERROR(INDEX('Code Mapping'!$E$5:$E$1753,MATCH($B428,'Code Mapping'!$A$5:$A$1753,0)),"Unmapped"))</f>
        <v>Internal / promotion</v>
      </c>
      <c r="N428" s="33" t="str">
        <f aca="false">IF($F428="","",$F428)</f>
        <v>INFLATARUN FOOTBALL MADNESS 2025</v>
      </c>
    </row>
    <row r="429" customFormat="false" ht="15" hidden="false" customHeight="false" outlineLevel="0" collapsed="false">
      <c r="A429" s="33" t="n">
        <v>6927</v>
      </c>
      <c r="B429" s="33" t="s">
        <v>333</v>
      </c>
      <c r="C429" s="33" t="s">
        <v>309</v>
      </c>
      <c r="D429" s="33"/>
      <c r="E429" s="33" t="n">
        <v>124</v>
      </c>
      <c r="F429" s="33" t="s">
        <v>2151</v>
      </c>
      <c r="G429" s="33" t="s">
        <v>108</v>
      </c>
      <c r="H429" s="33" t="n">
        <v>1</v>
      </c>
      <c r="I429" s="33" t="n">
        <v>1</v>
      </c>
      <c r="J429" s="33" t="n">
        <v>1</v>
      </c>
      <c r="K429" s="32" t="n">
        <v>75</v>
      </c>
      <c r="L429" s="33" t="str">
        <f aca="false">IF($B429="","",IFERROR(INDEX('Code Mapping'!$D$5:$D$1753,MATCH($B429,'Code Mapping'!$A$5:$A$1753,0)),"Unmapped"))</f>
        <v>Internal / promotion</v>
      </c>
      <c r="M429" s="33" t="str">
        <f aca="false">IF($B429="","",IFERROR(INDEX('Code Mapping'!$E$5:$E$1753,MATCH($B429,'Code Mapping'!$A$5:$A$1753,0)),"Unmapped"))</f>
        <v>Internal / promotion</v>
      </c>
      <c r="N429" s="33" t="str">
        <f aca="false">IF($F429="","",$F429)</f>
        <v>INFLATARUN FOOTBALL MADNESS 2025</v>
      </c>
    </row>
    <row r="430" customFormat="false" ht="15" hidden="false" customHeight="false" outlineLevel="0" collapsed="false">
      <c r="A430" s="33" t="n">
        <v>7868</v>
      </c>
      <c r="B430" s="33" t="s">
        <v>339</v>
      </c>
      <c r="C430" s="33" t="s">
        <v>309</v>
      </c>
      <c r="D430" s="33"/>
      <c r="E430" s="33" t="n">
        <v>124</v>
      </c>
      <c r="F430" s="33" t="s">
        <v>2151</v>
      </c>
      <c r="G430" s="33" t="s">
        <v>108</v>
      </c>
      <c r="H430" s="33" t="n">
        <v>1</v>
      </c>
      <c r="I430" s="33" t="n">
        <v>1</v>
      </c>
      <c r="J430" s="33" t="n">
        <v>1</v>
      </c>
      <c r="K430" s="32" t="n">
        <v>1000</v>
      </c>
      <c r="L430" s="33" t="str">
        <f aca="false">IF($B430="","",IFERROR(INDEX('Code Mapping'!$D$5:$D$1753,MATCH($B430,'Code Mapping'!$A$5:$A$1753,0)),"Unmapped"))</f>
        <v>Internal / promotion</v>
      </c>
      <c r="M430" s="33" t="str">
        <f aca="false">IF($B430="","",IFERROR(INDEX('Code Mapping'!$E$5:$E$1753,MATCH($B430,'Code Mapping'!$A$5:$A$1753,0)),"Unmapped"))</f>
        <v>Internal / promotion</v>
      </c>
      <c r="N430" s="33" t="str">
        <f aca="false">IF($F430="","",$F430)</f>
        <v>INFLATARUN FOOTBALL MADNESS 2025</v>
      </c>
    </row>
    <row r="431" customFormat="false" ht="15" hidden="false" customHeight="false" outlineLevel="0" collapsed="false">
      <c r="A431" s="33" t="n">
        <v>6861</v>
      </c>
      <c r="B431" s="33" t="s">
        <v>329</v>
      </c>
      <c r="C431" s="33" t="s">
        <v>309</v>
      </c>
      <c r="D431" s="33"/>
      <c r="E431" s="33" t="n">
        <v>124</v>
      </c>
      <c r="F431" s="33" t="s">
        <v>2151</v>
      </c>
      <c r="G431" s="33" t="s">
        <v>108</v>
      </c>
      <c r="H431" s="33" t="n">
        <v>1</v>
      </c>
      <c r="I431" s="33" t="n">
        <v>1</v>
      </c>
      <c r="J431" s="33" t="n">
        <v>1</v>
      </c>
      <c r="K431" s="32" t="n">
        <v>75</v>
      </c>
      <c r="L431" s="33" t="str">
        <f aca="false">IF($B431="","",IFERROR(INDEX('Code Mapping'!$D$5:$D$1753,MATCH($B431,'Code Mapping'!$A$5:$A$1753,0)),"Unmapped"))</f>
        <v>Internal / promotion</v>
      </c>
      <c r="M431" s="33" t="str">
        <f aca="false">IF($B431="","",IFERROR(INDEX('Code Mapping'!$E$5:$E$1753,MATCH($B431,'Code Mapping'!$A$5:$A$1753,0)),"Unmapped"))</f>
        <v>Internal / promotion</v>
      </c>
      <c r="N431" s="33" t="str">
        <f aca="false">IF($F431="","",$F431)</f>
        <v>INFLATARUN FOOTBALL MADNESS 2025</v>
      </c>
    </row>
    <row r="432" customFormat="false" ht="15" hidden="false" customHeight="false" outlineLevel="0" collapsed="false">
      <c r="A432" s="33" t="n">
        <v>6872</v>
      </c>
      <c r="B432" s="33" t="s">
        <v>331</v>
      </c>
      <c r="C432" s="33" t="s">
        <v>309</v>
      </c>
      <c r="D432" s="33"/>
      <c r="E432" s="33" t="n">
        <v>124</v>
      </c>
      <c r="F432" s="33" t="s">
        <v>2151</v>
      </c>
      <c r="G432" s="33" t="s">
        <v>108</v>
      </c>
      <c r="H432" s="33" t="n">
        <v>1</v>
      </c>
      <c r="I432" s="33" t="n">
        <v>1</v>
      </c>
      <c r="J432" s="33" t="n">
        <v>1</v>
      </c>
      <c r="K432" s="32" t="n">
        <v>75</v>
      </c>
      <c r="L432" s="33" t="str">
        <f aca="false">IF($B432="","",IFERROR(INDEX('Code Mapping'!$D$5:$D$1753,MATCH($B432,'Code Mapping'!$A$5:$A$1753,0)),"Unmapped"))</f>
        <v>Internal / promotion</v>
      </c>
      <c r="M432" s="33" t="str">
        <f aca="false">IF($B432="","",IFERROR(INDEX('Code Mapping'!$E$5:$E$1753,MATCH($B432,'Code Mapping'!$A$5:$A$1753,0)),"Unmapped"))</f>
        <v>Internal / promotion</v>
      </c>
      <c r="N432" s="33" t="str">
        <f aca="false">IF($F432="","",$F432)</f>
        <v>INFLATARUN FOOTBALL MADNESS 2025</v>
      </c>
    </row>
    <row r="433" customFormat="false" ht="15" hidden="false" customHeight="false" outlineLevel="0" collapsed="false">
      <c r="A433" s="33" t="n">
        <v>7832</v>
      </c>
      <c r="B433" s="33" t="s">
        <v>332</v>
      </c>
      <c r="C433" s="33" t="s">
        <v>309</v>
      </c>
      <c r="D433" s="33"/>
      <c r="E433" s="33" t="n">
        <v>124</v>
      </c>
      <c r="F433" s="33" t="s">
        <v>2151</v>
      </c>
      <c r="G433" s="33" t="s">
        <v>108</v>
      </c>
      <c r="H433" s="33" t="n">
        <v>1</v>
      </c>
      <c r="I433" s="33" t="n">
        <v>1</v>
      </c>
      <c r="J433" s="33" t="n">
        <v>1</v>
      </c>
      <c r="K433" s="32" t="n">
        <v>1000</v>
      </c>
      <c r="L433" s="33" t="str">
        <f aca="false">IF($B433="","",IFERROR(INDEX('Code Mapping'!$D$5:$D$1753,MATCH($B433,'Code Mapping'!$A$5:$A$1753,0)),"Unmapped"))</f>
        <v>Internal / promotion</v>
      </c>
      <c r="M433" s="33" t="str">
        <f aca="false">IF($B433="","",IFERROR(INDEX('Code Mapping'!$E$5:$E$1753,MATCH($B433,'Code Mapping'!$A$5:$A$1753,0)),"Unmapped"))</f>
        <v>Internal / promotion</v>
      </c>
      <c r="N433" s="33" t="str">
        <f aca="false">IF($F433="","",$F433)</f>
        <v>INFLATARUN FOOTBALL MADNESS 2025</v>
      </c>
    </row>
    <row r="434" customFormat="false" ht="15" hidden="false" customHeight="false" outlineLevel="0" collapsed="false">
      <c r="A434" s="33" t="n">
        <v>6880</v>
      </c>
      <c r="B434" s="33" t="s">
        <v>328</v>
      </c>
      <c r="C434" s="33" t="s">
        <v>309</v>
      </c>
      <c r="D434" s="33"/>
      <c r="E434" s="33" t="n">
        <v>124</v>
      </c>
      <c r="F434" s="33" t="s">
        <v>2151</v>
      </c>
      <c r="G434" s="33" t="s">
        <v>108</v>
      </c>
      <c r="H434" s="33" t="n">
        <v>1</v>
      </c>
      <c r="I434" s="33" t="n">
        <v>1</v>
      </c>
      <c r="J434" s="33" t="n">
        <v>1</v>
      </c>
      <c r="K434" s="32" t="n">
        <v>75</v>
      </c>
      <c r="L434" s="33" t="str">
        <f aca="false">IF($B434="","",IFERROR(INDEX('Code Mapping'!$D$5:$D$1753,MATCH($B434,'Code Mapping'!$A$5:$A$1753,0)),"Unmapped"))</f>
        <v>Internal / promotion</v>
      </c>
      <c r="M434" s="33" t="str">
        <f aca="false">IF($B434="","",IFERROR(INDEX('Code Mapping'!$E$5:$E$1753,MATCH($B434,'Code Mapping'!$A$5:$A$1753,0)),"Unmapped"))</f>
        <v>Internal / promotion</v>
      </c>
      <c r="N434" s="33" t="str">
        <f aca="false">IF($F434="","",$F434)</f>
        <v>INFLATARUN FOOTBALL MADNESS 2025</v>
      </c>
    </row>
    <row r="435" customFormat="false" ht="15" hidden="false" customHeight="false" outlineLevel="0" collapsed="false">
      <c r="A435" s="33" t="n">
        <v>6893</v>
      </c>
      <c r="B435" s="33" t="s">
        <v>334</v>
      </c>
      <c r="C435" s="33" t="s">
        <v>309</v>
      </c>
      <c r="D435" s="33"/>
      <c r="E435" s="33" t="n">
        <v>124</v>
      </c>
      <c r="F435" s="33" t="s">
        <v>2151</v>
      </c>
      <c r="G435" s="33" t="s">
        <v>108</v>
      </c>
      <c r="H435" s="33" t="n">
        <v>1</v>
      </c>
      <c r="I435" s="33" t="n">
        <v>1</v>
      </c>
      <c r="J435" s="33" t="n">
        <v>1</v>
      </c>
      <c r="K435" s="32" t="n">
        <v>75</v>
      </c>
      <c r="L435" s="33" t="str">
        <f aca="false">IF($B435="","",IFERROR(INDEX('Code Mapping'!$D$5:$D$1753,MATCH($B435,'Code Mapping'!$A$5:$A$1753,0)),"Unmapped"))</f>
        <v>Internal / promotion</v>
      </c>
      <c r="M435" s="33" t="str">
        <f aca="false">IF($B435="","",IFERROR(INDEX('Code Mapping'!$E$5:$E$1753,MATCH($B435,'Code Mapping'!$A$5:$A$1753,0)),"Unmapped"))</f>
        <v>Internal / promotion</v>
      </c>
      <c r="N435" s="33" t="str">
        <f aca="false">IF($F435="","",$F435)</f>
        <v>INFLATARUN FOOTBALL MADNESS 2025</v>
      </c>
    </row>
    <row r="436" customFormat="false" ht="15" hidden="false" customHeight="false" outlineLevel="0" collapsed="false">
      <c r="A436" s="33" t="n">
        <v>6917</v>
      </c>
      <c r="B436" s="33" t="s">
        <v>336</v>
      </c>
      <c r="C436" s="33" t="s">
        <v>309</v>
      </c>
      <c r="D436" s="33"/>
      <c r="E436" s="33" t="n">
        <v>124</v>
      </c>
      <c r="F436" s="33" t="s">
        <v>2151</v>
      </c>
      <c r="G436" s="33" t="s">
        <v>108</v>
      </c>
      <c r="H436" s="33" t="n">
        <v>1</v>
      </c>
      <c r="I436" s="33" t="n">
        <v>1</v>
      </c>
      <c r="J436" s="33" t="n">
        <v>1</v>
      </c>
      <c r="K436" s="32" t="n">
        <v>75</v>
      </c>
      <c r="L436" s="33" t="str">
        <f aca="false">IF($B436="","",IFERROR(INDEX('Code Mapping'!$D$5:$D$1753,MATCH($B436,'Code Mapping'!$A$5:$A$1753,0)),"Unmapped"))</f>
        <v>Internal / promotion</v>
      </c>
      <c r="M436" s="33" t="str">
        <f aca="false">IF($B436="","",IFERROR(INDEX('Code Mapping'!$E$5:$E$1753,MATCH($B436,'Code Mapping'!$A$5:$A$1753,0)),"Unmapped"))</f>
        <v>Internal / promotion</v>
      </c>
      <c r="N436" s="33" t="str">
        <f aca="false">IF($F436="","",$F436)</f>
        <v>INFLATARUN FOOTBALL MADNESS 2025</v>
      </c>
    </row>
    <row r="437" customFormat="false" ht="15" hidden="false" customHeight="false" outlineLevel="0" collapsed="false">
      <c r="A437" s="33" t="n">
        <v>6869</v>
      </c>
      <c r="B437" s="33" t="s">
        <v>337</v>
      </c>
      <c r="C437" s="33" t="s">
        <v>309</v>
      </c>
      <c r="D437" s="33"/>
      <c r="E437" s="33" t="n">
        <v>124</v>
      </c>
      <c r="F437" s="33" t="s">
        <v>2151</v>
      </c>
      <c r="G437" s="33" t="s">
        <v>108</v>
      </c>
      <c r="H437" s="33" t="n">
        <v>1</v>
      </c>
      <c r="I437" s="33" t="n">
        <v>1</v>
      </c>
      <c r="J437" s="33" t="n">
        <v>1</v>
      </c>
      <c r="K437" s="32" t="n">
        <v>75</v>
      </c>
      <c r="L437" s="33" t="str">
        <f aca="false">IF($B437="","",IFERROR(INDEX('Code Mapping'!$D$5:$D$1753,MATCH($B437,'Code Mapping'!$A$5:$A$1753,0)),"Unmapped"))</f>
        <v>Internal / promotion</v>
      </c>
      <c r="M437" s="33" t="str">
        <f aca="false">IF($B437="","",IFERROR(INDEX('Code Mapping'!$E$5:$E$1753,MATCH($B437,'Code Mapping'!$A$5:$A$1753,0)),"Unmapped"))</f>
        <v>Internal / promotion</v>
      </c>
      <c r="N437" s="33" t="str">
        <f aca="false">IF($F437="","",$F437)</f>
        <v>INFLATARUN FOOTBALL MADNESS 2025</v>
      </c>
    </row>
    <row r="438" customFormat="false" ht="15" hidden="false" customHeight="false" outlineLevel="0" collapsed="false">
      <c r="A438" s="33" t="n">
        <v>6865</v>
      </c>
      <c r="B438" s="33" t="s">
        <v>338</v>
      </c>
      <c r="C438" s="33" t="s">
        <v>309</v>
      </c>
      <c r="D438" s="33"/>
      <c r="E438" s="33" t="n">
        <v>124</v>
      </c>
      <c r="F438" s="33" t="s">
        <v>2151</v>
      </c>
      <c r="G438" s="33" t="s">
        <v>108</v>
      </c>
      <c r="H438" s="33" t="n">
        <v>1</v>
      </c>
      <c r="I438" s="33" t="n">
        <v>1</v>
      </c>
      <c r="J438" s="33" t="n">
        <v>1</v>
      </c>
      <c r="K438" s="32" t="n">
        <v>75</v>
      </c>
      <c r="L438" s="33" t="str">
        <f aca="false">IF($B438="","",IFERROR(INDEX('Code Mapping'!$D$5:$D$1753,MATCH($B438,'Code Mapping'!$A$5:$A$1753,0)),"Unmapped"))</f>
        <v>Internal / promotion</v>
      </c>
      <c r="M438" s="33" t="str">
        <f aca="false">IF($B438="","",IFERROR(INDEX('Code Mapping'!$E$5:$E$1753,MATCH($B438,'Code Mapping'!$A$5:$A$1753,0)),"Unmapped"))</f>
        <v>Internal / promotion</v>
      </c>
      <c r="N438" s="33" t="str">
        <f aca="false">IF($F438="","",$F438)</f>
        <v>INFLATARUN FOOTBALL MADNESS 2025</v>
      </c>
    </row>
    <row r="439" customFormat="false" ht="15" hidden="false" customHeight="false" outlineLevel="0" collapsed="false">
      <c r="A439" s="33" t="n">
        <v>7858</v>
      </c>
      <c r="B439" s="33" t="s">
        <v>335</v>
      </c>
      <c r="C439" s="33" t="s">
        <v>309</v>
      </c>
      <c r="D439" s="33"/>
      <c r="E439" s="33" t="n">
        <v>124</v>
      </c>
      <c r="F439" s="33" t="s">
        <v>2151</v>
      </c>
      <c r="G439" s="33" t="s">
        <v>108</v>
      </c>
      <c r="H439" s="33" t="n">
        <v>1</v>
      </c>
      <c r="I439" s="33" t="n">
        <v>1</v>
      </c>
      <c r="J439" s="33" t="n">
        <v>1</v>
      </c>
      <c r="K439" s="32" t="n">
        <v>1000</v>
      </c>
      <c r="L439" s="33" t="str">
        <f aca="false">IF($B439="","",IFERROR(INDEX('Code Mapping'!$D$5:$D$1753,MATCH($B439,'Code Mapping'!$A$5:$A$1753,0)),"Unmapped"))</f>
        <v>Internal / promotion</v>
      </c>
      <c r="M439" s="33" t="str">
        <f aca="false">IF($B439="","",IFERROR(INDEX('Code Mapping'!$E$5:$E$1753,MATCH($B439,'Code Mapping'!$A$5:$A$1753,0)),"Unmapped"))</f>
        <v>Internal / promotion</v>
      </c>
      <c r="N439" s="33" t="str">
        <f aca="false">IF($F439="","",$F439)</f>
        <v>INFLATARUN FOOTBALL MADNESS 2025</v>
      </c>
    </row>
    <row r="440" customFormat="false" ht="15" hidden="false" customHeight="false" outlineLevel="0" collapsed="false">
      <c r="A440" s="33" t="n">
        <v>6803</v>
      </c>
      <c r="B440" s="33" t="s">
        <v>191</v>
      </c>
      <c r="C440" s="33" t="s">
        <v>192</v>
      </c>
      <c r="D440" s="33"/>
      <c r="E440" s="33" t="n">
        <v>91</v>
      </c>
      <c r="F440" s="33" t="s">
        <v>36</v>
      </c>
      <c r="G440" s="33" t="s">
        <v>107</v>
      </c>
      <c r="H440" s="33" t="n">
        <v>10</v>
      </c>
      <c r="I440" s="33" t="n">
        <v>15</v>
      </c>
      <c r="J440" s="33" t="n">
        <v>15</v>
      </c>
      <c r="K440" s="32" t="n">
        <v>236.25</v>
      </c>
      <c r="L440" s="33" t="str">
        <f aca="false">IF($B440="","",IFERROR(INDEX('Code Mapping'!$D$5:$D$1753,MATCH($B440,'Code Mapping'!$A$5:$A$1753,0)),"Unmapped"))</f>
        <v>Qatar Airways</v>
      </c>
      <c r="M440" s="33" t="str">
        <f aca="false">IF($B440="","",IFERROR(INDEX('Code Mapping'!$E$5:$E$1753,MATCH($B440,'Code Mapping'!$A$5:$A$1753,0)),"Unmapped"))</f>
        <v>Corporate discount</v>
      </c>
      <c r="N440" s="33" t="str">
        <f aca="false">IF($F440="","",$F440)</f>
        <v>InflataPark</v>
      </c>
    </row>
    <row r="441" customFormat="false" ht="15" hidden="false" customHeight="false" outlineLevel="0" collapsed="false">
      <c r="A441" s="33" t="n">
        <v>6798</v>
      </c>
      <c r="B441" s="33" t="s">
        <v>146</v>
      </c>
      <c r="C441" s="33" t="s">
        <v>147</v>
      </c>
      <c r="D441" s="33"/>
      <c r="E441" s="33" t="n">
        <v>91</v>
      </c>
      <c r="F441" s="33" t="s">
        <v>36</v>
      </c>
      <c r="G441" s="33" t="s">
        <v>107</v>
      </c>
      <c r="H441" s="33" t="n">
        <v>25</v>
      </c>
      <c r="I441" s="33" t="n">
        <v>25</v>
      </c>
      <c r="J441" s="33" t="n">
        <v>25</v>
      </c>
      <c r="K441" s="32" t="n">
        <v>4090</v>
      </c>
      <c r="L441" s="33" t="str">
        <f aca="false">IF($B441="","",IFERROR(INDEX('Code Mapping'!$D$5:$D$1753,MATCH($B441,'Code Mapping'!$A$5:$A$1753,0)),"Unmapped"))</f>
        <v>My Book</v>
      </c>
      <c r="M441" s="33" t="str">
        <f aca="false">IF($B441="","",IFERROR(INDEX('Code Mapping'!$E$5:$E$1753,MATCH($B441,'Code Mapping'!$A$5:$A$1753,0)),"Unmapped"))</f>
        <v>Aggregator BOGO</v>
      </c>
      <c r="N441" s="33" t="str">
        <f aca="false">IF($F441="","",$F441)</f>
        <v>InflataPark</v>
      </c>
    </row>
    <row r="442" customFormat="false" ht="15" hidden="false" customHeight="false" outlineLevel="0" collapsed="false">
      <c r="A442" s="33" t="n">
        <v>6827</v>
      </c>
      <c r="B442" s="33" t="s">
        <v>182</v>
      </c>
      <c r="C442" s="33"/>
      <c r="D442" s="33"/>
      <c r="E442" s="33" t="n">
        <v>61</v>
      </c>
      <c r="F442" s="33" t="s">
        <v>38</v>
      </c>
      <c r="G442" s="33" t="s">
        <v>107</v>
      </c>
      <c r="H442" s="33" t="n">
        <v>6</v>
      </c>
      <c r="I442" s="33" t="n">
        <v>6</v>
      </c>
      <c r="J442" s="33" t="n">
        <v>6</v>
      </c>
      <c r="K442" s="32" t="n">
        <v>600</v>
      </c>
      <c r="L442" s="33" t="str">
        <f aca="false">IF($B442="","",IFERROR(INDEX('Code Mapping'!$D$5:$D$1753,MATCH($B442,'Code Mapping'!$A$5:$A$1753,0)),"Unmapped"))</f>
        <v>My Book</v>
      </c>
      <c r="M442" s="33" t="str">
        <f aca="false">IF($B442="","",IFERROR(INDEX('Code Mapping'!$E$5:$E$1753,MATCH($B442,'Code Mapping'!$A$5:$A$1753,0)),"Unmapped"))</f>
        <v>Aggregator BOGO</v>
      </c>
      <c r="N442" s="33" t="str">
        <f aca="false">IF($F442="","",$F442)</f>
        <v>Crayons &amp; Bricks Vendome</v>
      </c>
    </row>
    <row r="443" customFormat="false" ht="15" hidden="false" customHeight="false" outlineLevel="0" collapsed="false">
      <c r="A443" s="33" t="n">
        <v>6836</v>
      </c>
      <c r="B443" s="33" t="s">
        <v>424</v>
      </c>
      <c r="C443" s="33" t="s">
        <v>423</v>
      </c>
      <c r="D443" s="33"/>
      <c r="E443" s="33" t="n">
        <v>94</v>
      </c>
      <c r="F443" s="33" t="s">
        <v>37</v>
      </c>
      <c r="G443" s="33" t="s">
        <v>107</v>
      </c>
      <c r="H443" s="33" t="n">
        <v>1</v>
      </c>
      <c r="I443" s="33" t="n">
        <v>1</v>
      </c>
      <c r="J443" s="33" t="n">
        <v>1</v>
      </c>
      <c r="K443" s="32" t="n">
        <v>225</v>
      </c>
      <c r="L443" s="33" t="str">
        <f aca="false">IF($B443="","",IFERROR(INDEX('Code Mapping'!$D$5:$D$1753,MATCH($B443,'Code Mapping'!$A$5:$A$1753,0)),"Unmapped"))</f>
        <v>Unmapped</v>
      </c>
      <c r="M443" s="33" t="str">
        <f aca="false">IF($B443="","",IFERROR(INDEX('Code Mapping'!$E$5:$E$1753,MATCH($B443,'Code Mapping'!$A$5:$A$1753,0)),"Unmapped"))</f>
        <v>Unmapped</v>
      </c>
      <c r="N443" s="33" t="str">
        <f aca="false">IF($F443="","",$F443)</f>
        <v>Kids City Driving School</v>
      </c>
    </row>
    <row r="444" customFormat="false" ht="15" hidden="false" customHeight="false" outlineLevel="0" collapsed="false">
      <c r="A444" s="33" t="n">
        <v>7944</v>
      </c>
      <c r="B444" s="33" t="s">
        <v>187</v>
      </c>
      <c r="C444" s="33"/>
      <c r="D444" s="33"/>
      <c r="E444" s="33" t="n">
        <v>124</v>
      </c>
      <c r="F444" s="33" t="s">
        <v>2151</v>
      </c>
      <c r="G444" s="33" t="s">
        <v>107</v>
      </c>
      <c r="H444" s="33" t="n">
        <v>3</v>
      </c>
      <c r="I444" s="33" t="n">
        <v>4</v>
      </c>
      <c r="J444" s="33" t="n">
        <v>4</v>
      </c>
      <c r="K444" s="32" t="n">
        <v>60</v>
      </c>
      <c r="L444" s="33" t="str">
        <f aca="false">IF($B444="","",IFERROR(INDEX('Code Mapping'!$D$5:$D$1753,MATCH($B444,'Code Mapping'!$A$5:$A$1753,0)),"Unmapped"))</f>
        <v>Internal / promotion</v>
      </c>
      <c r="M444" s="33" t="str">
        <f aca="false">IF($B444="","",IFERROR(INDEX('Code Mapping'!$E$5:$E$1753,MATCH($B444,'Code Mapping'!$A$5:$A$1753,0)),"Unmapped"))</f>
        <v>Internal / promotion</v>
      </c>
      <c r="N444" s="33" t="str">
        <f aca="false">IF($F444="","",$F444)</f>
        <v>INFLATARUN FOOTBALL MADNESS 2025</v>
      </c>
    </row>
    <row r="445" customFormat="false" ht="15" hidden="false" customHeight="false" outlineLevel="0" collapsed="false">
      <c r="A445" s="33" t="n">
        <v>6811</v>
      </c>
      <c r="B445" s="33" t="s">
        <v>238</v>
      </c>
      <c r="C445" s="33" t="s">
        <v>239</v>
      </c>
      <c r="D445" s="33"/>
      <c r="E445" s="33" t="n">
        <v>94</v>
      </c>
      <c r="F445" s="33" t="s">
        <v>37</v>
      </c>
      <c r="G445" s="33" t="s">
        <v>107</v>
      </c>
      <c r="H445" s="33" t="n">
        <v>1</v>
      </c>
      <c r="I445" s="33" t="n">
        <v>2</v>
      </c>
      <c r="J445" s="33" t="n">
        <v>2</v>
      </c>
      <c r="K445" s="32" t="n">
        <v>67.5</v>
      </c>
      <c r="L445" s="33" t="str">
        <f aca="false">IF($B445="","",IFERROR(INDEX('Code Mapping'!$D$5:$D$1753,MATCH($B445,'Code Mapping'!$A$5:$A$1753,0)),"Unmapped"))</f>
        <v>Qatar Airways</v>
      </c>
      <c r="M445" s="33" t="str">
        <f aca="false">IF($B445="","",IFERROR(INDEX('Code Mapping'!$E$5:$E$1753,MATCH($B445,'Code Mapping'!$A$5:$A$1753,0)),"Unmapped"))</f>
        <v>Corporate discount</v>
      </c>
      <c r="N445" s="33" t="str">
        <f aca="false">IF($F445="","",$F445)</f>
        <v>Kids City Driving School</v>
      </c>
    </row>
    <row r="446" customFormat="false" ht="15" hidden="false" customHeight="false" outlineLevel="0" collapsed="false">
      <c r="A446" s="33" t="n">
        <v>6839</v>
      </c>
      <c r="B446" s="33" t="s">
        <v>249</v>
      </c>
      <c r="C446" s="33" t="s">
        <v>250</v>
      </c>
      <c r="D446" s="33"/>
      <c r="E446" s="33" t="n">
        <v>94</v>
      </c>
      <c r="F446" s="33" t="s">
        <v>37</v>
      </c>
      <c r="G446" s="33" t="s">
        <v>107</v>
      </c>
      <c r="H446" s="33" t="n">
        <v>11</v>
      </c>
      <c r="I446" s="33" t="n">
        <v>19</v>
      </c>
      <c r="J446" s="33" t="n">
        <v>19</v>
      </c>
      <c r="K446" s="32" t="n">
        <v>285</v>
      </c>
      <c r="L446" s="33" t="str">
        <f aca="false">IF($B446="","",IFERROR(INDEX('Code Mapping'!$D$5:$D$1753,MATCH($B446,'Code Mapping'!$A$5:$A$1753,0)),"Unmapped"))</f>
        <v>TGI (not on master)</v>
      </c>
      <c r="M446" s="33" t="str">
        <f aca="false">IF($B446="","",IFERROR(INDEX('Code Mapping'!$E$5:$E$1753,MATCH($B446,'Code Mapping'!$A$5:$A$1753,0)),"Unmapped"))</f>
        <v>Not on master</v>
      </c>
      <c r="N446" s="33" t="str">
        <f aca="false">IF($F446="","",$F446)</f>
        <v>Kids City Driving School</v>
      </c>
    </row>
    <row r="447" customFormat="false" ht="15" hidden="false" customHeight="false" outlineLevel="0" collapsed="false">
      <c r="A447" s="33" t="n">
        <v>6801</v>
      </c>
      <c r="B447" s="33" t="s">
        <v>258</v>
      </c>
      <c r="C447" s="33" t="s">
        <v>259</v>
      </c>
      <c r="D447" s="33"/>
      <c r="E447" s="33" t="n">
        <v>91</v>
      </c>
      <c r="F447" s="33" t="s">
        <v>36</v>
      </c>
      <c r="G447" s="33" t="s">
        <v>107</v>
      </c>
      <c r="H447" s="33" t="n">
        <v>2</v>
      </c>
      <c r="I447" s="33" t="n">
        <v>2</v>
      </c>
      <c r="J447" s="33" t="n">
        <v>2</v>
      </c>
      <c r="K447" s="32" t="n">
        <v>57</v>
      </c>
      <c r="L447" s="33" t="str">
        <f aca="false">IF($B447="","",IFERROR(INDEX('Code Mapping'!$D$5:$D$1753,MATCH($B447,'Code Mapping'!$A$5:$A$1753,0)),"Unmapped"))</f>
        <v>QIB</v>
      </c>
      <c r="M447" s="33" t="str">
        <f aca="false">IF($B447="","",IFERROR(INDEX('Code Mapping'!$E$5:$E$1753,MATCH($B447,'Code Mapping'!$A$5:$A$1753,0)),"Unmapped"))</f>
        <v>Corporate discount</v>
      </c>
      <c r="N447" s="33" t="str">
        <f aca="false">IF($F447="","",$F447)</f>
        <v>InflataPark</v>
      </c>
    </row>
    <row r="448" customFormat="false" ht="15" hidden="false" customHeight="false" outlineLevel="0" collapsed="false">
      <c r="A448" s="33" t="n">
        <v>6797</v>
      </c>
      <c r="B448" s="33" t="s">
        <v>143</v>
      </c>
      <c r="C448" s="33" t="s">
        <v>144</v>
      </c>
      <c r="D448" s="33"/>
      <c r="E448" s="33" t="n">
        <v>91</v>
      </c>
      <c r="F448" s="33" t="s">
        <v>36</v>
      </c>
      <c r="G448" s="33" t="s">
        <v>107</v>
      </c>
      <c r="H448" s="33" t="n">
        <v>47</v>
      </c>
      <c r="I448" s="33" t="n">
        <v>47</v>
      </c>
      <c r="J448" s="33" t="n">
        <v>47</v>
      </c>
      <c r="K448" s="32" t="n">
        <v>8030</v>
      </c>
      <c r="L448" s="33" t="str">
        <f aca="false">IF($B448="","",IFERROR(INDEX('Code Mapping'!$D$5:$D$1753,MATCH($B448,'Code Mapping'!$A$5:$A$1753,0)),"Unmapped"))</f>
        <v>Urban Point</v>
      </c>
      <c r="M448" s="33" t="str">
        <f aca="false">IF($B448="","",IFERROR(INDEX('Code Mapping'!$E$5:$E$1753,MATCH($B448,'Code Mapping'!$A$5:$A$1753,0)),"Unmapped"))</f>
        <v>Aggregator BOGO</v>
      </c>
      <c r="N448" s="33" t="str">
        <f aca="false">IF($F448="","",$F448)</f>
        <v>InflataPark</v>
      </c>
    </row>
    <row r="449" customFormat="false" ht="15" hidden="false" customHeight="false" outlineLevel="0" collapsed="false">
      <c r="A449" s="33" t="n">
        <v>6826</v>
      </c>
      <c r="B449" s="33" t="s">
        <v>173</v>
      </c>
      <c r="C449" s="33" t="s">
        <v>174</v>
      </c>
      <c r="D449" s="33"/>
      <c r="E449" s="33" t="n">
        <v>61</v>
      </c>
      <c r="F449" s="33" t="s">
        <v>38</v>
      </c>
      <c r="G449" s="33" t="s">
        <v>107</v>
      </c>
      <c r="H449" s="33" t="n">
        <v>12</v>
      </c>
      <c r="I449" s="33" t="n">
        <v>12</v>
      </c>
      <c r="J449" s="33" t="n">
        <v>12</v>
      </c>
      <c r="K449" s="32" t="n">
        <v>1200</v>
      </c>
      <c r="L449" s="33" t="str">
        <f aca="false">IF($B449="","",IFERROR(INDEX('Code Mapping'!$D$5:$D$1753,MATCH($B449,'Code Mapping'!$A$5:$A$1753,0)),"Unmapped"))</f>
        <v>Urban Point</v>
      </c>
      <c r="M449" s="33" t="str">
        <f aca="false">IF($B449="","",IFERROR(INDEX('Code Mapping'!$E$5:$E$1753,MATCH($B449,'Code Mapping'!$A$5:$A$1753,0)),"Unmapped"))</f>
        <v>Aggregator BOGO</v>
      </c>
      <c r="N449" s="33" t="str">
        <f aca="false">IF($F449="","",$F449)</f>
        <v>Crayons &amp; Bricks Vendome</v>
      </c>
    </row>
    <row r="450" customFormat="false" ht="15" hidden="false" customHeight="false" outlineLevel="0" collapsed="false">
      <c r="A450" s="33" t="n">
        <v>6794</v>
      </c>
      <c r="B450" s="33" t="s">
        <v>180</v>
      </c>
      <c r="C450" s="33" t="s">
        <v>177</v>
      </c>
      <c r="D450" s="33"/>
      <c r="E450" s="33" t="n">
        <v>94</v>
      </c>
      <c r="F450" s="33" t="s">
        <v>37</v>
      </c>
      <c r="G450" s="33" t="s">
        <v>107</v>
      </c>
      <c r="H450" s="33" t="n">
        <v>21</v>
      </c>
      <c r="I450" s="33" t="n">
        <v>21</v>
      </c>
      <c r="J450" s="33" t="n">
        <v>21</v>
      </c>
      <c r="K450" s="32" t="n">
        <v>4875</v>
      </c>
      <c r="L450" s="33" t="str">
        <f aca="false">IF($B450="","",IFERROR(INDEX('Code Mapping'!$D$5:$D$1753,MATCH($B450,'Code Mapping'!$A$5:$A$1753,0)),"Unmapped"))</f>
        <v>Urban Point</v>
      </c>
      <c r="M450" s="33" t="str">
        <f aca="false">IF($B450="","",IFERROR(INDEX('Code Mapping'!$E$5:$E$1753,MATCH($B450,'Code Mapping'!$A$5:$A$1753,0)),"Unmapped"))</f>
        <v>Aggregator BOGO</v>
      </c>
      <c r="N450" s="33" t="str">
        <f aca="false">IF($F450="","",$F450)</f>
        <v>Kids City Driving School</v>
      </c>
    </row>
    <row r="451" customFormat="false" ht="15" hidden="false" customHeight="false" outlineLevel="0" collapsed="false">
      <c r="A451" s="33" t="n">
        <v>6841</v>
      </c>
      <c r="B451" s="33" t="s">
        <v>242</v>
      </c>
      <c r="C451" s="33" t="s">
        <v>243</v>
      </c>
      <c r="D451" s="33"/>
      <c r="E451" s="33" t="n">
        <v>91</v>
      </c>
      <c r="F451" s="33" t="s">
        <v>36</v>
      </c>
      <c r="G451" s="33" t="s">
        <v>107</v>
      </c>
      <c r="H451" s="33" t="n">
        <v>1</v>
      </c>
      <c r="I451" s="33" t="n">
        <v>1</v>
      </c>
      <c r="J451" s="33" t="n">
        <v>1</v>
      </c>
      <c r="K451" s="32" t="n">
        <v>130</v>
      </c>
      <c r="L451" s="33" t="str">
        <f aca="false">IF($B451="","",IFERROR(INDEX('Code Mapping'!$D$5:$D$1753,MATCH($B451,'Code Mapping'!$A$5:$A$1753,0)),"Unmapped"))</f>
        <v>Internal / promotion</v>
      </c>
      <c r="M451" s="33" t="str">
        <f aca="false">IF($B451="","",IFERROR(INDEX('Code Mapping'!$E$5:$E$1753,MATCH($B451,'Code Mapping'!$A$5:$A$1753,0)),"Unmapped"))</f>
        <v>Internal / promotion</v>
      </c>
      <c r="N451" s="33" t="str">
        <f aca="false">IF($F451="","",$F451)</f>
        <v>InflataPark</v>
      </c>
    </row>
    <row r="452" customFormat="false" ht="15" hidden="false" customHeight="false" outlineLevel="0" collapsed="false">
      <c r="A452" s="33" t="n">
        <v>6838</v>
      </c>
      <c r="B452" s="33" t="s">
        <v>284</v>
      </c>
      <c r="C452" s="33" t="s">
        <v>285</v>
      </c>
      <c r="D452" s="33"/>
      <c r="E452" s="33" t="n">
        <v>94</v>
      </c>
      <c r="F452" s="33" t="s">
        <v>37</v>
      </c>
      <c r="G452" s="33" t="s">
        <v>107</v>
      </c>
      <c r="H452" s="33" t="n">
        <v>3</v>
      </c>
      <c r="I452" s="33" t="n">
        <v>3</v>
      </c>
      <c r="J452" s="33" t="n">
        <v>3</v>
      </c>
      <c r="K452" s="32" t="n">
        <v>54</v>
      </c>
      <c r="L452" s="33" t="str">
        <f aca="false">IF($B452="","",IFERROR(INDEX('Code Mapping'!$D$5:$D$1753,MATCH($B452,'Code Mapping'!$A$5:$A$1753,0)),"Unmapped"))</f>
        <v>Unmapped</v>
      </c>
      <c r="M452" s="33" t="str">
        <f aca="false">IF($B452="","",IFERROR(INDEX('Code Mapping'!$E$5:$E$1753,MATCH($B452,'Code Mapping'!$A$5:$A$1753,0)),"Unmapped"))</f>
        <v>Unmapped</v>
      </c>
      <c r="N452" s="33" t="str">
        <f aca="false">IF($F452="","",$F452)</f>
        <v>Kids City Driving School</v>
      </c>
    </row>
    <row r="453" customFormat="false" ht="15" hidden="false" customHeight="false" outlineLevel="0" collapsed="false">
      <c r="A453" s="33" t="n">
        <v>6799</v>
      </c>
      <c r="B453" s="33" t="s">
        <v>256</v>
      </c>
      <c r="C453" s="33" t="s">
        <v>257</v>
      </c>
      <c r="D453" s="33"/>
      <c r="E453" s="33" t="n">
        <v>91</v>
      </c>
      <c r="F453" s="33" t="s">
        <v>36</v>
      </c>
      <c r="G453" s="33" t="s">
        <v>107</v>
      </c>
      <c r="H453" s="33" t="n">
        <v>2</v>
      </c>
      <c r="I453" s="33" t="n">
        <v>3</v>
      </c>
      <c r="J453" s="33" t="n">
        <v>3</v>
      </c>
      <c r="K453" s="32" t="n">
        <v>42</v>
      </c>
      <c r="L453" s="33" t="str">
        <f aca="false">IF($B453="","",IFERROR(INDEX('Code Mapping'!$D$5:$D$1753,MATCH($B453,'Code Mapping'!$A$5:$A$1753,0)),"Unmapped"))</f>
        <v>Al Jazeera Imtiyazat</v>
      </c>
      <c r="M453" s="33" t="str">
        <f aca="false">IF($B453="","",IFERROR(INDEX('Code Mapping'!$E$5:$E$1753,MATCH($B453,'Code Mapping'!$A$5:$A$1753,0)),"Unmapped"))</f>
        <v>Corporate discount</v>
      </c>
      <c r="N453" s="33" t="str">
        <f aca="false">IF($F453="","",$F453)</f>
        <v>InflataPark</v>
      </c>
    </row>
    <row r="454" customFormat="false" ht="15" hidden="false" customHeight="false" outlineLevel="0" collapsed="false">
      <c r="A454" s="33" t="n">
        <v>5459</v>
      </c>
      <c r="B454" s="33" t="s">
        <v>435</v>
      </c>
      <c r="C454" s="33" t="s">
        <v>436</v>
      </c>
      <c r="D454" s="33"/>
      <c r="E454" s="33" t="n">
        <v>91</v>
      </c>
      <c r="F454" s="33" t="s">
        <v>36</v>
      </c>
      <c r="G454" s="33" t="s">
        <v>107</v>
      </c>
      <c r="H454" s="33" t="n">
        <v>1</v>
      </c>
      <c r="I454" s="33" t="n">
        <v>1</v>
      </c>
      <c r="J454" s="33" t="n">
        <v>1</v>
      </c>
      <c r="K454" s="32" t="n">
        <v>250</v>
      </c>
      <c r="L454" s="33" t="str">
        <f aca="false">IF($B454="","",IFERROR(INDEX('Code Mapping'!$D$5:$D$1753,MATCH($B454,'Code Mapping'!$A$5:$A$1753,0)),"Unmapped"))</f>
        <v>Unmapped</v>
      </c>
      <c r="M454" s="33" t="str">
        <f aca="false">IF($B454="","",IFERROR(INDEX('Code Mapping'!$E$5:$E$1753,MATCH($B454,'Code Mapping'!$A$5:$A$1753,0)),"Unmapped"))</f>
        <v>Unmapped</v>
      </c>
      <c r="N454" s="33" t="str">
        <f aca="false">IF($F454="","",$F454)</f>
        <v>InflataPark</v>
      </c>
    </row>
    <row r="455" customFormat="false" ht="15" hidden="false" customHeight="false" outlineLevel="0" collapsed="false">
      <c r="A455" s="33" t="n">
        <v>5557</v>
      </c>
      <c r="B455" s="33" t="s">
        <v>181</v>
      </c>
      <c r="C455" s="33"/>
      <c r="D455" s="33"/>
      <c r="E455" s="33" t="n">
        <v>61</v>
      </c>
      <c r="F455" s="33" t="s">
        <v>38</v>
      </c>
      <c r="G455" s="33" t="s">
        <v>107</v>
      </c>
      <c r="H455" s="33" t="n">
        <v>11</v>
      </c>
      <c r="I455" s="33" t="n">
        <v>11</v>
      </c>
      <c r="J455" s="33" t="n">
        <v>11</v>
      </c>
      <c r="K455" s="32" t="n">
        <v>1100</v>
      </c>
      <c r="L455" s="33" t="str">
        <f aca="false">IF($B455="","",IFERROR(INDEX('Code Mapping'!$D$5:$D$1753,MATCH($B455,'Code Mapping'!$A$5:$A$1753,0)),"Unmapped"))</f>
        <v>Entertainer</v>
      </c>
      <c r="M455" s="33" t="str">
        <f aca="false">IF($B455="","",IFERROR(INDEX('Code Mapping'!$E$5:$E$1753,MATCH($B455,'Code Mapping'!$A$5:$A$1753,0)),"Unmapped"))</f>
        <v>Aggregator BOGO</v>
      </c>
      <c r="N455" s="33" t="str">
        <f aca="false">IF($F455="","",$F455)</f>
        <v>Crayons &amp; Bricks Vendome</v>
      </c>
    </row>
    <row r="456" customFormat="false" ht="15" hidden="false" customHeight="false" outlineLevel="0" collapsed="false">
      <c r="A456" s="33" t="n">
        <v>6845</v>
      </c>
      <c r="B456" s="33" t="s">
        <v>385</v>
      </c>
      <c r="C456" s="33" t="s">
        <v>309</v>
      </c>
      <c r="D456" s="33"/>
      <c r="E456" s="33" t="n">
        <v>124</v>
      </c>
      <c r="F456" s="33" t="s">
        <v>2151</v>
      </c>
      <c r="G456" s="33" t="s">
        <v>107</v>
      </c>
      <c r="H456" s="33" t="n">
        <v>1</v>
      </c>
      <c r="I456" s="33" t="n">
        <v>1</v>
      </c>
      <c r="J456" s="33" t="n">
        <v>1</v>
      </c>
      <c r="K456" s="32" t="n">
        <v>75</v>
      </c>
      <c r="L456" s="33" t="str">
        <f aca="false">IF($B456="","",IFERROR(INDEX('Code Mapping'!$D$5:$D$1753,MATCH($B456,'Code Mapping'!$A$5:$A$1753,0)),"Unmapped"))</f>
        <v>Internal / promotion</v>
      </c>
      <c r="M456" s="33" t="str">
        <f aca="false">IF($B456="","",IFERROR(INDEX('Code Mapping'!$E$5:$E$1753,MATCH($B456,'Code Mapping'!$A$5:$A$1753,0)),"Unmapped"))</f>
        <v>Internal / promotion</v>
      </c>
      <c r="N456" s="33" t="str">
        <f aca="false">IF($F456="","",$F456)</f>
        <v>INFLATARUN FOOTBALL MADNESS 2025</v>
      </c>
    </row>
    <row r="457" customFormat="false" ht="15" hidden="false" customHeight="false" outlineLevel="0" collapsed="false">
      <c r="A457" s="33" t="n">
        <v>6840</v>
      </c>
      <c r="B457" s="33" t="s">
        <v>306</v>
      </c>
      <c r="C457" s="33" t="s">
        <v>307</v>
      </c>
      <c r="D457" s="33"/>
      <c r="E457" s="33" t="n">
        <v>91</v>
      </c>
      <c r="F457" s="33" t="s">
        <v>36</v>
      </c>
      <c r="G457" s="33" t="s">
        <v>107</v>
      </c>
      <c r="H457" s="33" t="n">
        <v>1</v>
      </c>
      <c r="I457" s="33" t="n">
        <v>4</v>
      </c>
      <c r="J457" s="33" t="n">
        <v>4</v>
      </c>
      <c r="K457" s="32" t="n">
        <v>110</v>
      </c>
      <c r="L457" s="33" t="str">
        <f aca="false">IF($B457="","",IFERROR(INDEX('Code Mapping'!$D$5:$D$1753,MATCH($B457,'Code Mapping'!$A$5:$A$1753,0)),"Unmapped"))</f>
        <v>Unmapped</v>
      </c>
      <c r="M457" s="33" t="str">
        <f aca="false">IF($B457="","",IFERROR(INDEX('Code Mapping'!$E$5:$E$1753,MATCH($B457,'Code Mapping'!$A$5:$A$1753,0)),"Unmapped"))</f>
        <v>Unmapped</v>
      </c>
      <c r="N457" s="33" t="str">
        <f aca="false">IF($F457="","",$F457)</f>
        <v>InflataPark</v>
      </c>
    </row>
    <row r="458" customFormat="false" ht="15" hidden="false" customHeight="false" outlineLevel="0" collapsed="false">
      <c r="A458" s="33" t="n">
        <v>6795</v>
      </c>
      <c r="B458" s="33" t="s">
        <v>196</v>
      </c>
      <c r="C458" s="33" t="s">
        <v>185</v>
      </c>
      <c r="D458" s="33"/>
      <c r="E458" s="33" t="n">
        <v>94</v>
      </c>
      <c r="F458" s="33" t="s">
        <v>37</v>
      </c>
      <c r="G458" s="33" t="s">
        <v>107</v>
      </c>
      <c r="H458" s="33" t="n">
        <v>10</v>
      </c>
      <c r="I458" s="33" t="n">
        <v>10</v>
      </c>
      <c r="J458" s="33" t="n">
        <v>10</v>
      </c>
      <c r="K458" s="32" t="n">
        <v>2275</v>
      </c>
      <c r="L458" s="33" t="str">
        <f aca="false">IF($B458="","",IFERROR(INDEX('Code Mapping'!$D$5:$D$1753,MATCH($B458,'Code Mapping'!$A$5:$A$1753,0)),"Unmapped"))</f>
        <v>My Book</v>
      </c>
      <c r="M458" s="33" t="str">
        <f aca="false">IF($B458="","",IFERROR(INDEX('Code Mapping'!$E$5:$E$1753,MATCH($B458,'Code Mapping'!$A$5:$A$1753,0)),"Unmapped"))</f>
        <v>Aggregator BOGO</v>
      </c>
      <c r="N458" s="33" t="str">
        <f aca="false">IF($F458="","",$F458)</f>
        <v>Kids City Driving School</v>
      </c>
    </row>
    <row r="459" customFormat="false" ht="15" hidden="false" customHeight="false" outlineLevel="0" collapsed="false">
      <c r="A459" s="33" t="n">
        <v>5484</v>
      </c>
      <c r="B459" s="33" t="s">
        <v>205</v>
      </c>
      <c r="C459" s="33" t="s">
        <v>206</v>
      </c>
      <c r="D459" s="33"/>
      <c r="E459" s="33" t="n">
        <v>91</v>
      </c>
      <c r="F459" s="33" t="s">
        <v>36</v>
      </c>
      <c r="G459" s="33" t="s">
        <v>107</v>
      </c>
      <c r="H459" s="33" t="n">
        <v>9</v>
      </c>
      <c r="I459" s="33" t="n">
        <v>15</v>
      </c>
      <c r="J459" s="33" t="n">
        <v>15</v>
      </c>
      <c r="K459" s="32" t="n">
        <v>237</v>
      </c>
      <c r="L459" s="33" t="str">
        <f aca="false">IF($B459="","",IFERROR(INDEX('Code Mapping'!$D$5:$D$1753,MATCH($B459,'Code Mapping'!$A$5:$A$1753,0)),"Unmapped"))</f>
        <v>Internal / promotion</v>
      </c>
      <c r="M459" s="33" t="str">
        <f aca="false">IF($B459="","",IFERROR(INDEX('Code Mapping'!$E$5:$E$1753,MATCH($B459,'Code Mapping'!$A$5:$A$1753,0)),"Unmapped"))</f>
        <v>Internal / promotion</v>
      </c>
      <c r="N459" s="33" t="str">
        <f aca="false">IF($F459="","",$F459)</f>
        <v>InflataPark</v>
      </c>
    </row>
    <row r="460" customFormat="false" ht="15" hidden="false" customHeight="false" outlineLevel="0" collapsed="false">
      <c r="A460" s="33" t="n">
        <v>6807</v>
      </c>
      <c r="B460" s="33" t="s">
        <v>292</v>
      </c>
      <c r="C460" s="33" t="s">
        <v>293</v>
      </c>
      <c r="D460" s="33"/>
      <c r="E460" s="33" t="n">
        <v>94</v>
      </c>
      <c r="F460" s="33" t="s">
        <v>37</v>
      </c>
      <c r="G460" s="33" t="s">
        <v>107</v>
      </c>
      <c r="H460" s="33" t="n">
        <v>1</v>
      </c>
      <c r="I460" s="33" t="n">
        <v>1</v>
      </c>
      <c r="J460" s="33" t="n">
        <v>1</v>
      </c>
      <c r="K460" s="32" t="n">
        <v>33.75</v>
      </c>
      <c r="L460" s="33" t="str">
        <f aca="false">IF($B460="","",IFERROR(INDEX('Code Mapping'!$D$5:$D$1753,MATCH($B460,'Code Mapping'!$A$5:$A$1753,0)),"Unmapped"))</f>
        <v>Al Jazeera Imtiyazat</v>
      </c>
      <c r="M460" s="33" t="str">
        <f aca="false">IF($B460="","",IFERROR(INDEX('Code Mapping'!$E$5:$E$1753,MATCH($B460,'Code Mapping'!$A$5:$A$1753,0)),"Unmapped"))</f>
        <v>Corporate discount</v>
      </c>
      <c r="N460" s="33" t="str">
        <f aca="false">IF($F460="","",$F460)</f>
        <v>Kids City Driving School</v>
      </c>
    </row>
    <row r="461" customFormat="false" ht="15" hidden="false" customHeight="false" outlineLevel="0" collapsed="false">
      <c r="A461" s="33" t="n">
        <v>6796</v>
      </c>
      <c r="B461" s="33" t="s">
        <v>162</v>
      </c>
      <c r="C461" s="33" t="s">
        <v>163</v>
      </c>
      <c r="D461" s="33"/>
      <c r="E461" s="33" t="n">
        <v>91</v>
      </c>
      <c r="F461" s="33" t="s">
        <v>36</v>
      </c>
      <c r="G461" s="33" t="s">
        <v>107</v>
      </c>
      <c r="H461" s="33" t="n">
        <v>19</v>
      </c>
      <c r="I461" s="33" t="n">
        <v>19</v>
      </c>
      <c r="J461" s="33" t="n">
        <v>19</v>
      </c>
      <c r="K461" s="32" t="n">
        <v>2710</v>
      </c>
      <c r="L461" s="33" t="str">
        <f aca="false">IF($B461="","",IFERROR(INDEX('Code Mapping'!$D$5:$D$1753,MATCH($B461,'Code Mapping'!$A$5:$A$1753,0)),"Unmapped"))</f>
        <v>Entertainer</v>
      </c>
      <c r="M461" s="33" t="str">
        <f aca="false">IF($B461="","",IFERROR(INDEX('Code Mapping'!$E$5:$E$1753,MATCH($B461,'Code Mapping'!$A$5:$A$1753,0)),"Unmapped"))</f>
        <v>Aggregator BOGO</v>
      </c>
      <c r="N461" s="33" t="str">
        <f aca="false">IF($F461="","",$F461)</f>
        <v>InflataPark</v>
      </c>
    </row>
    <row r="462" customFormat="false" ht="15" hidden="false" customHeight="false" outlineLevel="0" collapsed="false">
      <c r="A462" s="33" t="n">
        <v>6793</v>
      </c>
      <c r="B462" s="33" t="s">
        <v>197</v>
      </c>
      <c r="C462" s="33" t="s">
        <v>198</v>
      </c>
      <c r="D462" s="33"/>
      <c r="E462" s="33" t="n">
        <v>94</v>
      </c>
      <c r="F462" s="33" t="s">
        <v>37</v>
      </c>
      <c r="G462" s="33" t="s">
        <v>107</v>
      </c>
      <c r="H462" s="33" t="n">
        <v>13</v>
      </c>
      <c r="I462" s="33" t="n">
        <v>13</v>
      </c>
      <c r="J462" s="33" t="n">
        <v>13</v>
      </c>
      <c r="K462" s="32" t="n">
        <v>3000</v>
      </c>
      <c r="L462" s="33" t="str">
        <f aca="false">IF($B462="","",IFERROR(INDEX('Code Mapping'!$D$5:$D$1753,MATCH($B462,'Code Mapping'!$A$5:$A$1753,0)),"Unmapped"))</f>
        <v>Entertainer</v>
      </c>
      <c r="M462" s="33" t="str">
        <f aca="false">IF($B462="","",IFERROR(INDEX('Code Mapping'!$E$5:$E$1753,MATCH($B462,'Code Mapping'!$A$5:$A$1753,0)),"Unmapped"))</f>
        <v>Aggregator BOGO</v>
      </c>
      <c r="N462" s="33" t="str">
        <f aca="false">IF($F462="","",$F462)</f>
        <v>Kids City Driving School</v>
      </c>
    </row>
    <row r="463" customFormat="false" ht="15" hidden="false" customHeight="false" outlineLevel="0" collapsed="false">
      <c r="A463" s="33" t="n">
        <v>6805</v>
      </c>
      <c r="B463" s="33" t="s">
        <v>229</v>
      </c>
      <c r="C463" s="33" t="s">
        <v>230</v>
      </c>
      <c r="D463" s="33"/>
      <c r="E463" s="33" t="n">
        <v>91</v>
      </c>
      <c r="F463" s="33" t="s">
        <v>36</v>
      </c>
      <c r="G463" s="33" t="s">
        <v>107</v>
      </c>
      <c r="H463" s="33" t="n">
        <v>4</v>
      </c>
      <c r="I463" s="33" t="n">
        <v>7</v>
      </c>
      <c r="J463" s="33" t="n">
        <v>7</v>
      </c>
      <c r="K463" s="32" t="n">
        <v>120</v>
      </c>
      <c r="L463" s="33" t="str">
        <f aca="false">IF($B463="","",IFERROR(INDEX('Code Mapping'!$D$5:$D$1753,MATCH($B463,'Code Mapping'!$A$5:$A$1753,0)),"Unmapped"))</f>
        <v>HMC (not on master)</v>
      </c>
      <c r="M463" s="33" t="str">
        <f aca="false">IF($B463="","",IFERROR(INDEX('Code Mapping'!$E$5:$E$1753,MATCH($B463,'Code Mapping'!$A$5:$A$1753,0)),"Unmapped"))</f>
        <v>Not on master</v>
      </c>
      <c r="N463" s="33" t="str">
        <f aca="false">IF($F463="","",$F463)</f>
        <v>InflataPark</v>
      </c>
    </row>
    <row r="464" customFormat="false" ht="15" hidden="false" customHeight="false" outlineLevel="0" collapsed="false">
      <c r="A464" s="33" t="n">
        <v>7743</v>
      </c>
      <c r="B464" s="33" t="s">
        <v>330</v>
      </c>
      <c r="C464" s="33" t="s">
        <v>309</v>
      </c>
      <c r="D464" s="33"/>
      <c r="E464" s="33" t="n">
        <v>124</v>
      </c>
      <c r="F464" s="33" t="s">
        <v>2151</v>
      </c>
      <c r="G464" s="33" t="s">
        <v>107</v>
      </c>
      <c r="H464" s="33" t="n">
        <v>1</v>
      </c>
      <c r="I464" s="33" t="n">
        <v>1</v>
      </c>
      <c r="J464" s="33" t="n">
        <v>1</v>
      </c>
      <c r="K464" s="32" t="n">
        <v>1000</v>
      </c>
      <c r="L464" s="33" t="str">
        <f aca="false">IF($B464="","",IFERROR(INDEX('Code Mapping'!$D$5:$D$1753,MATCH($B464,'Code Mapping'!$A$5:$A$1753,0)),"Unmapped"))</f>
        <v>Internal / promotion</v>
      </c>
      <c r="M464" s="33" t="str">
        <f aca="false">IF($B464="","",IFERROR(INDEX('Code Mapping'!$E$5:$E$1753,MATCH($B464,'Code Mapping'!$A$5:$A$1753,0)),"Unmapped"))</f>
        <v>Internal / promotion</v>
      </c>
      <c r="N464" s="33" t="str">
        <f aca="false">IF($F464="","",$F464)</f>
        <v>INFLATARUN FOOTBALL MADNESS 2025</v>
      </c>
    </row>
    <row r="465" customFormat="false" ht="15" hidden="false" customHeight="false" outlineLevel="0" collapsed="false">
      <c r="A465" s="33" t="n">
        <v>7842</v>
      </c>
      <c r="B465" s="33" t="s">
        <v>377</v>
      </c>
      <c r="C465" s="33" t="s">
        <v>309</v>
      </c>
      <c r="D465" s="33"/>
      <c r="E465" s="33" t="n">
        <v>124</v>
      </c>
      <c r="F465" s="33" t="s">
        <v>2151</v>
      </c>
      <c r="G465" s="33" t="s">
        <v>107</v>
      </c>
      <c r="H465" s="33" t="n">
        <v>1</v>
      </c>
      <c r="I465" s="33" t="n">
        <v>1</v>
      </c>
      <c r="J465" s="33" t="n">
        <v>1</v>
      </c>
      <c r="K465" s="32" t="n">
        <v>1000</v>
      </c>
      <c r="L465" s="33" t="str">
        <f aca="false">IF($B465="","",IFERROR(INDEX('Code Mapping'!$D$5:$D$1753,MATCH($B465,'Code Mapping'!$A$5:$A$1753,0)),"Unmapped"))</f>
        <v>Internal / promotion</v>
      </c>
      <c r="M465" s="33" t="str">
        <f aca="false">IF($B465="","",IFERROR(INDEX('Code Mapping'!$E$5:$E$1753,MATCH($B465,'Code Mapping'!$A$5:$A$1753,0)),"Unmapped"))</f>
        <v>Internal / promotion</v>
      </c>
      <c r="N465" s="33" t="str">
        <f aca="false">IF($F465="","",$F465)</f>
        <v>INFLATARUN FOOTBALL MADNESS 2025</v>
      </c>
    </row>
    <row r="466" customFormat="false" ht="15" hidden="false" customHeight="false" outlineLevel="0" collapsed="false">
      <c r="A466" s="33" t="n">
        <v>6829</v>
      </c>
      <c r="B466" s="33" t="s">
        <v>287</v>
      </c>
      <c r="C466" s="33" t="s">
        <v>288</v>
      </c>
      <c r="D466" s="33"/>
      <c r="E466" s="33" t="n">
        <v>98</v>
      </c>
      <c r="F466" s="33" t="s">
        <v>2152</v>
      </c>
      <c r="G466" s="33" t="s">
        <v>106</v>
      </c>
      <c r="H466" s="33" t="n">
        <v>3</v>
      </c>
      <c r="I466" s="33" t="n">
        <v>3</v>
      </c>
      <c r="J466" s="33" t="n">
        <v>3</v>
      </c>
      <c r="K466" s="32" t="n">
        <v>480</v>
      </c>
      <c r="L466" s="33" t="str">
        <f aca="false">IF($B466="","",IFERROR(INDEX('Code Mapping'!$D$5:$D$1753,MATCH($B466,'Code Mapping'!$A$5:$A$1753,0)),"Unmapped"))</f>
        <v>Unmapped</v>
      </c>
      <c r="M466" s="33" t="str">
        <f aca="false">IF($B466="","",IFERROR(INDEX('Code Mapping'!$E$5:$E$1753,MATCH($B466,'Code Mapping'!$A$5:$A$1753,0)),"Unmapped"))</f>
        <v>Unmapped</v>
      </c>
      <c r="N466" s="33" t="str">
        <f aca="false">IF($F466="","",$F466)</f>
        <v>Ronald Ssemaganda Live in Doha</v>
      </c>
    </row>
    <row r="467" customFormat="false" ht="15" hidden="false" customHeight="false" outlineLevel="0" collapsed="false">
      <c r="A467" s="33" t="n">
        <v>6828</v>
      </c>
      <c r="B467" s="33" t="s">
        <v>429</v>
      </c>
      <c r="C467" s="33" t="s">
        <v>430</v>
      </c>
      <c r="D467" s="33"/>
      <c r="E467" s="33" t="n">
        <v>98</v>
      </c>
      <c r="F467" s="33" t="s">
        <v>2152</v>
      </c>
      <c r="G467" s="33" t="s">
        <v>106</v>
      </c>
      <c r="H467" s="33" t="n">
        <v>1</v>
      </c>
      <c r="I467" s="33" t="n">
        <v>1</v>
      </c>
      <c r="J467" s="33" t="n">
        <v>1</v>
      </c>
      <c r="K467" s="32" t="n">
        <v>100</v>
      </c>
      <c r="L467" s="33" t="str">
        <f aca="false">IF($B467="","",IFERROR(INDEX('Code Mapping'!$D$5:$D$1753,MATCH($B467,'Code Mapping'!$A$5:$A$1753,0)),"Unmapped"))</f>
        <v>Unmapped</v>
      </c>
      <c r="M467" s="33" t="str">
        <f aca="false">IF($B467="","",IFERROR(INDEX('Code Mapping'!$E$5:$E$1753,MATCH($B467,'Code Mapping'!$A$5:$A$1753,0)),"Unmapped"))</f>
        <v>Unmapped</v>
      </c>
      <c r="N467" s="33" t="str">
        <f aca="false">IF($F467="","",$F467)</f>
        <v>Ronald Ssemaganda Live in Doha</v>
      </c>
    </row>
    <row r="468" customFormat="false" ht="15" hidden="false" customHeight="false" outlineLevel="0" collapsed="false">
      <c r="A468" s="33" t="n">
        <v>6794</v>
      </c>
      <c r="B468" s="33" t="s">
        <v>180</v>
      </c>
      <c r="C468" s="33" t="s">
        <v>177</v>
      </c>
      <c r="D468" s="33"/>
      <c r="E468" s="33" t="n">
        <v>94</v>
      </c>
      <c r="F468" s="33" t="s">
        <v>37</v>
      </c>
      <c r="G468" s="33" t="s">
        <v>106</v>
      </c>
      <c r="H468" s="33" t="n">
        <v>41</v>
      </c>
      <c r="I468" s="33" t="n">
        <v>41</v>
      </c>
      <c r="J468" s="33" t="n">
        <v>41</v>
      </c>
      <c r="K468" s="32" t="n">
        <v>9325</v>
      </c>
      <c r="L468" s="33" t="str">
        <f aca="false">IF($B468="","",IFERROR(INDEX('Code Mapping'!$D$5:$D$1753,MATCH($B468,'Code Mapping'!$A$5:$A$1753,0)),"Unmapped"))</f>
        <v>Urban Point</v>
      </c>
      <c r="M468" s="33" t="str">
        <f aca="false">IF($B468="","",IFERROR(INDEX('Code Mapping'!$E$5:$E$1753,MATCH($B468,'Code Mapping'!$A$5:$A$1753,0)),"Unmapped"))</f>
        <v>Aggregator BOGO</v>
      </c>
      <c r="N468" s="33" t="str">
        <f aca="false">IF($F468="","",$F468)</f>
        <v>Kids City Driving School</v>
      </c>
    </row>
    <row r="469" customFormat="false" ht="15" hidden="false" customHeight="false" outlineLevel="0" collapsed="false">
      <c r="A469" s="33" t="n">
        <v>6826</v>
      </c>
      <c r="B469" s="33" t="s">
        <v>173</v>
      </c>
      <c r="C469" s="33" t="s">
        <v>174</v>
      </c>
      <c r="D469" s="33"/>
      <c r="E469" s="33" t="n">
        <v>61</v>
      </c>
      <c r="F469" s="33" t="s">
        <v>38</v>
      </c>
      <c r="G469" s="33" t="s">
        <v>106</v>
      </c>
      <c r="H469" s="33" t="n">
        <v>19</v>
      </c>
      <c r="I469" s="33" t="n">
        <v>27</v>
      </c>
      <c r="J469" s="33" t="n">
        <v>27</v>
      </c>
      <c r="K469" s="32" t="n">
        <v>2700</v>
      </c>
      <c r="L469" s="33" t="str">
        <f aca="false">IF($B469="","",IFERROR(INDEX('Code Mapping'!$D$5:$D$1753,MATCH($B469,'Code Mapping'!$A$5:$A$1753,0)),"Unmapped"))</f>
        <v>Urban Point</v>
      </c>
      <c r="M469" s="33" t="str">
        <f aca="false">IF($B469="","",IFERROR(INDEX('Code Mapping'!$E$5:$E$1753,MATCH($B469,'Code Mapping'!$A$5:$A$1753,0)),"Unmapped"))</f>
        <v>Aggregator BOGO</v>
      </c>
      <c r="N469" s="33" t="str">
        <f aca="false">IF($F469="","",$F469)</f>
        <v>Crayons &amp; Bricks Vendome</v>
      </c>
    </row>
    <row r="470" customFormat="false" ht="15" hidden="false" customHeight="false" outlineLevel="0" collapsed="false">
      <c r="A470" s="33" t="n">
        <v>6797</v>
      </c>
      <c r="B470" s="33" t="s">
        <v>143</v>
      </c>
      <c r="C470" s="33" t="s">
        <v>144</v>
      </c>
      <c r="D470" s="33"/>
      <c r="E470" s="33" t="n">
        <v>91</v>
      </c>
      <c r="F470" s="33" t="s">
        <v>36</v>
      </c>
      <c r="G470" s="33" t="s">
        <v>106</v>
      </c>
      <c r="H470" s="33" t="n">
        <v>97</v>
      </c>
      <c r="I470" s="33" t="n">
        <v>97</v>
      </c>
      <c r="J470" s="33" t="n">
        <v>97</v>
      </c>
      <c r="K470" s="32" t="n">
        <v>17290</v>
      </c>
      <c r="L470" s="33" t="str">
        <f aca="false">IF($B470="","",IFERROR(INDEX('Code Mapping'!$D$5:$D$1753,MATCH($B470,'Code Mapping'!$A$5:$A$1753,0)),"Unmapped"))</f>
        <v>Urban Point</v>
      </c>
      <c r="M470" s="33" t="str">
        <f aca="false">IF($B470="","",IFERROR(INDEX('Code Mapping'!$E$5:$E$1753,MATCH($B470,'Code Mapping'!$A$5:$A$1753,0)),"Unmapped"))</f>
        <v>Aggregator BOGO</v>
      </c>
      <c r="N470" s="33" t="str">
        <f aca="false">IF($F470="","",$F470)</f>
        <v>InflataPark</v>
      </c>
    </row>
    <row r="471" customFormat="false" ht="15" hidden="false" customHeight="false" outlineLevel="0" collapsed="false">
      <c r="A471" s="33" t="n">
        <v>6831</v>
      </c>
      <c r="B471" s="33" t="s">
        <v>286</v>
      </c>
      <c r="C471" s="33"/>
      <c r="D471" s="33"/>
      <c r="E471" s="33" t="n">
        <v>98</v>
      </c>
      <c r="F471" s="33" t="s">
        <v>2152</v>
      </c>
      <c r="G471" s="33" t="s">
        <v>106</v>
      </c>
      <c r="H471" s="33" t="n">
        <v>3</v>
      </c>
      <c r="I471" s="33" t="n">
        <v>3</v>
      </c>
      <c r="J471" s="33" t="n">
        <v>3</v>
      </c>
      <c r="K471" s="32" t="n">
        <v>45</v>
      </c>
      <c r="L471" s="33" t="str">
        <f aca="false">IF($B471="","",IFERROR(INDEX('Code Mapping'!$D$5:$D$1753,MATCH($B471,'Code Mapping'!$A$5:$A$1753,0)),"Unmapped"))</f>
        <v>Unmapped</v>
      </c>
      <c r="M471" s="33" t="str">
        <f aca="false">IF($B471="","",IFERROR(INDEX('Code Mapping'!$E$5:$E$1753,MATCH($B471,'Code Mapping'!$A$5:$A$1753,0)),"Unmapped"))</f>
        <v>Unmapped</v>
      </c>
      <c r="N471" s="33" t="str">
        <f aca="false">IF($F471="","",$F471)</f>
        <v>Ronald Ssemaganda Live in Doha</v>
      </c>
    </row>
    <row r="472" customFormat="false" ht="15" hidden="false" customHeight="false" outlineLevel="0" collapsed="false">
      <c r="A472" s="33" t="n">
        <v>6801</v>
      </c>
      <c r="B472" s="33" t="s">
        <v>258</v>
      </c>
      <c r="C472" s="33" t="s">
        <v>259</v>
      </c>
      <c r="D472" s="33"/>
      <c r="E472" s="33" t="n">
        <v>91</v>
      </c>
      <c r="F472" s="33" t="s">
        <v>36</v>
      </c>
      <c r="G472" s="33" t="s">
        <v>106</v>
      </c>
      <c r="H472" s="33" t="n">
        <v>5</v>
      </c>
      <c r="I472" s="33" t="n">
        <v>7</v>
      </c>
      <c r="J472" s="33" t="n">
        <v>7</v>
      </c>
      <c r="K472" s="32" t="n">
        <v>190.5</v>
      </c>
      <c r="L472" s="33" t="str">
        <f aca="false">IF($B472="","",IFERROR(INDEX('Code Mapping'!$D$5:$D$1753,MATCH($B472,'Code Mapping'!$A$5:$A$1753,0)),"Unmapped"))</f>
        <v>QIB</v>
      </c>
      <c r="M472" s="33" t="str">
        <f aca="false">IF($B472="","",IFERROR(INDEX('Code Mapping'!$E$5:$E$1753,MATCH($B472,'Code Mapping'!$A$5:$A$1753,0)),"Unmapped"))</f>
        <v>Corporate discount</v>
      </c>
      <c r="N472" s="33" t="str">
        <f aca="false">IF($F472="","",$F472)</f>
        <v>InflataPark</v>
      </c>
    </row>
    <row r="473" customFormat="false" ht="15" hidden="false" customHeight="false" outlineLevel="0" collapsed="false">
      <c r="A473" s="33" t="n">
        <v>6803</v>
      </c>
      <c r="B473" s="33" t="s">
        <v>191</v>
      </c>
      <c r="C473" s="33" t="s">
        <v>192</v>
      </c>
      <c r="D473" s="33"/>
      <c r="E473" s="33" t="n">
        <v>91</v>
      </c>
      <c r="F473" s="33" t="s">
        <v>36</v>
      </c>
      <c r="G473" s="33" t="s">
        <v>106</v>
      </c>
      <c r="H473" s="33" t="n">
        <v>7</v>
      </c>
      <c r="I473" s="33" t="n">
        <v>8</v>
      </c>
      <c r="J473" s="33" t="n">
        <v>8</v>
      </c>
      <c r="K473" s="32" t="n">
        <v>211.5</v>
      </c>
      <c r="L473" s="33" t="str">
        <f aca="false">IF($B473="","",IFERROR(INDEX('Code Mapping'!$D$5:$D$1753,MATCH($B473,'Code Mapping'!$A$5:$A$1753,0)),"Unmapped"))</f>
        <v>Qatar Airways</v>
      </c>
      <c r="M473" s="33" t="str">
        <f aca="false">IF($B473="","",IFERROR(INDEX('Code Mapping'!$E$5:$E$1753,MATCH($B473,'Code Mapping'!$A$5:$A$1753,0)),"Unmapped"))</f>
        <v>Corporate discount</v>
      </c>
      <c r="N473" s="33" t="str">
        <f aca="false">IF($F473="","",$F473)</f>
        <v>InflataPark</v>
      </c>
    </row>
    <row r="474" customFormat="false" ht="15" hidden="false" customHeight="false" outlineLevel="0" collapsed="false">
      <c r="A474" s="33" t="n">
        <v>6811</v>
      </c>
      <c r="B474" s="33" t="s">
        <v>238</v>
      </c>
      <c r="C474" s="33" t="s">
        <v>239</v>
      </c>
      <c r="D474" s="33"/>
      <c r="E474" s="33" t="n">
        <v>94</v>
      </c>
      <c r="F474" s="33" t="s">
        <v>37</v>
      </c>
      <c r="G474" s="33" t="s">
        <v>106</v>
      </c>
      <c r="H474" s="33" t="n">
        <v>5</v>
      </c>
      <c r="I474" s="33" t="n">
        <v>6</v>
      </c>
      <c r="J474" s="33" t="n">
        <v>6</v>
      </c>
      <c r="K474" s="32" t="n">
        <v>202.5</v>
      </c>
      <c r="L474" s="33" t="str">
        <f aca="false">IF($B474="","",IFERROR(INDEX('Code Mapping'!$D$5:$D$1753,MATCH($B474,'Code Mapping'!$A$5:$A$1753,0)),"Unmapped"))</f>
        <v>Qatar Airways</v>
      </c>
      <c r="M474" s="33" t="str">
        <f aca="false">IF($B474="","",IFERROR(INDEX('Code Mapping'!$E$5:$E$1753,MATCH($B474,'Code Mapping'!$A$5:$A$1753,0)),"Unmapped"))</f>
        <v>Corporate discount</v>
      </c>
      <c r="N474" s="33" t="str">
        <f aca="false">IF($F474="","",$F474)</f>
        <v>Kids City Driving School</v>
      </c>
    </row>
    <row r="475" customFormat="false" ht="15" hidden="false" customHeight="false" outlineLevel="0" collapsed="false">
      <c r="A475" s="33" t="n">
        <v>6835</v>
      </c>
      <c r="B475" s="33" t="s">
        <v>422</v>
      </c>
      <c r="C475" s="33" t="s">
        <v>423</v>
      </c>
      <c r="D475" s="33"/>
      <c r="E475" s="33" t="n">
        <v>91</v>
      </c>
      <c r="F475" s="33" t="s">
        <v>36</v>
      </c>
      <c r="G475" s="33" t="s">
        <v>106</v>
      </c>
      <c r="H475" s="33" t="n">
        <v>1</v>
      </c>
      <c r="I475" s="33" t="n">
        <v>1</v>
      </c>
      <c r="J475" s="33" t="n">
        <v>1</v>
      </c>
      <c r="K475" s="32" t="n">
        <v>250</v>
      </c>
      <c r="L475" s="33" t="str">
        <f aca="false">IF($B475="","",IFERROR(INDEX('Code Mapping'!$D$5:$D$1753,MATCH($B475,'Code Mapping'!$A$5:$A$1753,0)),"Unmapped"))</f>
        <v>Unmapped</v>
      </c>
      <c r="M475" s="33" t="str">
        <f aca="false">IF($B475="","",IFERROR(INDEX('Code Mapping'!$E$5:$E$1753,MATCH($B475,'Code Mapping'!$A$5:$A$1753,0)),"Unmapped"))</f>
        <v>Unmapped</v>
      </c>
      <c r="N475" s="33" t="str">
        <f aca="false">IF($F475="","",$F475)</f>
        <v>InflataPark</v>
      </c>
    </row>
    <row r="476" customFormat="false" ht="15" hidden="false" customHeight="false" outlineLevel="0" collapsed="false">
      <c r="A476" s="33" t="n">
        <v>6827</v>
      </c>
      <c r="B476" s="33" t="s">
        <v>182</v>
      </c>
      <c r="C476" s="33"/>
      <c r="D476" s="33"/>
      <c r="E476" s="33" t="n">
        <v>61</v>
      </c>
      <c r="F476" s="33" t="s">
        <v>38</v>
      </c>
      <c r="G476" s="33" t="s">
        <v>106</v>
      </c>
      <c r="H476" s="33" t="n">
        <v>6</v>
      </c>
      <c r="I476" s="33" t="n">
        <v>7</v>
      </c>
      <c r="J476" s="33" t="n">
        <v>7</v>
      </c>
      <c r="K476" s="32" t="n">
        <v>700</v>
      </c>
      <c r="L476" s="33" t="str">
        <f aca="false">IF($B476="","",IFERROR(INDEX('Code Mapping'!$D$5:$D$1753,MATCH($B476,'Code Mapping'!$A$5:$A$1753,0)),"Unmapped"))</f>
        <v>My Book</v>
      </c>
      <c r="M476" s="33" t="str">
        <f aca="false">IF($B476="","",IFERROR(INDEX('Code Mapping'!$E$5:$E$1753,MATCH($B476,'Code Mapping'!$A$5:$A$1753,0)),"Unmapped"))</f>
        <v>Aggregator BOGO</v>
      </c>
      <c r="N476" s="33" t="str">
        <f aca="false">IF($F476="","",$F476)</f>
        <v>Crayons &amp; Bricks Vendome</v>
      </c>
    </row>
    <row r="477" customFormat="false" ht="15" hidden="false" customHeight="false" outlineLevel="0" collapsed="false">
      <c r="A477" s="33" t="n">
        <v>6798</v>
      </c>
      <c r="B477" s="33" t="s">
        <v>146</v>
      </c>
      <c r="C477" s="33" t="s">
        <v>147</v>
      </c>
      <c r="D477" s="33"/>
      <c r="E477" s="33" t="n">
        <v>91</v>
      </c>
      <c r="F477" s="33" t="s">
        <v>36</v>
      </c>
      <c r="G477" s="33" t="s">
        <v>106</v>
      </c>
      <c r="H477" s="33" t="n">
        <v>100</v>
      </c>
      <c r="I477" s="33" t="n">
        <v>100</v>
      </c>
      <c r="J477" s="33" t="n">
        <v>100</v>
      </c>
      <c r="K477" s="32" t="n">
        <v>15040</v>
      </c>
      <c r="L477" s="33" t="str">
        <f aca="false">IF($B477="","",IFERROR(INDEX('Code Mapping'!$D$5:$D$1753,MATCH($B477,'Code Mapping'!$A$5:$A$1753,0)),"Unmapped"))</f>
        <v>My Book</v>
      </c>
      <c r="M477" s="33" t="str">
        <f aca="false">IF($B477="","",IFERROR(INDEX('Code Mapping'!$E$5:$E$1753,MATCH($B477,'Code Mapping'!$A$5:$A$1753,0)),"Unmapped"))</f>
        <v>Aggregator BOGO</v>
      </c>
      <c r="N477" s="33" t="str">
        <f aca="false">IF($F477="","",$F477)</f>
        <v>InflataPark</v>
      </c>
    </row>
    <row r="478" customFormat="false" ht="15" hidden="false" customHeight="false" outlineLevel="0" collapsed="false">
      <c r="A478" s="33" t="n">
        <v>6796</v>
      </c>
      <c r="B478" s="33" t="s">
        <v>162</v>
      </c>
      <c r="C478" s="33" t="s">
        <v>163</v>
      </c>
      <c r="D478" s="33"/>
      <c r="E478" s="33" t="n">
        <v>91</v>
      </c>
      <c r="F478" s="33" t="s">
        <v>36</v>
      </c>
      <c r="G478" s="33" t="s">
        <v>106</v>
      </c>
      <c r="H478" s="33" t="n">
        <v>58</v>
      </c>
      <c r="I478" s="33" t="n">
        <v>58</v>
      </c>
      <c r="J478" s="33" t="n">
        <v>58</v>
      </c>
      <c r="K478" s="32" t="n">
        <v>10060</v>
      </c>
      <c r="L478" s="33" t="str">
        <f aca="false">IF($B478="","",IFERROR(INDEX('Code Mapping'!$D$5:$D$1753,MATCH($B478,'Code Mapping'!$A$5:$A$1753,0)),"Unmapped"))</f>
        <v>Entertainer</v>
      </c>
      <c r="M478" s="33" t="str">
        <f aca="false">IF($B478="","",IFERROR(INDEX('Code Mapping'!$E$5:$E$1753,MATCH($B478,'Code Mapping'!$A$5:$A$1753,0)),"Unmapped"))</f>
        <v>Aggregator BOGO</v>
      </c>
      <c r="N478" s="33" t="str">
        <f aca="false">IF($F478="","",$F478)</f>
        <v>InflataPark</v>
      </c>
    </row>
    <row r="479" customFormat="false" ht="15" hidden="false" customHeight="false" outlineLevel="0" collapsed="false">
      <c r="A479" s="33" t="n">
        <v>5538</v>
      </c>
      <c r="B479" s="33" t="s">
        <v>247</v>
      </c>
      <c r="C479" s="33" t="s">
        <v>248</v>
      </c>
      <c r="D479" s="33"/>
      <c r="E479" s="33" t="n">
        <v>91</v>
      </c>
      <c r="F479" s="33" t="s">
        <v>36</v>
      </c>
      <c r="G479" s="33" t="s">
        <v>106</v>
      </c>
      <c r="H479" s="33" t="n">
        <v>9</v>
      </c>
      <c r="I479" s="33" t="n">
        <v>31</v>
      </c>
      <c r="J479" s="33" t="n">
        <v>31</v>
      </c>
      <c r="K479" s="32" t="n">
        <v>348.75</v>
      </c>
      <c r="L479" s="33" t="str">
        <f aca="false">IF($B479="","",IFERROR(INDEX('Code Mapping'!$D$5:$D$1753,MATCH($B479,'Code Mapping'!$A$5:$A$1753,0)),"Unmapped"))</f>
        <v>Internal / promotion</v>
      </c>
      <c r="M479" s="33" t="str">
        <f aca="false">IF($B479="","",IFERROR(INDEX('Code Mapping'!$E$5:$E$1753,MATCH($B479,'Code Mapping'!$A$5:$A$1753,0)),"Unmapped"))</f>
        <v>Internal / promotion</v>
      </c>
      <c r="N479" s="33" t="str">
        <f aca="false">IF($F479="","",$F479)</f>
        <v>InflataPark</v>
      </c>
    </row>
    <row r="480" customFormat="false" ht="15" hidden="false" customHeight="false" outlineLevel="0" collapsed="false">
      <c r="A480" s="33" t="n">
        <v>6799</v>
      </c>
      <c r="B480" s="33" t="s">
        <v>256</v>
      </c>
      <c r="C480" s="33" t="s">
        <v>257</v>
      </c>
      <c r="D480" s="33"/>
      <c r="E480" s="33" t="n">
        <v>91</v>
      </c>
      <c r="F480" s="33" t="s">
        <v>36</v>
      </c>
      <c r="G480" s="33" t="s">
        <v>106</v>
      </c>
      <c r="H480" s="33" t="n">
        <v>3</v>
      </c>
      <c r="I480" s="33" t="n">
        <v>4</v>
      </c>
      <c r="J480" s="33" t="n">
        <v>4</v>
      </c>
      <c r="K480" s="32" t="n">
        <v>69.75</v>
      </c>
      <c r="L480" s="33" t="str">
        <f aca="false">IF($B480="","",IFERROR(INDEX('Code Mapping'!$D$5:$D$1753,MATCH($B480,'Code Mapping'!$A$5:$A$1753,0)),"Unmapped"))</f>
        <v>Al Jazeera Imtiyazat</v>
      </c>
      <c r="M480" s="33" t="str">
        <f aca="false">IF($B480="","",IFERROR(INDEX('Code Mapping'!$E$5:$E$1753,MATCH($B480,'Code Mapping'!$A$5:$A$1753,0)),"Unmapped"))</f>
        <v>Corporate discount</v>
      </c>
      <c r="N480" s="33" t="str">
        <f aca="false">IF($F480="","",$F480)</f>
        <v>InflataPark</v>
      </c>
    </row>
    <row r="481" customFormat="false" ht="15" hidden="false" customHeight="false" outlineLevel="0" collapsed="false">
      <c r="A481" s="33" t="n">
        <v>6795</v>
      </c>
      <c r="B481" s="33" t="s">
        <v>196</v>
      </c>
      <c r="C481" s="33" t="s">
        <v>185</v>
      </c>
      <c r="D481" s="33"/>
      <c r="E481" s="33" t="n">
        <v>94</v>
      </c>
      <c r="F481" s="33" t="s">
        <v>37</v>
      </c>
      <c r="G481" s="33" t="s">
        <v>106</v>
      </c>
      <c r="H481" s="33" t="n">
        <v>21</v>
      </c>
      <c r="I481" s="33" t="n">
        <v>21</v>
      </c>
      <c r="J481" s="33" t="n">
        <v>21</v>
      </c>
      <c r="K481" s="32" t="n">
        <v>4850</v>
      </c>
      <c r="L481" s="33" t="str">
        <f aca="false">IF($B481="","",IFERROR(INDEX('Code Mapping'!$D$5:$D$1753,MATCH($B481,'Code Mapping'!$A$5:$A$1753,0)),"Unmapped"))</f>
        <v>My Book</v>
      </c>
      <c r="M481" s="33" t="str">
        <f aca="false">IF($B481="","",IFERROR(INDEX('Code Mapping'!$E$5:$E$1753,MATCH($B481,'Code Mapping'!$A$5:$A$1753,0)),"Unmapped"))</f>
        <v>Aggregator BOGO</v>
      </c>
      <c r="N481" s="33" t="str">
        <f aca="false">IF($F481="","",$F481)</f>
        <v>Kids City Driving School</v>
      </c>
    </row>
    <row r="482" customFormat="false" ht="15" hidden="false" customHeight="false" outlineLevel="0" collapsed="false">
      <c r="A482" s="33" t="n">
        <v>5557</v>
      </c>
      <c r="B482" s="33" t="s">
        <v>181</v>
      </c>
      <c r="C482" s="33"/>
      <c r="D482" s="33"/>
      <c r="E482" s="33" t="n">
        <v>61</v>
      </c>
      <c r="F482" s="33" t="s">
        <v>38</v>
      </c>
      <c r="G482" s="33" t="s">
        <v>106</v>
      </c>
      <c r="H482" s="33" t="n">
        <v>26</v>
      </c>
      <c r="I482" s="33" t="n">
        <v>37</v>
      </c>
      <c r="J482" s="33" t="n">
        <v>37</v>
      </c>
      <c r="K482" s="32" t="n">
        <v>3700</v>
      </c>
      <c r="L482" s="33" t="str">
        <f aca="false">IF($B482="","",IFERROR(INDEX('Code Mapping'!$D$5:$D$1753,MATCH($B482,'Code Mapping'!$A$5:$A$1753,0)),"Unmapped"))</f>
        <v>Entertainer</v>
      </c>
      <c r="M482" s="33" t="str">
        <f aca="false">IF($B482="","",IFERROR(INDEX('Code Mapping'!$E$5:$E$1753,MATCH($B482,'Code Mapping'!$A$5:$A$1753,0)),"Unmapped"))</f>
        <v>Aggregator BOGO</v>
      </c>
      <c r="N482" s="33" t="str">
        <f aca="false">IF($F482="","",$F482)</f>
        <v>Crayons &amp; Bricks Vendome</v>
      </c>
    </row>
    <row r="483" customFormat="false" ht="15" hidden="false" customHeight="false" outlineLevel="0" collapsed="false">
      <c r="A483" s="33" t="n">
        <v>5484</v>
      </c>
      <c r="B483" s="33" t="s">
        <v>205</v>
      </c>
      <c r="C483" s="33" t="s">
        <v>206</v>
      </c>
      <c r="D483" s="33"/>
      <c r="E483" s="33" t="n">
        <v>91</v>
      </c>
      <c r="F483" s="33" t="s">
        <v>36</v>
      </c>
      <c r="G483" s="33" t="s">
        <v>106</v>
      </c>
      <c r="H483" s="33" t="n">
        <v>10</v>
      </c>
      <c r="I483" s="33" t="n">
        <v>18</v>
      </c>
      <c r="J483" s="33" t="n">
        <v>18</v>
      </c>
      <c r="K483" s="32" t="n">
        <v>481.5</v>
      </c>
      <c r="L483" s="33" t="str">
        <f aca="false">IF($B483="","",IFERROR(INDEX('Code Mapping'!$D$5:$D$1753,MATCH($B483,'Code Mapping'!$A$5:$A$1753,0)),"Unmapped"))</f>
        <v>Internal / promotion</v>
      </c>
      <c r="M483" s="33" t="str">
        <f aca="false">IF($B483="","",IFERROR(INDEX('Code Mapping'!$E$5:$E$1753,MATCH($B483,'Code Mapping'!$A$5:$A$1753,0)),"Unmapped"))</f>
        <v>Internal / promotion</v>
      </c>
      <c r="N483" s="33" t="str">
        <f aca="false">IF($F483="","",$F483)</f>
        <v>InflataPark</v>
      </c>
    </row>
    <row r="484" customFormat="false" ht="15" hidden="false" customHeight="false" outlineLevel="0" collapsed="false">
      <c r="A484" s="33" t="n">
        <v>6793</v>
      </c>
      <c r="B484" s="33" t="s">
        <v>197</v>
      </c>
      <c r="C484" s="33" t="s">
        <v>198</v>
      </c>
      <c r="D484" s="33"/>
      <c r="E484" s="33" t="n">
        <v>94</v>
      </c>
      <c r="F484" s="33" t="s">
        <v>37</v>
      </c>
      <c r="G484" s="33" t="s">
        <v>106</v>
      </c>
      <c r="H484" s="33" t="n">
        <v>20</v>
      </c>
      <c r="I484" s="33" t="n">
        <v>20</v>
      </c>
      <c r="J484" s="33" t="n">
        <v>20</v>
      </c>
      <c r="K484" s="32" t="n">
        <v>4500</v>
      </c>
      <c r="L484" s="33" t="str">
        <f aca="false">IF($B484="","",IFERROR(INDEX('Code Mapping'!$D$5:$D$1753,MATCH($B484,'Code Mapping'!$A$5:$A$1753,0)),"Unmapped"))</f>
        <v>Entertainer</v>
      </c>
      <c r="M484" s="33" t="str">
        <f aca="false">IF($B484="","",IFERROR(INDEX('Code Mapping'!$E$5:$E$1753,MATCH($B484,'Code Mapping'!$A$5:$A$1753,0)),"Unmapped"))</f>
        <v>Aggregator BOGO</v>
      </c>
      <c r="N484" s="33" t="str">
        <f aca="false">IF($F484="","",$F484)</f>
        <v>Kids City Driving School</v>
      </c>
    </row>
    <row r="485" customFormat="false" ht="15" hidden="false" customHeight="false" outlineLevel="0" collapsed="false">
      <c r="A485" s="33" t="n">
        <v>6832</v>
      </c>
      <c r="B485" s="33" t="s">
        <v>283</v>
      </c>
      <c r="C485" s="33"/>
      <c r="D485" s="33"/>
      <c r="E485" s="33" t="n">
        <v>98</v>
      </c>
      <c r="F485" s="33" t="s">
        <v>2152</v>
      </c>
      <c r="G485" s="33" t="s">
        <v>106</v>
      </c>
      <c r="H485" s="33" t="n">
        <v>3</v>
      </c>
      <c r="I485" s="33" t="n">
        <v>3</v>
      </c>
      <c r="J485" s="33" t="n">
        <v>3</v>
      </c>
      <c r="K485" s="32" t="n">
        <v>60</v>
      </c>
      <c r="L485" s="33" t="str">
        <f aca="false">IF($B485="","",IFERROR(INDEX('Code Mapping'!$D$5:$D$1753,MATCH($B485,'Code Mapping'!$A$5:$A$1753,0)),"Unmapped"))</f>
        <v>Unmapped</v>
      </c>
      <c r="M485" s="33" t="str">
        <f aca="false">IF($B485="","",IFERROR(INDEX('Code Mapping'!$E$5:$E$1753,MATCH($B485,'Code Mapping'!$A$5:$A$1753,0)),"Unmapped"))</f>
        <v>Unmapped</v>
      </c>
      <c r="N485" s="33" t="str">
        <f aca="false">IF($F485="","",$F485)</f>
        <v>Ronald Ssemaganda Live in Doha</v>
      </c>
    </row>
    <row r="486" customFormat="false" ht="15" hidden="false" customHeight="false" outlineLevel="0" collapsed="false">
      <c r="A486" s="33" t="n">
        <v>6813</v>
      </c>
      <c r="B486" s="33" t="s">
        <v>270</v>
      </c>
      <c r="C486" s="33" t="s">
        <v>271</v>
      </c>
      <c r="D486" s="33"/>
      <c r="E486" s="33" t="n">
        <v>94</v>
      </c>
      <c r="F486" s="33" t="s">
        <v>37</v>
      </c>
      <c r="G486" s="33" t="s">
        <v>106</v>
      </c>
      <c r="H486" s="33" t="n">
        <v>2</v>
      </c>
      <c r="I486" s="33" t="n">
        <v>2</v>
      </c>
      <c r="J486" s="33" t="n">
        <v>2</v>
      </c>
      <c r="K486" s="32" t="n">
        <v>67.5</v>
      </c>
      <c r="L486" s="33" t="str">
        <f aca="false">IF($B486="","",IFERROR(INDEX('Code Mapping'!$D$5:$D$1753,MATCH($B486,'Code Mapping'!$A$5:$A$1753,0)),"Unmapped"))</f>
        <v>HMC (not on master)</v>
      </c>
      <c r="M486" s="33" t="str">
        <f aca="false">IF($B486="","",IFERROR(INDEX('Code Mapping'!$E$5:$E$1753,MATCH($B486,'Code Mapping'!$A$5:$A$1753,0)),"Unmapped"))</f>
        <v>Not on master</v>
      </c>
      <c r="N486" s="33" t="str">
        <f aca="false">IF($F486="","",$F486)</f>
        <v>Kids City Driving School</v>
      </c>
    </row>
    <row r="487" customFormat="false" ht="15" hidden="false" customHeight="false" outlineLevel="0" collapsed="false">
      <c r="A487" s="33" t="n">
        <v>6805</v>
      </c>
      <c r="B487" s="33" t="s">
        <v>229</v>
      </c>
      <c r="C487" s="33" t="s">
        <v>230</v>
      </c>
      <c r="D487" s="33"/>
      <c r="E487" s="33" t="n">
        <v>91</v>
      </c>
      <c r="F487" s="33" t="s">
        <v>36</v>
      </c>
      <c r="G487" s="33" t="s">
        <v>106</v>
      </c>
      <c r="H487" s="33" t="n">
        <v>7</v>
      </c>
      <c r="I487" s="33" t="n">
        <v>10</v>
      </c>
      <c r="J487" s="33" t="n">
        <v>10</v>
      </c>
      <c r="K487" s="32" t="n">
        <v>173.25</v>
      </c>
      <c r="L487" s="33" t="str">
        <f aca="false">IF($B487="","",IFERROR(INDEX('Code Mapping'!$D$5:$D$1753,MATCH($B487,'Code Mapping'!$A$5:$A$1753,0)),"Unmapped"))</f>
        <v>HMC (not on master)</v>
      </c>
      <c r="M487" s="33" t="str">
        <f aca="false">IF($B487="","",IFERROR(INDEX('Code Mapping'!$E$5:$E$1753,MATCH($B487,'Code Mapping'!$A$5:$A$1753,0)),"Unmapped"))</f>
        <v>Not on master</v>
      </c>
      <c r="N487" s="33" t="str">
        <f aca="false">IF($F487="","",$F487)</f>
        <v>InflataPark</v>
      </c>
    </row>
    <row r="488" customFormat="false" ht="15" hidden="false" customHeight="false" outlineLevel="0" collapsed="false">
      <c r="A488" s="33" t="n">
        <v>6801</v>
      </c>
      <c r="B488" s="33" t="s">
        <v>258</v>
      </c>
      <c r="C488" s="33" t="s">
        <v>259</v>
      </c>
      <c r="D488" s="33"/>
      <c r="E488" s="33" t="n">
        <v>91</v>
      </c>
      <c r="F488" s="33" t="s">
        <v>36</v>
      </c>
      <c r="G488" s="33" t="s">
        <v>105</v>
      </c>
      <c r="H488" s="33" t="n">
        <v>3</v>
      </c>
      <c r="I488" s="33" t="n">
        <v>5</v>
      </c>
      <c r="J488" s="33" t="n">
        <v>5</v>
      </c>
      <c r="K488" s="32" t="n">
        <v>143.25</v>
      </c>
      <c r="L488" s="33" t="str">
        <f aca="false">IF($B488="","",IFERROR(INDEX('Code Mapping'!$D$5:$D$1753,MATCH($B488,'Code Mapping'!$A$5:$A$1753,0)),"Unmapped"))</f>
        <v>QIB</v>
      </c>
      <c r="M488" s="33" t="str">
        <f aca="false">IF($B488="","",IFERROR(INDEX('Code Mapping'!$E$5:$E$1753,MATCH($B488,'Code Mapping'!$A$5:$A$1753,0)),"Unmapped"))</f>
        <v>Corporate discount</v>
      </c>
      <c r="N488" s="33" t="str">
        <f aca="false">IF($F488="","",$F488)</f>
        <v>InflataPark</v>
      </c>
    </row>
    <row r="489" customFormat="false" ht="15" hidden="false" customHeight="false" outlineLevel="0" collapsed="false">
      <c r="A489" s="33" t="n">
        <v>5538</v>
      </c>
      <c r="B489" s="33" t="s">
        <v>247</v>
      </c>
      <c r="C489" s="33" t="s">
        <v>248</v>
      </c>
      <c r="D489" s="33"/>
      <c r="E489" s="33" t="n">
        <v>91</v>
      </c>
      <c r="F489" s="33" t="s">
        <v>36</v>
      </c>
      <c r="G489" s="33" t="s">
        <v>105</v>
      </c>
      <c r="H489" s="33" t="n">
        <v>12</v>
      </c>
      <c r="I489" s="33" t="n">
        <v>20</v>
      </c>
      <c r="J489" s="33" t="n">
        <v>20</v>
      </c>
      <c r="K489" s="32" t="n">
        <v>225</v>
      </c>
      <c r="L489" s="33" t="str">
        <f aca="false">IF($B489="","",IFERROR(INDEX('Code Mapping'!$D$5:$D$1753,MATCH($B489,'Code Mapping'!$A$5:$A$1753,0)),"Unmapped"))</f>
        <v>Internal / promotion</v>
      </c>
      <c r="M489" s="33" t="str">
        <f aca="false">IF($B489="","",IFERROR(INDEX('Code Mapping'!$E$5:$E$1753,MATCH($B489,'Code Mapping'!$A$5:$A$1753,0)),"Unmapped"))</f>
        <v>Internal / promotion</v>
      </c>
      <c r="N489" s="33" t="str">
        <f aca="false">IF($F489="","",$F489)</f>
        <v>InflataPark</v>
      </c>
    </row>
    <row r="490" customFormat="false" ht="15" hidden="false" customHeight="false" outlineLevel="0" collapsed="false">
      <c r="A490" s="33" t="n">
        <v>5526</v>
      </c>
      <c r="B490" s="33" t="s">
        <v>1783</v>
      </c>
      <c r="C490" s="33" t="s">
        <v>1784</v>
      </c>
      <c r="D490" s="33"/>
      <c r="E490" s="33" t="n">
        <v>94</v>
      </c>
      <c r="F490" s="33" t="s">
        <v>2153</v>
      </c>
      <c r="G490" s="33" t="s">
        <v>105</v>
      </c>
      <c r="H490" s="33" t="n">
        <v>1</v>
      </c>
      <c r="I490" s="33" t="n">
        <v>1</v>
      </c>
      <c r="J490" s="33" t="n">
        <v>1</v>
      </c>
      <c r="K490" s="32" t="n">
        <v>33.75</v>
      </c>
      <c r="L490" s="33" t="str">
        <f aca="false">IF($B490="","",IFERROR(INDEX('Code Mapping'!$D$5:$D$1753,MATCH($B490,'Code Mapping'!$A$5:$A$1753,0)),"Unmapped"))</f>
        <v>Qatar Airways</v>
      </c>
      <c r="M490" s="33" t="str">
        <f aca="false">IF($B490="","",IFERROR(INDEX('Code Mapping'!$E$5:$E$1753,MATCH($B490,'Code Mapping'!$A$5:$A$1753,0)),"Unmapped"))</f>
        <v>Corporate discount</v>
      </c>
      <c r="N490" s="33" t="str">
        <f aca="false">IF($F490="","",$F490)</f>
        <v>Driving School</v>
      </c>
    </row>
    <row r="491" customFormat="false" ht="15" hidden="false" customHeight="false" outlineLevel="0" collapsed="false">
      <c r="A491" s="33" t="n">
        <v>6798</v>
      </c>
      <c r="B491" s="33" t="s">
        <v>146</v>
      </c>
      <c r="C491" s="33" t="s">
        <v>147</v>
      </c>
      <c r="D491" s="33"/>
      <c r="E491" s="33" t="n">
        <v>91</v>
      </c>
      <c r="F491" s="33" t="s">
        <v>36</v>
      </c>
      <c r="G491" s="33" t="s">
        <v>105</v>
      </c>
      <c r="H491" s="33" t="n">
        <v>96</v>
      </c>
      <c r="I491" s="33" t="n">
        <v>96</v>
      </c>
      <c r="J491" s="33" t="n">
        <v>96</v>
      </c>
      <c r="K491" s="32" t="n">
        <v>15810</v>
      </c>
      <c r="L491" s="33" t="str">
        <f aca="false">IF($B491="","",IFERROR(INDEX('Code Mapping'!$D$5:$D$1753,MATCH($B491,'Code Mapping'!$A$5:$A$1753,0)),"Unmapped"))</f>
        <v>My Book</v>
      </c>
      <c r="M491" s="33" t="str">
        <f aca="false">IF($B491="","",IFERROR(INDEX('Code Mapping'!$E$5:$E$1753,MATCH($B491,'Code Mapping'!$A$5:$A$1753,0)),"Unmapped"))</f>
        <v>Aggregator BOGO</v>
      </c>
      <c r="N491" s="33" t="str">
        <f aca="false">IF($F491="","",$F491)</f>
        <v>InflataPark</v>
      </c>
    </row>
    <row r="492" customFormat="false" ht="15" hidden="false" customHeight="false" outlineLevel="0" collapsed="false">
      <c r="A492" s="33" t="n">
        <v>6811</v>
      </c>
      <c r="B492" s="33" t="s">
        <v>238</v>
      </c>
      <c r="C492" s="33" t="s">
        <v>239</v>
      </c>
      <c r="D492" s="33"/>
      <c r="E492" s="33" t="n">
        <v>94</v>
      </c>
      <c r="F492" s="33" t="s">
        <v>2153</v>
      </c>
      <c r="G492" s="33" t="s">
        <v>105</v>
      </c>
      <c r="H492" s="33" t="n">
        <v>1</v>
      </c>
      <c r="I492" s="33" t="n">
        <v>1</v>
      </c>
      <c r="J492" s="33" t="n">
        <v>1</v>
      </c>
      <c r="K492" s="32" t="n">
        <v>33.75</v>
      </c>
      <c r="L492" s="33" t="str">
        <f aca="false">IF($B492="","",IFERROR(INDEX('Code Mapping'!$D$5:$D$1753,MATCH($B492,'Code Mapping'!$A$5:$A$1753,0)),"Unmapped"))</f>
        <v>Qatar Airways</v>
      </c>
      <c r="M492" s="33" t="str">
        <f aca="false">IF($B492="","",IFERROR(INDEX('Code Mapping'!$E$5:$E$1753,MATCH($B492,'Code Mapping'!$A$5:$A$1753,0)),"Unmapped"))</f>
        <v>Corporate discount</v>
      </c>
      <c r="N492" s="33" t="str">
        <f aca="false">IF($F492="","",$F492)</f>
        <v>Driving School</v>
      </c>
    </row>
    <row r="493" customFormat="false" ht="15" hidden="false" customHeight="false" outlineLevel="0" collapsed="false">
      <c r="A493" s="33" t="n">
        <v>6803</v>
      </c>
      <c r="B493" s="33" t="s">
        <v>191</v>
      </c>
      <c r="C493" s="33" t="s">
        <v>192</v>
      </c>
      <c r="D493" s="33"/>
      <c r="E493" s="33" t="n">
        <v>91</v>
      </c>
      <c r="F493" s="33" t="s">
        <v>36</v>
      </c>
      <c r="G493" s="33" t="s">
        <v>105</v>
      </c>
      <c r="H493" s="33" t="n">
        <v>20</v>
      </c>
      <c r="I493" s="33" t="n">
        <v>28</v>
      </c>
      <c r="J493" s="33" t="n">
        <v>28</v>
      </c>
      <c r="K493" s="32" t="n">
        <v>492</v>
      </c>
      <c r="L493" s="33" t="str">
        <f aca="false">IF($B493="","",IFERROR(INDEX('Code Mapping'!$D$5:$D$1753,MATCH($B493,'Code Mapping'!$A$5:$A$1753,0)),"Unmapped"))</f>
        <v>Qatar Airways</v>
      </c>
      <c r="M493" s="33" t="str">
        <f aca="false">IF($B493="","",IFERROR(INDEX('Code Mapping'!$E$5:$E$1753,MATCH($B493,'Code Mapping'!$A$5:$A$1753,0)),"Unmapped"))</f>
        <v>Corporate discount</v>
      </c>
      <c r="N493" s="33" t="str">
        <f aca="false">IF($F493="","",$F493)</f>
        <v>InflataPark</v>
      </c>
    </row>
    <row r="494" customFormat="false" ht="15" hidden="false" customHeight="false" outlineLevel="0" collapsed="false">
      <c r="A494" s="33" t="n">
        <v>6794</v>
      </c>
      <c r="B494" s="33" t="s">
        <v>180</v>
      </c>
      <c r="C494" s="33" t="s">
        <v>177</v>
      </c>
      <c r="D494" s="33"/>
      <c r="E494" s="33" t="n">
        <v>94</v>
      </c>
      <c r="F494" s="33" t="s">
        <v>2153</v>
      </c>
      <c r="G494" s="33" t="s">
        <v>105</v>
      </c>
      <c r="H494" s="33" t="n">
        <v>1</v>
      </c>
      <c r="I494" s="33" t="n">
        <v>1</v>
      </c>
      <c r="J494" s="33" t="n">
        <v>1</v>
      </c>
      <c r="K494" s="32" t="n">
        <v>225</v>
      </c>
      <c r="L494" s="33" t="str">
        <f aca="false">IF($B494="","",IFERROR(INDEX('Code Mapping'!$D$5:$D$1753,MATCH($B494,'Code Mapping'!$A$5:$A$1753,0)),"Unmapped"))</f>
        <v>Urban Point</v>
      </c>
      <c r="M494" s="33" t="str">
        <f aca="false">IF($B494="","",IFERROR(INDEX('Code Mapping'!$E$5:$E$1753,MATCH($B494,'Code Mapping'!$A$5:$A$1753,0)),"Unmapped"))</f>
        <v>Aggregator BOGO</v>
      </c>
      <c r="N494" s="33" t="str">
        <f aca="false">IF($F494="","",$F494)</f>
        <v>Driving School</v>
      </c>
    </row>
    <row r="495" customFormat="false" ht="15" hidden="false" customHeight="false" outlineLevel="0" collapsed="false">
      <c r="A495" s="33" t="n">
        <v>6818</v>
      </c>
      <c r="B495" s="33" t="s">
        <v>2110</v>
      </c>
      <c r="C495" s="33" t="s">
        <v>2111</v>
      </c>
      <c r="D495" s="33"/>
      <c r="E495" s="33" t="n">
        <v>91</v>
      </c>
      <c r="F495" s="33" t="s">
        <v>36</v>
      </c>
      <c r="G495" s="33" t="s">
        <v>105</v>
      </c>
      <c r="H495" s="33" t="n">
        <v>1</v>
      </c>
      <c r="I495" s="33" t="n">
        <v>15</v>
      </c>
      <c r="J495" s="33" t="n">
        <v>15</v>
      </c>
      <c r="K495" s="32" t="n">
        <v>101.25</v>
      </c>
      <c r="L495" s="33" t="str">
        <f aca="false">IF($B495="","",IFERROR(INDEX('Code Mapping'!$D$5:$D$1753,MATCH($B495,'Code Mapping'!$A$5:$A$1753,0)),"Unmapped"))</f>
        <v>Snoonu Employees</v>
      </c>
      <c r="M495" s="33" t="str">
        <f aca="false">IF($B495="","",IFERROR(INDEX('Code Mapping'!$E$5:$E$1753,MATCH($B495,'Code Mapping'!$A$5:$A$1753,0)),"Unmapped"))</f>
        <v>Corporate discount</v>
      </c>
      <c r="N495" s="33" t="str">
        <f aca="false">IF($F495="","",$F495)</f>
        <v>InflataPark</v>
      </c>
    </row>
    <row r="496" customFormat="false" ht="15" hidden="false" customHeight="false" outlineLevel="0" collapsed="false">
      <c r="A496" s="33" t="n">
        <v>6776</v>
      </c>
      <c r="B496" s="33" t="s">
        <v>2031</v>
      </c>
      <c r="C496" s="33" t="s">
        <v>2032</v>
      </c>
      <c r="D496" s="33"/>
      <c r="E496" s="33" t="n">
        <v>94</v>
      </c>
      <c r="F496" s="33" t="s">
        <v>37</v>
      </c>
      <c r="G496" s="33" t="s">
        <v>105</v>
      </c>
      <c r="H496" s="33" t="n">
        <v>1</v>
      </c>
      <c r="I496" s="33" t="n">
        <v>1</v>
      </c>
      <c r="J496" s="33" t="n">
        <v>1</v>
      </c>
      <c r="K496" s="32" t="n">
        <v>250</v>
      </c>
      <c r="L496" s="33" t="str">
        <f aca="false">IF($B496="","",IFERROR(INDEX('Code Mapping'!$D$5:$D$1753,MATCH($B496,'Code Mapping'!$A$5:$A$1753,0)),"Unmapped"))</f>
        <v>Urban Point</v>
      </c>
      <c r="M496" s="33" t="str">
        <f aca="false">IF($B496="","",IFERROR(INDEX('Code Mapping'!$E$5:$E$1753,MATCH($B496,'Code Mapping'!$A$5:$A$1753,0)),"Unmapped"))</f>
        <v>Aggregator BOGO</v>
      </c>
      <c r="N496" s="33" t="str">
        <f aca="false">IF($F496="","",$F496)</f>
        <v>Kids City Driving School</v>
      </c>
    </row>
    <row r="497" customFormat="false" ht="15" hidden="false" customHeight="false" outlineLevel="0" collapsed="false">
      <c r="A497" s="33" t="n">
        <v>6797</v>
      </c>
      <c r="B497" s="33" t="s">
        <v>143</v>
      </c>
      <c r="C497" s="33" t="s">
        <v>144</v>
      </c>
      <c r="D497" s="33"/>
      <c r="E497" s="33" t="n">
        <v>91</v>
      </c>
      <c r="F497" s="33" t="s">
        <v>36</v>
      </c>
      <c r="G497" s="33" t="s">
        <v>105</v>
      </c>
      <c r="H497" s="33" t="n">
        <v>89</v>
      </c>
      <c r="I497" s="33" t="n">
        <v>89</v>
      </c>
      <c r="J497" s="33" t="n">
        <v>89</v>
      </c>
      <c r="K497" s="32" t="n">
        <v>15070</v>
      </c>
      <c r="L497" s="33" t="str">
        <f aca="false">IF($B497="","",IFERROR(INDEX('Code Mapping'!$D$5:$D$1753,MATCH($B497,'Code Mapping'!$A$5:$A$1753,0)),"Unmapped"))</f>
        <v>Urban Point</v>
      </c>
      <c r="M497" s="33" t="str">
        <f aca="false">IF($B497="","",IFERROR(INDEX('Code Mapping'!$E$5:$E$1753,MATCH($B497,'Code Mapping'!$A$5:$A$1753,0)),"Unmapped"))</f>
        <v>Aggregator BOGO</v>
      </c>
      <c r="N497" s="33" t="str">
        <f aca="false">IF($F497="","",$F497)</f>
        <v>InflataPark</v>
      </c>
    </row>
    <row r="498" customFormat="false" ht="15" hidden="false" customHeight="false" outlineLevel="0" collapsed="false">
      <c r="A498" s="33" t="n">
        <v>6794</v>
      </c>
      <c r="B498" s="33" t="s">
        <v>180</v>
      </c>
      <c r="C498" s="33" t="s">
        <v>177</v>
      </c>
      <c r="D498" s="33"/>
      <c r="E498" s="33" t="n">
        <v>94</v>
      </c>
      <c r="F498" s="33" t="s">
        <v>37</v>
      </c>
      <c r="G498" s="33" t="s">
        <v>105</v>
      </c>
      <c r="H498" s="33" t="n">
        <v>17</v>
      </c>
      <c r="I498" s="33" t="n">
        <v>17</v>
      </c>
      <c r="J498" s="33" t="n">
        <v>17</v>
      </c>
      <c r="K498" s="32" t="n">
        <v>3850</v>
      </c>
      <c r="L498" s="33" t="str">
        <f aca="false">IF($B498="","",IFERROR(INDEX('Code Mapping'!$D$5:$D$1753,MATCH($B498,'Code Mapping'!$A$5:$A$1753,0)),"Unmapped"))</f>
        <v>Urban Point</v>
      </c>
      <c r="M498" s="33" t="str">
        <f aca="false">IF($B498="","",IFERROR(INDEX('Code Mapping'!$E$5:$E$1753,MATCH($B498,'Code Mapping'!$A$5:$A$1753,0)),"Unmapped"))</f>
        <v>Aggregator BOGO</v>
      </c>
      <c r="N498" s="33" t="str">
        <f aca="false">IF($F498="","",$F498)</f>
        <v>Kids City Driving School</v>
      </c>
    </row>
    <row r="499" customFormat="false" ht="15" hidden="false" customHeight="false" outlineLevel="0" collapsed="false">
      <c r="A499" s="33" t="n">
        <v>5472</v>
      </c>
      <c r="B499" s="33" t="s">
        <v>2074</v>
      </c>
      <c r="C499" s="33" t="s">
        <v>2075</v>
      </c>
      <c r="D499" s="33"/>
      <c r="E499" s="33" t="n">
        <v>91</v>
      </c>
      <c r="F499" s="33" t="s">
        <v>36</v>
      </c>
      <c r="G499" s="33" t="s">
        <v>105</v>
      </c>
      <c r="H499" s="33" t="n">
        <v>1</v>
      </c>
      <c r="I499" s="33" t="n">
        <v>1</v>
      </c>
      <c r="J499" s="33" t="n">
        <v>1</v>
      </c>
      <c r="K499" s="32" t="n">
        <v>250</v>
      </c>
      <c r="L499" s="33" t="str">
        <f aca="false">IF($B499="","",IFERROR(INDEX('Code Mapping'!$D$5:$D$1753,MATCH($B499,'Code Mapping'!$A$5:$A$1753,0)),"Unmapped"))</f>
        <v>Unmapped</v>
      </c>
      <c r="M499" s="33" t="str">
        <f aca="false">IF($B499="","",IFERROR(INDEX('Code Mapping'!$E$5:$E$1753,MATCH($B499,'Code Mapping'!$A$5:$A$1753,0)),"Unmapped"))</f>
        <v>Unmapped</v>
      </c>
      <c r="N499" s="33" t="str">
        <f aca="false">IF($F499="","",$F499)</f>
        <v>InflataPark</v>
      </c>
    </row>
    <row r="500" customFormat="false" ht="15" hidden="false" customHeight="false" outlineLevel="0" collapsed="false">
      <c r="A500" s="33" t="n">
        <v>5473</v>
      </c>
      <c r="B500" s="33" t="s">
        <v>2076</v>
      </c>
      <c r="C500" s="33" t="s">
        <v>2077</v>
      </c>
      <c r="D500" s="33"/>
      <c r="E500" s="33" t="n">
        <v>91</v>
      </c>
      <c r="F500" s="33" t="s">
        <v>36</v>
      </c>
      <c r="G500" s="33" t="s">
        <v>105</v>
      </c>
      <c r="H500" s="33" t="n">
        <v>1</v>
      </c>
      <c r="I500" s="33" t="n">
        <v>1</v>
      </c>
      <c r="J500" s="33" t="n">
        <v>1</v>
      </c>
      <c r="K500" s="32" t="n">
        <v>250</v>
      </c>
      <c r="L500" s="33" t="str">
        <f aca="false">IF($B500="","",IFERROR(INDEX('Code Mapping'!$D$5:$D$1753,MATCH($B500,'Code Mapping'!$A$5:$A$1753,0)),"Unmapped"))</f>
        <v>Unmapped</v>
      </c>
      <c r="M500" s="33" t="str">
        <f aca="false">IF($B500="","",IFERROR(INDEX('Code Mapping'!$E$5:$E$1753,MATCH($B500,'Code Mapping'!$A$5:$A$1753,0)),"Unmapped"))</f>
        <v>Unmapped</v>
      </c>
      <c r="N500" s="33" t="str">
        <f aca="false">IF($F500="","",$F500)</f>
        <v>InflataPark</v>
      </c>
    </row>
    <row r="501" customFormat="false" ht="15" hidden="false" customHeight="false" outlineLevel="0" collapsed="false">
      <c r="A501" s="33" t="n">
        <v>6811</v>
      </c>
      <c r="B501" s="33" t="s">
        <v>238</v>
      </c>
      <c r="C501" s="33" t="s">
        <v>239</v>
      </c>
      <c r="D501" s="33"/>
      <c r="E501" s="33" t="n">
        <v>94</v>
      </c>
      <c r="F501" s="33" t="s">
        <v>37</v>
      </c>
      <c r="G501" s="33" t="s">
        <v>105</v>
      </c>
      <c r="H501" s="33" t="n">
        <v>2</v>
      </c>
      <c r="I501" s="33" t="n">
        <v>2</v>
      </c>
      <c r="J501" s="33" t="n">
        <v>2</v>
      </c>
      <c r="K501" s="32" t="n">
        <v>67.5</v>
      </c>
      <c r="L501" s="33" t="str">
        <f aca="false">IF($B501="","",IFERROR(INDEX('Code Mapping'!$D$5:$D$1753,MATCH($B501,'Code Mapping'!$A$5:$A$1753,0)),"Unmapped"))</f>
        <v>Qatar Airways</v>
      </c>
      <c r="M501" s="33" t="str">
        <f aca="false">IF($B501="","",IFERROR(INDEX('Code Mapping'!$E$5:$E$1753,MATCH($B501,'Code Mapping'!$A$5:$A$1753,0)),"Unmapped"))</f>
        <v>Corporate discount</v>
      </c>
      <c r="N501" s="33" t="str">
        <f aca="false">IF($F501="","",$F501)</f>
        <v>Kids City Driving School</v>
      </c>
    </row>
    <row r="502" customFormat="false" ht="15" hidden="false" customHeight="false" outlineLevel="0" collapsed="false">
      <c r="A502" s="33" t="n">
        <v>5471</v>
      </c>
      <c r="B502" s="33" t="s">
        <v>2072</v>
      </c>
      <c r="C502" s="33" t="s">
        <v>2073</v>
      </c>
      <c r="D502" s="33"/>
      <c r="E502" s="33" t="n">
        <v>91</v>
      </c>
      <c r="F502" s="33" t="s">
        <v>36</v>
      </c>
      <c r="G502" s="33" t="s">
        <v>105</v>
      </c>
      <c r="H502" s="33" t="n">
        <v>1</v>
      </c>
      <c r="I502" s="33" t="n">
        <v>1</v>
      </c>
      <c r="J502" s="33" t="n">
        <v>1</v>
      </c>
      <c r="K502" s="32" t="n">
        <v>250</v>
      </c>
      <c r="L502" s="33" t="str">
        <f aca="false">IF($B502="","",IFERROR(INDEX('Code Mapping'!$D$5:$D$1753,MATCH($B502,'Code Mapping'!$A$5:$A$1753,0)),"Unmapped"))</f>
        <v>Unmapped</v>
      </c>
      <c r="M502" s="33" t="str">
        <f aca="false">IF($B502="","",IFERROR(INDEX('Code Mapping'!$E$5:$E$1753,MATCH($B502,'Code Mapping'!$A$5:$A$1753,0)),"Unmapped"))</f>
        <v>Unmapped</v>
      </c>
      <c r="N502" s="33" t="str">
        <f aca="false">IF($F502="","",$F502)</f>
        <v>InflataPark</v>
      </c>
    </row>
    <row r="503" customFormat="false" ht="15" hidden="false" customHeight="false" outlineLevel="0" collapsed="false">
      <c r="A503" s="33" t="n">
        <v>6796</v>
      </c>
      <c r="B503" s="33" t="s">
        <v>162</v>
      </c>
      <c r="C503" s="33" t="s">
        <v>163</v>
      </c>
      <c r="D503" s="33"/>
      <c r="E503" s="33" t="n">
        <v>91</v>
      </c>
      <c r="F503" s="33" t="s">
        <v>36</v>
      </c>
      <c r="G503" s="33" t="s">
        <v>105</v>
      </c>
      <c r="H503" s="33" t="n">
        <v>43</v>
      </c>
      <c r="I503" s="33" t="n">
        <v>43</v>
      </c>
      <c r="J503" s="33" t="n">
        <v>43</v>
      </c>
      <c r="K503" s="32" t="n">
        <v>7275</v>
      </c>
      <c r="L503" s="33" t="str">
        <f aca="false">IF($B503="","",IFERROR(INDEX('Code Mapping'!$D$5:$D$1753,MATCH($B503,'Code Mapping'!$A$5:$A$1753,0)),"Unmapped"))</f>
        <v>Entertainer</v>
      </c>
      <c r="M503" s="33" t="str">
        <f aca="false">IF($B503="","",IFERROR(INDEX('Code Mapping'!$E$5:$E$1753,MATCH($B503,'Code Mapping'!$A$5:$A$1753,0)),"Unmapped"))</f>
        <v>Aggregator BOGO</v>
      </c>
      <c r="N503" s="33" t="str">
        <f aca="false">IF($F503="","",$F503)</f>
        <v>InflataPark</v>
      </c>
    </row>
    <row r="504" customFormat="false" ht="15" hidden="false" customHeight="false" outlineLevel="0" collapsed="false">
      <c r="A504" s="33" t="n">
        <v>6806</v>
      </c>
      <c r="B504" s="33" t="s">
        <v>446</v>
      </c>
      <c r="C504" s="33" t="s">
        <v>447</v>
      </c>
      <c r="D504" s="33"/>
      <c r="E504" s="33" t="n">
        <v>91</v>
      </c>
      <c r="F504" s="33" t="s">
        <v>36</v>
      </c>
      <c r="G504" s="33" t="s">
        <v>105</v>
      </c>
      <c r="H504" s="33" t="n">
        <v>1</v>
      </c>
      <c r="I504" s="33" t="n">
        <v>1</v>
      </c>
      <c r="J504" s="33" t="n">
        <v>1</v>
      </c>
      <c r="K504" s="32" t="n">
        <v>11.25</v>
      </c>
      <c r="L504" s="33" t="str">
        <f aca="false">IF($B504="","",IFERROR(INDEX('Code Mapping'!$D$5:$D$1753,MATCH($B504,'Code Mapping'!$A$5:$A$1753,0)),"Unmapped"))</f>
        <v>Aspire</v>
      </c>
      <c r="M504" s="33" t="str">
        <f aca="false">IF($B504="","",IFERROR(INDEX('Code Mapping'!$E$5:$E$1753,MATCH($B504,'Code Mapping'!$A$5:$A$1753,0)),"Unmapped"))</f>
        <v>Corporate discount</v>
      </c>
      <c r="N504" s="33" t="str">
        <f aca="false">IF($F504="","",$F504)</f>
        <v>InflataPark</v>
      </c>
    </row>
    <row r="505" customFormat="false" ht="15" hidden="false" customHeight="false" outlineLevel="0" collapsed="false">
      <c r="A505" s="33" t="n">
        <v>5470</v>
      </c>
      <c r="B505" s="33" t="s">
        <v>2070</v>
      </c>
      <c r="C505" s="33" t="s">
        <v>2071</v>
      </c>
      <c r="D505" s="33"/>
      <c r="E505" s="33" t="n">
        <v>91</v>
      </c>
      <c r="F505" s="33" t="s">
        <v>36</v>
      </c>
      <c r="G505" s="33" t="s">
        <v>105</v>
      </c>
      <c r="H505" s="33" t="n">
        <v>1</v>
      </c>
      <c r="I505" s="33" t="n">
        <v>1</v>
      </c>
      <c r="J505" s="33" t="n">
        <v>1</v>
      </c>
      <c r="K505" s="32" t="n">
        <v>250</v>
      </c>
      <c r="L505" s="33" t="str">
        <f aca="false">IF($B505="","",IFERROR(INDEX('Code Mapping'!$D$5:$D$1753,MATCH($B505,'Code Mapping'!$A$5:$A$1753,0)),"Unmapped"))</f>
        <v>Unmapped</v>
      </c>
      <c r="M505" s="33" t="str">
        <f aca="false">IF($B505="","",IFERROR(INDEX('Code Mapping'!$E$5:$E$1753,MATCH($B505,'Code Mapping'!$A$5:$A$1753,0)),"Unmapped"))</f>
        <v>Unmapped</v>
      </c>
      <c r="N505" s="33" t="str">
        <f aca="false">IF($F505="","",$F505)</f>
        <v>InflataPark</v>
      </c>
    </row>
    <row r="506" customFormat="false" ht="15" hidden="false" customHeight="false" outlineLevel="0" collapsed="false">
      <c r="A506" s="33" t="n">
        <v>6795</v>
      </c>
      <c r="B506" s="33" t="s">
        <v>196</v>
      </c>
      <c r="C506" s="33" t="s">
        <v>185</v>
      </c>
      <c r="D506" s="33"/>
      <c r="E506" s="33" t="n">
        <v>94</v>
      </c>
      <c r="F506" s="33" t="s">
        <v>37</v>
      </c>
      <c r="G506" s="33" t="s">
        <v>105</v>
      </c>
      <c r="H506" s="33" t="n">
        <v>6</v>
      </c>
      <c r="I506" s="33" t="n">
        <v>6</v>
      </c>
      <c r="J506" s="33" t="n">
        <v>6</v>
      </c>
      <c r="K506" s="32" t="n">
        <v>1350</v>
      </c>
      <c r="L506" s="33" t="str">
        <f aca="false">IF($B506="","",IFERROR(INDEX('Code Mapping'!$D$5:$D$1753,MATCH($B506,'Code Mapping'!$A$5:$A$1753,0)),"Unmapped"))</f>
        <v>My Book</v>
      </c>
      <c r="M506" s="33" t="str">
        <f aca="false">IF($B506="","",IFERROR(INDEX('Code Mapping'!$E$5:$E$1753,MATCH($B506,'Code Mapping'!$A$5:$A$1753,0)),"Unmapped"))</f>
        <v>Aggregator BOGO</v>
      </c>
      <c r="N506" s="33" t="str">
        <f aca="false">IF($F506="","",$F506)</f>
        <v>Kids City Driving School</v>
      </c>
    </row>
    <row r="507" customFormat="false" ht="15" hidden="false" customHeight="false" outlineLevel="0" collapsed="false">
      <c r="A507" s="33" t="n">
        <v>6795</v>
      </c>
      <c r="B507" s="33" t="s">
        <v>196</v>
      </c>
      <c r="C507" s="33" t="s">
        <v>185</v>
      </c>
      <c r="D507" s="33"/>
      <c r="E507" s="33" t="n">
        <v>94</v>
      </c>
      <c r="F507" s="33" t="s">
        <v>2153</v>
      </c>
      <c r="G507" s="33" t="s">
        <v>105</v>
      </c>
      <c r="H507" s="33" t="n">
        <v>2</v>
      </c>
      <c r="I507" s="33" t="n">
        <v>2</v>
      </c>
      <c r="J507" s="33" t="n">
        <v>2</v>
      </c>
      <c r="K507" s="32" t="n">
        <v>450</v>
      </c>
      <c r="L507" s="33" t="str">
        <f aca="false">IF($B507="","",IFERROR(INDEX('Code Mapping'!$D$5:$D$1753,MATCH($B507,'Code Mapping'!$A$5:$A$1753,0)),"Unmapped"))</f>
        <v>My Book</v>
      </c>
      <c r="M507" s="33" t="str">
        <f aca="false">IF($B507="","",IFERROR(INDEX('Code Mapping'!$E$5:$E$1753,MATCH($B507,'Code Mapping'!$A$5:$A$1753,0)),"Unmapped"))</f>
        <v>Aggregator BOGO</v>
      </c>
      <c r="N507" s="33" t="str">
        <f aca="false">IF($F507="","",$F507)</f>
        <v>Driving School</v>
      </c>
    </row>
    <row r="508" customFormat="false" ht="15" hidden="false" customHeight="false" outlineLevel="0" collapsed="false">
      <c r="A508" s="33" t="n">
        <v>5484</v>
      </c>
      <c r="B508" s="33" t="s">
        <v>205</v>
      </c>
      <c r="C508" s="33" t="s">
        <v>206</v>
      </c>
      <c r="D508" s="33"/>
      <c r="E508" s="33" t="n">
        <v>91</v>
      </c>
      <c r="F508" s="33" t="s">
        <v>36</v>
      </c>
      <c r="G508" s="33" t="s">
        <v>105</v>
      </c>
      <c r="H508" s="33" t="n">
        <v>15</v>
      </c>
      <c r="I508" s="33" t="n">
        <v>27</v>
      </c>
      <c r="J508" s="33" t="n">
        <v>27</v>
      </c>
      <c r="K508" s="32" t="n">
        <v>397.5</v>
      </c>
      <c r="L508" s="33" t="str">
        <f aca="false">IF($B508="","",IFERROR(INDEX('Code Mapping'!$D$5:$D$1753,MATCH($B508,'Code Mapping'!$A$5:$A$1753,0)),"Unmapped"))</f>
        <v>Internal / promotion</v>
      </c>
      <c r="M508" s="33" t="str">
        <f aca="false">IF($B508="","",IFERROR(INDEX('Code Mapping'!$E$5:$E$1753,MATCH($B508,'Code Mapping'!$A$5:$A$1753,0)),"Unmapped"))</f>
        <v>Internal / promotion</v>
      </c>
      <c r="N508" s="33" t="str">
        <f aca="false">IF($F508="","",$F508)</f>
        <v>InflataPark</v>
      </c>
    </row>
    <row r="509" customFormat="false" ht="15" hidden="false" customHeight="false" outlineLevel="0" collapsed="false">
      <c r="A509" s="33" t="n">
        <v>6799</v>
      </c>
      <c r="B509" s="33" t="s">
        <v>256</v>
      </c>
      <c r="C509" s="33" t="s">
        <v>257</v>
      </c>
      <c r="D509" s="33"/>
      <c r="E509" s="33" t="n">
        <v>91</v>
      </c>
      <c r="F509" s="33" t="s">
        <v>36</v>
      </c>
      <c r="G509" s="33" t="s">
        <v>105</v>
      </c>
      <c r="H509" s="33" t="n">
        <v>1</v>
      </c>
      <c r="I509" s="33" t="n">
        <v>2</v>
      </c>
      <c r="J509" s="33" t="n">
        <v>2</v>
      </c>
      <c r="K509" s="32" t="n">
        <v>22.5</v>
      </c>
      <c r="L509" s="33" t="str">
        <f aca="false">IF($B509="","",IFERROR(INDEX('Code Mapping'!$D$5:$D$1753,MATCH($B509,'Code Mapping'!$A$5:$A$1753,0)),"Unmapped"))</f>
        <v>Al Jazeera Imtiyazat</v>
      </c>
      <c r="M509" s="33" t="str">
        <f aca="false">IF($B509="","",IFERROR(INDEX('Code Mapping'!$E$5:$E$1753,MATCH($B509,'Code Mapping'!$A$5:$A$1753,0)),"Unmapped"))</f>
        <v>Corporate discount</v>
      </c>
      <c r="N509" s="33" t="str">
        <f aca="false">IF($F509="","",$F509)</f>
        <v>InflataPark</v>
      </c>
    </row>
    <row r="510" customFormat="false" ht="15" hidden="false" customHeight="false" outlineLevel="0" collapsed="false">
      <c r="A510" s="33" t="n">
        <v>6793</v>
      </c>
      <c r="B510" s="33" t="s">
        <v>197</v>
      </c>
      <c r="C510" s="33" t="s">
        <v>198</v>
      </c>
      <c r="D510" s="33"/>
      <c r="E510" s="33" t="n">
        <v>94</v>
      </c>
      <c r="F510" s="33" t="s">
        <v>37</v>
      </c>
      <c r="G510" s="33" t="s">
        <v>105</v>
      </c>
      <c r="H510" s="33" t="n">
        <v>3</v>
      </c>
      <c r="I510" s="33" t="n">
        <v>3</v>
      </c>
      <c r="J510" s="33" t="n">
        <v>3</v>
      </c>
      <c r="K510" s="32" t="n">
        <v>675</v>
      </c>
      <c r="L510" s="33" t="str">
        <f aca="false">IF($B510="","",IFERROR(INDEX('Code Mapping'!$D$5:$D$1753,MATCH($B510,'Code Mapping'!$A$5:$A$1753,0)),"Unmapped"))</f>
        <v>Entertainer</v>
      </c>
      <c r="M510" s="33" t="str">
        <f aca="false">IF($B510="","",IFERROR(INDEX('Code Mapping'!$E$5:$E$1753,MATCH($B510,'Code Mapping'!$A$5:$A$1753,0)),"Unmapped"))</f>
        <v>Aggregator BOGO</v>
      </c>
      <c r="N510" s="33" t="str">
        <f aca="false">IF($F510="","",$F510)</f>
        <v>Kids City Driving School</v>
      </c>
    </row>
    <row r="511" customFormat="false" ht="15" hidden="false" customHeight="false" outlineLevel="0" collapsed="false">
      <c r="A511" s="33" t="n">
        <v>6793</v>
      </c>
      <c r="B511" s="33" t="s">
        <v>197</v>
      </c>
      <c r="C511" s="33" t="s">
        <v>198</v>
      </c>
      <c r="D511" s="33"/>
      <c r="E511" s="33" t="n">
        <v>94</v>
      </c>
      <c r="F511" s="33" t="s">
        <v>2153</v>
      </c>
      <c r="G511" s="33" t="s">
        <v>105</v>
      </c>
      <c r="H511" s="33" t="n">
        <v>1</v>
      </c>
      <c r="I511" s="33" t="n">
        <v>1</v>
      </c>
      <c r="J511" s="33" t="n">
        <v>1</v>
      </c>
      <c r="K511" s="32" t="n">
        <v>225</v>
      </c>
      <c r="L511" s="33" t="str">
        <f aca="false">IF($B511="","",IFERROR(INDEX('Code Mapping'!$D$5:$D$1753,MATCH($B511,'Code Mapping'!$A$5:$A$1753,0)),"Unmapped"))</f>
        <v>Entertainer</v>
      </c>
      <c r="M511" s="33" t="str">
        <f aca="false">IF($B511="","",IFERROR(INDEX('Code Mapping'!$E$5:$E$1753,MATCH($B511,'Code Mapping'!$A$5:$A$1753,0)),"Unmapped"))</f>
        <v>Aggregator BOGO</v>
      </c>
      <c r="N511" s="33" t="str">
        <f aca="false">IF($F511="","",$F511)</f>
        <v>Driving School</v>
      </c>
    </row>
    <row r="512" customFormat="false" ht="15" hidden="false" customHeight="false" outlineLevel="0" collapsed="false">
      <c r="A512" s="33" t="n">
        <v>6805</v>
      </c>
      <c r="B512" s="33" t="s">
        <v>229</v>
      </c>
      <c r="C512" s="33" t="s">
        <v>230</v>
      </c>
      <c r="D512" s="33"/>
      <c r="E512" s="33" t="n">
        <v>91</v>
      </c>
      <c r="F512" s="33" t="s">
        <v>36</v>
      </c>
      <c r="G512" s="33" t="s">
        <v>105</v>
      </c>
      <c r="H512" s="33" t="n">
        <v>11</v>
      </c>
      <c r="I512" s="33" t="n">
        <v>17</v>
      </c>
      <c r="J512" s="33" t="n">
        <v>17</v>
      </c>
      <c r="K512" s="32" t="n">
        <v>355.5</v>
      </c>
      <c r="L512" s="33" t="str">
        <f aca="false">IF($B512="","",IFERROR(INDEX('Code Mapping'!$D$5:$D$1753,MATCH($B512,'Code Mapping'!$A$5:$A$1753,0)),"Unmapped"))</f>
        <v>HMC (not on master)</v>
      </c>
      <c r="M512" s="33" t="str">
        <f aca="false">IF($B512="","",IFERROR(INDEX('Code Mapping'!$E$5:$E$1753,MATCH($B512,'Code Mapping'!$A$5:$A$1753,0)),"Unmapped"))</f>
        <v>Not on master</v>
      </c>
      <c r="N512" s="33" t="str">
        <f aca="false">IF($F512="","",$F512)</f>
        <v>InflataPark</v>
      </c>
    </row>
    <row r="513" customFormat="false" ht="15" hidden="false" customHeight="false" outlineLevel="0" collapsed="false">
      <c r="A513" s="33" t="n">
        <v>6813</v>
      </c>
      <c r="B513" s="33" t="s">
        <v>270</v>
      </c>
      <c r="C513" s="33" t="s">
        <v>271</v>
      </c>
      <c r="D513" s="33"/>
      <c r="E513" s="33" t="n">
        <v>94</v>
      </c>
      <c r="F513" s="33" t="s">
        <v>2153</v>
      </c>
      <c r="G513" s="33" t="s">
        <v>105</v>
      </c>
      <c r="H513" s="33" t="n">
        <v>1</v>
      </c>
      <c r="I513" s="33" t="n">
        <v>1</v>
      </c>
      <c r="J513" s="33" t="n">
        <v>1</v>
      </c>
      <c r="K513" s="32" t="n">
        <v>33.75</v>
      </c>
      <c r="L513" s="33" t="str">
        <f aca="false">IF($B513="","",IFERROR(INDEX('Code Mapping'!$D$5:$D$1753,MATCH($B513,'Code Mapping'!$A$5:$A$1753,0)),"Unmapped"))</f>
        <v>HMC (not on master)</v>
      </c>
      <c r="M513" s="33" t="str">
        <f aca="false">IF($B513="","",IFERROR(INDEX('Code Mapping'!$E$5:$E$1753,MATCH($B513,'Code Mapping'!$A$5:$A$1753,0)),"Unmapped"))</f>
        <v>Not on master</v>
      </c>
      <c r="N513" s="33" t="str">
        <f aca="false">IF($F513="","",$F513)</f>
        <v>Driving School</v>
      </c>
    </row>
    <row r="514" customFormat="false" ht="15" hidden="false" customHeight="false" outlineLevel="0" collapsed="false">
      <c r="A514" s="33" t="n">
        <v>6813</v>
      </c>
      <c r="B514" s="33" t="s">
        <v>270</v>
      </c>
      <c r="C514" s="33" t="s">
        <v>271</v>
      </c>
      <c r="D514" s="33"/>
      <c r="E514" s="33" t="n">
        <v>94</v>
      </c>
      <c r="F514" s="33" t="s">
        <v>37</v>
      </c>
      <c r="G514" s="33" t="s">
        <v>105</v>
      </c>
      <c r="H514" s="33" t="n">
        <v>4</v>
      </c>
      <c r="I514" s="33" t="n">
        <v>4</v>
      </c>
      <c r="J514" s="33" t="n">
        <v>4</v>
      </c>
      <c r="K514" s="32" t="n">
        <v>135</v>
      </c>
      <c r="L514" s="33" t="str">
        <f aca="false">IF($B514="","",IFERROR(INDEX('Code Mapping'!$D$5:$D$1753,MATCH($B514,'Code Mapping'!$A$5:$A$1753,0)),"Unmapped"))</f>
        <v>HMC (not on master)</v>
      </c>
      <c r="M514" s="33" t="str">
        <f aca="false">IF($B514="","",IFERROR(INDEX('Code Mapping'!$E$5:$E$1753,MATCH($B514,'Code Mapping'!$A$5:$A$1753,0)),"Unmapped"))</f>
        <v>Not on master</v>
      </c>
      <c r="N514" s="33" t="str">
        <f aca="false">IF($F514="","",$F514)</f>
        <v>Kids City Driving School</v>
      </c>
    </row>
    <row r="515" customFormat="false" ht="15" hidden="false" customHeight="false" outlineLevel="0" collapsed="false">
      <c r="A515" s="33" t="n">
        <v>6288</v>
      </c>
      <c r="B515" s="33" t="s">
        <v>1396</v>
      </c>
      <c r="C515" s="33" t="s">
        <v>1026</v>
      </c>
      <c r="D515" s="33"/>
      <c r="E515" s="33" t="n">
        <v>96</v>
      </c>
      <c r="F515" s="33" t="s">
        <v>2154</v>
      </c>
      <c r="G515" s="33" t="s">
        <v>445</v>
      </c>
      <c r="H515" s="33" t="n">
        <v>1</v>
      </c>
      <c r="I515" s="33" t="n">
        <v>1</v>
      </c>
      <c r="J515" s="33" t="n">
        <v>1</v>
      </c>
      <c r="K515" s="32" t="n">
        <v>75</v>
      </c>
      <c r="L515" s="33" t="str">
        <f aca="false">IF($B515="","",IFERROR(INDEX('Code Mapping'!$D$5:$D$1753,MATCH($B515,'Code Mapping'!$A$5:$A$1753,0)),"Unmapped"))</f>
        <v>Unmapped</v>
      </c>
      <c r="M515" s="33" t="str">
        <f aca="false">IF($B515="","",IFERROR(INDEX('Code Mapping'!$E$5:$E$1753,MATCH($B515,'Code Mapping'!$A$5:$A$1753,0)),"Unmapped"))</f>
        <v>Unmapped</v>
      </c>
      <c r="N515" s="33" t="str">
        <f aca="false">IF($F515="","",$F515)</f>
        <v>InflataCity 2025</v>
      </c>
    </row>
    <row r="516" customFormat="false" ht="15" hidden="false" customHeight="false" outlineLevel="0" collapsed="false">
      <c r="A516" s="33" t="n">
        <v>5809</v>
      </c>
      <c r="B516" s="33" t="s">
        <v>1410</v>
      </c>
      <c r="C516" s="33" t="s">
        <v>1028</v>
      </c>
      <c r="D516" s="33"/>
      <c r="E516" s="33" t="n">
        <v>96</v>
      </c>
      <c r="F516" s="33" t="s">
        <v>2154</v>
      </c>
      <c r="G516" s="33" t="s">
        <v>445</v>
      </c>
      <c r="H516" s="33" t="n">
        <v>1</v>
      </c>
      <c r="I516" s="33" t="n">
        <v>1</v>
      </c>
      <c r="J516" s="33" t="n">
        <v>1</v>
      </c>
      <c r="K516" s="32" t="n">
        <v>300</v>
      </c>
      <c r="L516" s="33" t="str">
        <f aca="false">IF($B516="","",IFERROR(INDEX('Code Mapping'!$D$5:$D$1753,MATCH($B516,'Code Mapping'!$A$5:$A$1753,0)),"Unmapped"))</f>
        <v>Unmapped</v>
      </c>
      <c r="M516" s="33" t="str">
        <f aca="false">IF($B516="","",IFERROR(INDEX('Code Mapping'!$E$5:$E$1753,MATCH($B516,'Code Mapping'!$A$5:$A$1753,0)),"Unmapped"))</f>
        <v>Unmapped</v>
      </c>
      <c r="N516" s="33" t="str">
        <f aca="false">IF($F516="","",$F516)</f>
        <v>InflataCity 2025</v>
      </c>
    </row>
    <row r="517" customFormat="false" ht="15" hidden="false" customHeight="false" outlineLevel="0" collapsed="false">
      <c r="A517" s="33" t="n">
        <v>6493</v>
      </c>
      <c r="B517" s="33" t="s">
        <v>1407</v>
      </c>
      <c r="C517" s="33" t="s">
        <v>1026</v>
      </c>
      <c r="D517" s="33"/>
      <c r="E517" s="33" t="n">
        <v>96</v>
      </c>
      <c r="F517" s="33" t="s">
        <v>2154</v>
      </c>
      <c r="G517" s="33" t="s">
        <v>445</v>
      </c>
      <c r="H517" s="33" t="n">
        <v>1</v>
      </c>
      <c r="I517" s="33" t="n">
        <v>1</v>
      </c>
      <c r="J517" s="33" t="n">
        <v>1</v>
      </c>
      <c r="K517" s="32" t="n">
        <v>75</v>
      </c>
      <c r="L517" s="33" t="str">
        <f aca="false">IF($B517="","",IFERROR(INDEX('Code Mapping'!$D$5:$D$1753,MATCH($B517,'Code Mapping'!$A$5:$A$1753,0)),"Unmapped"))</f>
        <v>Unmapped</v>
      </c>
      <c r="M517" s="33" t="str">
        <f aca="false">IF($B517="","",IFERROR(INDEX('Code Mapping'!$E$5:$E$1753,MATCH($B517,'Code Mapping'!$A$5:$A$1753,0)),"Unmapped"))</f>
        <v>Unmapped</v>
      </c>
      <c r="N517" s="33" t="str">
        <f aca="false">IF($F517="","",$F517)</f>
        <v>InflataCity 2025</v>
      </c>
    </row>
    <row r="518" customFormat="false" ht="15" hidden="false" customHeight="false" outlineLevel="0" collapsed="false">
      <c r="A518" s="33" t="n">
        <v>5768</v>
      </c>
      <c r="B518" s="33" t="s">
        <v>1406</v>
      </c>
      <c r="C518" s="33" t="s">
        <v>1028</v>
      </c>
      <c r="D518" s="33"/>
      <c r="E518" s="33" t="n">
        <v>96</v>
      </c>
      <c r="F518" s="33" t="s">
        <v>2154</v>
      </c>
      <c r="G518" s="33" t="s">
        <v>445</v>
      </c>
      <c r="H518" s="33" t="n">
        <v>1</v>
      </c>
      <c r="I518" s="33" t="n">
        <v>1</v>
      </c>
      <c r="J518" s="33" t="n">
        <v>1</v>
      </c>
      <c r="K518" s="32" t="n">
        <v>300</v>
      </c>
      <c r="L518" s="33" t="str">
        <f aca="false">IF($B518="","",IFERROR(INDEX('Code Mapping'!$D$5:$D$1753,MATCH($B518,'Code Mapping'!$A$5:$A$1753,0)),"Unmapped"))</f>
        <v>Unmapped</v>
      </c>
      <c r="M518" s="33" t="str">
        <f aca="false">IF($B518="","",IFERROR(INDEX('Code Mapping'!$E$5:$E$1753,MATCH($B518,'Code Mapping'!$A$5:$A$1753,0)),"Unmapped"))</f>
        <v>Unmapped</v>
      </c>
      <c r="N518" s="33" t="str">
        <f aca="false">IF($F518="","",$F518)</f>
        <v>InflataCity 2025</v>
      </c>
    </row>
    <row r="519" customFormat="false" ht="15" hidden="false" customHeight="false" outlineLevel="0" collapsed="false">
      <c r="A519" s="33" t="n">
        <v>6682</v>
      </c>
      <c r="B519" s="33" t="s">
        <v>1411</v>
      </c>
      <c r="C519" s="33" t="s">
        <v>1026</v>
      </c>
      <c r="D519" s="33"/>
      <c r="E519" s="33" t="n">
        <v>96</v>
      </c>
      <c r="F519" s="33" t="s">
        <v>2154</v>
      </c>
      <c r="G519" s="33" t="s">
        <v>445</v>
      </c>
      <c r="H519" s="33" t="n">
        <v>1</v>
      </c>
      <c r="I519" s="33" t="n">
        <v>1</v>
      </c>
      <c r="J519" s="33" t="n">
        <v>1</v>
      </c>
      <c r="K519" s="32" t="n">
        <v>75</v>
      </c>
      <c r="L519" s="33" t="str">
        <f aca="false">IF($B519="","",IFERROR(INDEX('Code Mapping'!$D$5:$D$1753,MATCH($B519,'Code Mapping'!$A$5:$A$1753,0)),"Unmapped"))</f>
        <v>Unmapped</v>
      </c>
      <c r="M519" s="33" t="str">
        <f aca="false">IF($B519="","",IFERROR(INDEX('Code Mapping'!$E$5:$E$1753,MATCH($B519,'Code Mapping'!$A$5:$A$1753,0)),"Unmapped"))</f>
        <v>Unmapped</v>
      </c>
      <c r="N519" s="33" t="str">
        <f aca="false">IF($F519="","",$F519)</f>
        <v>InflataCity 2025</v>
      </c>
    </row>
    <row r="520" customFormat="false" ht="15" hidden="false" customHeight="false" outlineLevel="0" collapsed="false">
      <c r="A520" s="33" t="n">
        <v>6222</v>
      </c>
      <c r="B520" s="33" t="s">
        <v>1405</v>
      </c>
      <c r="C520" s="33" t="s">
        <v>1032</v>
      </c>
      <c r="D520" s="33"/>
      <c r="E520" s="33" t="n">
        <v>96</v>
      </c>
      <c r="F520" s="33" t="s">
        <v>2154</v>
      </c>
      <c r="G520" s="33" t="s">
        <v>445</v>
      </c>
      <c r="H520" s="33" t="n">
        <v>1</v>
      </c>
      <c r="I520" s="33" t="n">
        <v>1</v>
      </c>
      <c r="J520" s="33" t="n">
        <v>1</v>
      </c>
      <c r="K520" s="32" t="n">
        <v>350</v>
      </c>
      <c r="L520" s="33" t="str">
        <f aca="false">IF($B520="","",IFERROR(INDEX('Code Mapping'!$D$5:$D$1753,MATCH($B520,'Code Mapping'!$A$5:$A$1753,0)),"Unmapped"))</f>
        <v>Unmapped</v>
      </c>
      <c r="M520" s="33" t="str">
        <f aca="false">IF($B520="","",IFERROR(INDEX('Code Mapping'!$E$5:$E$1753,MATCH($B520,'Code Mapping'!$A$5:$A$1753,0)),"Unmapped"))</f>
        <v>Unmapped</v>
      </c>
      <c r="N520" s="33" t="str">
        <f aca="false">IF($F520="","",$F520)</f>
        <v>InflataCity 2025</v>
      </c>
    </row>
    <row r="521" customFormat="false" ht="15" hidden="false" customHeight="false" outlineLevel="0" collapsed="false">
      <c r="A521" s="33" t="n">
        <v>6460</v>
      </c>
      <c r="B521" s="33" t="s">
        <v>1404</v>
      </c>
      <c r="C521" s="33" t="s">
        <v>1026</v>
      </c>
      <c r="D521" s="33"/>
      <c r="E521" s="33" t="n">
        <v>96</v>
      </c>
      <c r="F521" s="33" t="s">
        <v>2154</v>
      </c>
      <c r="G521" s="33" t="s">
        <v>445</v>
      </c>
      <c r="H521" s="33" t="n">
        <v>1</v>
      </c>
      <c r="I521" s="33" t="n">
        <v>1</v>
      </c>
      <c r="J521" s="33" t="n">
        <v>1</v>
      </c>
      <c r="K521" s="32" t="n">
        <v>75</v>
      </c>
      <c r="L521" s="33" t="str">
        <f aca="false">IF($B521="","",IFERROR(INDEX('Code Mapping'!$D$5:$D$1753,MATCH($B521,'Code Mapping'!$A$5:$A$1753,0)),"Unmapped"))</f>
        <v>Unmapped</v>
      </c>
      <c r="M521" s="33" t="str">
        <f aca="false">IF($B521="","",IFERROR(INDEX('Code Mapping'!$E$5:$E$1753,MATCH($B521,'Code Mapping'!$A$5:$A$1753,0)),"Unmapped"))</f>
        <v>Unmapped</v>
      </c>
      <c r="N521" s="33" t="str">
        <f aca="false">IF($F521="","",$F521)</f>
        <v>InflataCity 2025</v>
      </c>
    </row>
    <row r="522" customFormat="false" ht="15" hidden="false" customHeight="false" outlineLevel="0" collapsed="false">
      <c r="A522" s="33" t="n">
        <v>6266</v>
      </c>
      <c r="B522" s="33" t="s">
        <v>1403</v>
      </c>
      <c r="C522" s="33" t="s">
        <v>1032</v>
      </c>
      <c r="D522" s="33"/>
      <c r="E522" s="33" t="n">
        <v>96</v>
      </c>
      <c r="F522" s="33" t="s">
        <v>2154</v>
      </c>
      <c r="G522" s="33" t="s">
        <v>445</v>
      </c>
      <c r="H522" s="33" t="n">
        <v>1</v>
      </c>
      <c r="I522" s="33" t="n">
        <v>1</v>
      </c>
      <c r="J522" s="33" t="n">
        <v>1</v>
      </c>
      <c r="K522" s="32" t="n">
        <v>350</v>
      </c>
      <c r="L522" s="33" t="str">
        <f aca="false">IF($B522="","",IFERROR(INDEX('Code Mapping'!$D$5:$D$1753,MATCH($B522,'Code Mapping'!$A$5:$A$1753,0)),"Unmapped"))</f>
        <v>Unmapped</v>
      </c>
      <c r="M522" s="33" t="str">
        <f aca="false">IF($B522="","",IFERROR(INDEX('Code Mapping'!$E$5:$E$1753,MATCH($B522,'Code Mapping'!$A$5:$A$1753,0)),"Unmapped"))</f>
        <v>Unmapped</v>
      </c>
      <c r="N522" s="33" t="str">
        <f aca="false">IF($F522="","",$F522)</f>
        <v>InflataCity 2025</v>
      </c>
    </row>
    <row r="523" customFormat="false" ht="15" hidden="false" customHeight="false" outlineLevel="0" collapsed="false">
      <c r="A523" s="33" t="n">
        <v>6336</v>
      </c>
      <c r="B523" s="33" t="s">
        <v>1402</v>
      </c>
      <c r="C523" s="33" t="s">
        <v>1026</v>
      </c>
      <c r="D523" s="33"/>
      <c r="E523" s="33" t="n">
        <v>96</v>
      </c>
      <c r="F523" s="33" t="s">
        <v>2154</v>
      </c>
      <c r="G523" s="33" t="s">
        <v>445</v>
      </c>
      <c r="H523" s="33" t="n">
        <v>1</v>
      </c>
      <c r="I523" s="33" t="n">
        <v>1</v>
      </c>
      <c r="J523" s="33" t="n">
        <v>1</v>
      </c>
      <c r="K523" s="32" t="n">
        <v>75</v>
      </c>
      <c r="L523" s="33" t="str">
        <f aca="false">IF($B523="","",IFERROR(INDEX('Code Mapping'!$D$5:$D$1753,MATCH($B523,'Code Mapping'!$A$5:$A$1753,0)),"Unmapped"))</f>
        <v>Unmapped</v>
      </c>
      <c r="M523" s="33" t="str">
        <f aca="false">IF($B523="","",IFERROR(INDEX('Code Mapping'!$E$5:$E$1753,MATCH($B523,'Code Mapping'!$A$5:$A$1753,0)),"Unmapped"))</f>
        <v>Unmapped</v>
      </c>
      <c r="N523" s="33" t="str">
        <f aca="false">IF($F523="","",$F523)</f>
        <v>InflataCity 2025</v>
      </c>
    </row>
    <row r="524" customFormat="false" ht="15" hidden="false" customHeight="false" outlineLevel="0" collapsed="false">
      <c r="A524" s="33" t="n">
        <v>6244</v>
      </c>
      <c r="B524" s="33" t="s">
        <v>1399</v>
      </c>
      <c r="C524" s="33" t="s">
        <v>1032</v>
      </c>
      <c r="D524" s="33"/>
      <c r="E524" s="33" t="n">
        <v>96</v>
      </c>
      <c r="F524" s="33" t="s">
        <v>2154</v>
      </c>
      <c r="G524" s="33" t="s">
        <v>445</v>
      </c>
      <c r="H524" s="33" t="n">
        <v>1</v>
      </c>
      <c r="I524" s="33" t="n">
        <v>1</v>
      </c>
      <c r="J524" s="33" t="n">
        <v>1</v>
      </c>
      <c r="K524" s="32" t="n">
        <v>350</v>
      </c>
      <c r="L524" s="33" t="str">
        <f aca="false">IF($B524="","",IFERROR(INDEX('Code Mapping'!$D$5:$D$1753,MATCH($B524,'Code Mapping'!$A$5:$A$1753,0)),"Unmapped"))</f>
        <v>Unmapped</v>
      </c>
      <c r="M524" s="33" t="str">
        <f aca="false">IF($B524="","",IFERROR(INDEX('Code Mapping'!$E$5:$E$1753,MATCH($B524,'Code Mapping'!$A$5:$A$1753,0)),"Unmapped"))</f>
        <v>Unmapped</v>
      </c>
      <c r="N524" s="33" t="str">
        <f aca="false">IF($F524="","",$F524)</f>
        <v>InflataCity 2025</v>
      </c>
    </row>
    <row r="525" customFormat="false" ht="15" hidden="false" customHeight="false" outlineLevel="0" collapsed="false">
      <c r="A525" s="33" t="n">
        <v>6214</v>
      </c>
      <c r="B525" s="33" t="s">
        <v>1398</v>
      </c>
      <c r="C525" s="33" t="s">
        <v>1032</v>
      </c>
      <c r="D525" s="33"/>
      <c r="E525" s="33" t="n">
        <v>96</v>
      </c>
      <c r="F525" s="33" t="s">
        <v>2154</v>
      </c>
      <c r="G525" s="33" t="s">
        <v>445</v>
      </c>
      <c r="H525" s="33" t="n">
        <v>1</v>
      </c>
      <c r="I525" s="33" t="n">
        <v>1</v>
      </c>
      <c r="J525" s="33" t="n">
        <v>1</v>
      </c>
      <c r="K525" s="32" t="n">
        <v>350</v>
      </c>
      <c r="L525" s="33" t="str">
        <f aca="false">IF($B525="","",IFERROR(INDEX('Code Mapping'!$D$5:$D$1753,MATCH($B525,'Code Mapping'!$A$5:$A$1753,0)),"Unmapped"))</f>
        <v>Unmapped</v>
      </c>
      <c r="M525" s="33" t="str">
        <f aca="false">IF($B525="","",IFERROR(INDEX('Code Mapping'!$E$5:$E$1753,MATCH($B525,'Code Mapping'!$A$5:$A$1753,0)),"Unmapped"))</f>
        <v>Unmapped</v>
      </c>
      <c r="N525" s="33" t="str">
        <f aca="false">IF($F525="","",$F525)</f>
        <v>InflataCity 2025</v>
      </c>
    </row>
    <row r="526" customFormat="false" ht="15" hidden="false" customHeight="false" outlineLevel="0" collapsed="false">
      <c r="A526" s="33" t="n">
        <v>5803</v>
      </c>
      <c r="B526" s="33" t="s">
        <v>1397</v>
      </c>
      <c r="C526" s="33" t="s">
        <v>1028</v>
      </c>
      <c r="D526" s="33"/>
      <c r="E526" s="33" t="n">
        <v>96</v>
      </c>
      <c r="F526" s="33" t="s">
        <v>2154</v>
      </c>
      <c r="G526" s="33" t="s">
        <v>445</v>
      </c>
      <c r="H526" s="33" t="n">
        <v>1</v>
      </c>
      <c r="I526" s="33" t="n">
        <v>1</v>
      </c>
      <c r="J526" s="33" t="n">
        <v>1</v>
      </c>
      <c r="K526" s="32" t="n">
        <v>300</v>
      </c>
      <c r="L526" s="33" t="str">
        <f aca="false">IF($B526="","",IFERROR(INDEX('Code Mapping'!$D$5:$D$1753,MATCH($B526,'Code Mapping'!$A$5:$A$1753,0)),"Unmapped"))</f>
        <v>Unmapped</v>
      </c>
      <c r="M526" s="33" t="str">
        <f aca="false">IF($B526="","",IFERROR(INDEX('Code Mapping'!$E$5:$E$1753,MATCH($B526,'Code Mapping'!$A$5:$A$1753,0)),"Unmapped"))</f>
        <v>Unmapped</v>
      </c>
      <c r="N526" s="33" t="str">
        <f aca="false">IF($F526="","",$F526)</f>
        <v>InflataCity 2025</v>
      </c>
    </row>
    <row r="527" customFormat="false" ht="15" hidden="false" customHeight="false" outlineLevel="0" collapsed="false">
      <c r="A527" s="33" t="n">
        <v>6298</v>
      </c>
      <c r="B527" s="33" t="s">
        <v>1390</v>
      </c>
      <c r="C527" s="33" t="s">
        <v>1026</v>
      </c>
      <c r="D527" s="33"/>
      <c r="E527" s="33" t="n">
        <v>96</v>
      </c>
      <c r="F527" s="33" t="s">
        <v>2154</v>
      </c>
      <c r="G527" s="33" t="s">
        <v>445</v>
      </c>
      <c r="H527" s="33" t="n">
        <v>1</v>
      </c>
      <c r="I527" s="33" t="n">
        <v>1</v>
      </c>
      <c r="J527" s="33" t="n">
        <v>1</v>
      </c>
      <c r="K527" s="32" t="n">
        <v>75</v>
      </c>
      <c r="L527" s="33" t="str">
        <f aca="false">IF($B527="","",IFERROR(INDEX('Code Mapping'!$D$5:$D$1753,MATCH($B527,'Code Mapping'!$A$5:$A$1753,0)),"Unmapped"))</f>
        <v>Unmapped</v>
      </c>
      <c r="M527" s="33" t="str">
        <f aca="false">IF($B527="","",IFERROR(INDEX('Code Mapping'!$E$5:$E$1753,MATCH($B527,'Code Mapping'!$A$5:$A$1753,0)),"Unmapped"))</f>
        <v>Unmapped</v>
      </c>
      <c r="N527" s="33" t="str">
        <f aca="false">IF($F527="","",$F527)</f>
        <v>InflataCity 2025</v>
      </c>
    </row>
    <row r="528" customFormat="false" ht="15" hidden="false" customHeight="false" outlineLevel="0" collapsed="false">
      <c r="A528" s="33" t="n">
        <v>6229</v>
      </c>
      <c r="B528" s="33" t="s">
        <v>1395</v>
      </c>
      <c r="C528" s="33" t="s">
        <v>1032</v>
      </c>
      <c r="D528" s="33"/>
      <c r="E528" s="33" t="n">
        <v>96</v>
      </c>
      <c r="F528" s="33" t="s">
        <v>2154</v>
      </c>
      <c r="G528" s="33" t="s">
        <v>445</v>
      </c>
      <c r="H528" s="33" t="n">
        <v>1</v>
      </c>
      <c r="I528" s="33" t="n">
        <v>1</v>
      </c>
      <c r="J528" s="33" t="n">
        <v>1</v>
      </c>
      <c r="K528" s="32" t="n">
        <v>350</v>
      </c>
      <c r="L528" s="33" t="str">
        <f aca="false">IF($B528="","",IFERROR(INDEX('Code Mapping'!$D$5:$D$1753,MATCH($B528,'Code Mapping'!$A$5:$A$1753,0)),"Unmapped"))</f>
        <v>Unmapped</v>
      </c>
      <c r="M528" s="33" t="str">
        <f aca="false">IF($B528="","",IFERROR(INDEX('Code Mapping'!$E$5:$E$1753,MATCH($B528,'Code Mapping'!$A$5:$A$1753,0)),"Unmapped"))</f>
        <v>Unmapped</v>
      </c>
      <c r="N528" s="33" t="str">
        <f aca="false">IF($F528="","",$F528)</f>
        <v>InflataCity 2025</v>
      </c>
    </row>
    <row r="529" customFormat="false" ht="15" hidden="false" customHeight="false" outlineLevel="0" collapsed="false">
      <c r="A529" s="33" t="n">
        <v>5749</v>
      </c>
      <c r="B529" s="33" t="s">
        <v>1394</v>
      </c>
      <c r="C529" s="33" t="s">
        <v>1028</v>
      </c>
      <c r="D529" s="33"/>
      <c r="E529" s="33" t="n">
        <v>96</v>
      </c>
      <c r="F529" s="33" t="s">
        <v>2154</v>
      </c>
      <c r="G529" s="33" t="s">
        <v>445</v>
      </c>
      <c r="H529" s="33" t="n">
        <v>1</v>
      </c>
      <c r="I529" s="33" t="n">
        <v>1</v>
      </c>
      <c r="J529" s="33" t="n">
        <v>1</v>
      </c>
      <c r="K529" s="32" t="n">
        <v>300</v>
      </c>
      <c r="L529" s="33" t="str">
        <f aca="false">IF($B529="","",IFERROR(INDEX('Code Mapping'!$D$5:$D$1753,MATCH($B529,'Code Mapping'!$A$5:$A$1753,0)),"Unmapped"))</f>
        <v>Unmapped</v>
      </c>
      <c r="M529" s="33" t="str">
        <f aca="false">IF($B529="","",IFERROR(INDEX('Code Mapping'!$E$5:$E$1753,MATCH($B529,'Code Mapping'!$A$5:$A$1753,0)),"Unmapped"))</f>
        <v>Unmapped</v>
      </c>
      <c r="N529" s="33" t="str">
        <f aca="false">IF($F529="","",$F529)</f>
        <v>InflataCity 2025</v>
      </c>
    </row>
    <row r="530" customFormat="false" ht="15" hidden="false" customHeight="false" outlineLevel="0" collapsed="false">
      <c r="A530" s="33" t="n">
        <v>5808</v>
      </c>
      <c r="B530" s="33" t="s">
        <v>1393</v>
      </c>
      <c r="C530" s="33" t="s">
        <v>1028</v>
      </c>
      <c r="D530" s="33"/>
      <c r="E530" s="33" t="n">
        <v>96</v>
      </c>
      <c r="F530" s="33" t="s">
        <v>2154</v>
      </c>
      <c r="G530" s="33" t="s">
        <v>445</v>
      </c>
      <c r="H530" s="33" t="n">
        <v>1</v>
      </c>
      <c r="I530" s="33" t="n">
        <v>1</v>
      </c>
      <c r="J530" s="33" t="n">
        <v>1</v>
      </c>
      <c r="K530" s="32" t="n">
        <v>300</v>
      </c>
      <c r="L530" s="33" t="str">
        <f aca="false">IF($B530="","",IFERROR(INDEX('Code Mapping'!$D$5:$D$1753,MATCH($B530,'Code Mapping'!$A$5:$A$1753,0)),"Unmapped"))</f>
        <v>Unmapped</v>
      </c>
      <c r="M530" s="33" t="str">
        <f aca="false">IF($B530="","",IFERROR(INDEX('Code Mapping'!$E$5:$E$1753,MATCH($B530,'Code Mapping'!$A$5:$A$1753,0)),"Unmapped"))</f>
        <v>Unmapped</v>
      </c>
      <c r="N530" s="33" t="str">
        <f aca="false">IF($F530="","",$F530)</f>
        <v>InflataCity 2025</v>
      </c>
    </row>
    <row r="531" customFormat="false" ht="15" hidden="false" customHeight="false" outlineLevel="0" collapsed="false">
      <c r="A531" s="33" t="n">
        <v>6275</v>
      </c>
      <c r="B531" s="33" t="s">
        <v>1392</v>
      </c>
      <c r="C531" s="33" t="s">
        <v>1026</v>
      </c>
      <c r="D531" s="33"/>
      <c r="E531" s="33" t="n">
        <v>96</v>
      </c>
      <c r="F531" s="33" t="s">
        <v>2154</v>
      </c>
      <c r="G531" s="33" t="s">
        <v>445</v>
      </c>
      <c r="H531" s="33" t="n">
        <v>1</v>
      </c>
      <c r="I531" s="33" t="n">
        <v>1</v>
      </c>
      <c r="J531" s="33" t="n">
        <v>1</v>
      </c>
      <c r="K531" s="32" t="n">
        <v>75</v>
      </c>
      <c r="L531" s="33" t="str">
        <f aca="false">IF($B531="","",IFERROR(INDEX('Code Mapping'!$D$5:$D$1753,MATCH($B531,'Code Mapping'!$A$5:$A$1753,0)),"Unmapped"))</f>
        <v>Unmapped</v>
      </c>
      <c r="M531" s="33" t="str">
        <f aca="false">IF($B531="","",IFERROR(INDEX('Code Mapping'!$E$5:$E$1753,MATCH($B531,'Code Mapping'!$A$5:$A$1753,0)),"Unmapped"))</f>
        <v>Unmapped</v>
      </c>
      <c r="N531" s="33" t="str">
        <f aca="false">IF($F531="","",$F531)</f>
        <v>InflataCity 2025</v>
      </c>
    </row>
    <row r="532" customFormat="false" ht="15" hidden="false" customHeight="false" outlineLevel="0" collapsed="false">
      <c r="A532" s="33" t="n">
        <v>6341</v>
      </c>
      <c r="B532" s="33" t="s">
        <v>1391</v>
      </c>
      <c r="C532" s="33" t="s">
        <v>1026</v>
      </c>
      <c r="D532" s="33"/>
      <c r="E532" s="33" t="n">
        <v>96</v>
      </c>
      <c r="F532" s="33" t="s">
        <v>2154</v>
      </c>
      <c r="G532" s="33" t="s">
        <v>445</v>
      </c>
      <c r="H532" s="33" t="n">
        <v>1</v>
      </c>
      <c r="I532" s="33" t="n">
        <v>1</v>
      </c>
      <c r="J532" s="33" t="n">
        <v>1</v>
      </c>
      <c r="K532" s="32" t="n">
        <v>75</v>
      </c>
      <c r="L532" s="33" t="str">
        <f aca="false">IF($B532="","",IFERROR(INDEX('Code Mapping'!$D$5:$D$1753,MATCH($B532,'Code Mapping'!$A$5:$A$1753,0)),"Unmapped"))</f>
        <v>Unmapped</v>
      </c>
      <c r="M532" s="33" t="str">
        <f aca="false">IF($B532="","",IFERROR(INDEX('Code Mapping'!$E$5:$E$1753,MATCH($B532,'Code Mapping'!$A$5:$A$1753,0)),"Unmapped"))</f>
        <v>Unmapped</v>
      </c>
      <c r="N532" s="33" t="str">
        <f aca="false">IF($F532="","",$F532)</f>
        <v>InflataCity 2025</v>
      </c>
    </row>
    <row r="533" customFormat="false" ht="15" hidden="false" customHeight="false" outlineLevel="0" collapsed="false">
      <c r="A533" s="33" t="n">
        <v>5784</v>
      </c>
      <c r="B533" s="33" t="s">
        <v>1413</v>
      </c>
      <c r="C533" s="33" t="s">
        <v>1028</v>
      </c>
      <c r="D533" s="33"/>
      <c r="E533" s="33" t="n">
        <v>96</v>
      </c>
      <c r="F533" s="33" t="s">
        <v>2154</v>
      </c>
      <c r="G533" s="33" t="s">
        <v>445</v>
      </c>
      <c r="H533" s="33" t="n">
        <v>1</v>
      </c>
      <c r="I533" s="33" t="n">
        <v>1</v>
      </c>
      <c r="J533" s="33" t="n">
        <v>1</v>
      </c>
      <c r="K533" s="32" t="n">
        <v>300</v>
      </c>
      <c r="L533" s="33" t="str">
        <f aca="false">IF($B533="","",IFERROR(INDEX('Code Mapping'!$D$5:$D$1753,MATCH($B533,'Code Mapping'!$A$5:$A$1753,0)),"Unmapped"))</f>
        <v>Unmapped</v>
      </c>
      <c r="M533" s="33" t="str">
        <f aca="false">IF($B533="","",IFERROR(INDEX('Code Mapping'!$E$5:$E$1753,MATCH($B533,'Code Mapping'!$A$5:$A$1753,0)),"Unmapped"))</f>
        <v>Unmapped</v>
      </c>
      <c r="N533" s="33" t="str">
        <f aca="false">IF($F533="","",$F533)</f>
        <v>InflataCity 2025</v>
      </c>
    </row>
    <row r="534" customFormat="false" ht="15" hidden="false" customHeight="false" outlineLevel="0" collapsed="false">
      <c r="A534" s="33" t="n">
        <v>5867</v>
      </c>
      <c r="B534" s="33" t="s">
        <v>1389</v>
      </c>
      <c r="C534" s="33" t="s">
        <v>1028</v>
      </c>
      <c r="D534" s="33"/>
      <c r="E534" s="33" t="n">
        <v>96</v>
      </c>
      <c r="F534" s="33" t="s">
        <v>2154</v>
      </c>
      <c r="G534" s="33" t="s">
        <v>445</v>
      </c>
      <c r="H534" s="33" t="n">
        <v>1</v>
      </c>
      <c r="I534" s="33" t="n">
        <v>1</v>
      </c>
      <c r="J534" s="33" t="n">
        <v>1</v>
      </c>
      <c r="K534" s="32" t="n">
        <v>300</v>
      </c>
      <c r="L534" s="33" t="str">
        <f aca="false">IF($B534="","",IFERROR(INDEX('Code Mapping'!$D$5:$D$1753,MATCH($B534,'Code Mapping'!$A$5:$A$1753,0)),"Unmapped"))</f>
        <v>Unmapped</v>
      </c>
      <c r="M534" s="33" t="str">
        <f aca="false">IF($B534="","",IFERROR(INDEX('Code Mapping'!$E$5:$E$1753,MATCH($B534,'Code Mapping'!$A$5:$A$1753,0)),"Unmapped"))</f>
        <v>Unmapped</v>
      </c>
      <c r="N534" s="33" t="str">
        <f aca="false">IF($F534="","",$F534)</f>
        <v>InflataCity 2025</v>
      </c>
    </row>
    <row r="535" customFormat="false" ht="15" hidden="false" customHeight="false" outlineLevel="0" collapsed="false">
      <c r="A535" s="33" t="n">
        <v>6130</v>
      </c>
      <c r="B535" s="33" t="s">
        <v>1388</v>
      </c>
      <c r="C535" s="33" t="s">
        <v>1032</v>
      </c>
      <c r="D535" s="33"/>
      <c r="E535" s="33" t="n">
        <v>96</v>
      </c>
      <c r="F535" s="33" t="s">
        <v>2154</v>
      </c>
      <c r="G535" s="33" t="s">
        <v>445</v>
      </c>
      <c r="H535" s="33" t="n">
        <v>1</v>
      </c>
      <c r="I535" s="33" t="n">
        <v>1</v>
      </c>
      <c r="J535" s="33" t="n">
        <v>1</v>
      </c>
      <c r="K535" s="32" t="n">
        <v>350</v>
      </c>
      <c r="L535" s="33" t="str">
        <f aca="false">IF($B535="","",IFERROR(INDEX('Code Mapping'!$D$5:$D$1753,MATCH($B535,'Code Mapping'!$A$5:$A$1753,0)),"Unmapped"))</f>
        <v>Unmapped</v>
      </c>
      <c r="M535" s="33" t="str">
        <f aca="false">IF($B535="","",IFERROR(INDEX('Code Mapping'!$E$5:$E$1753,MATCH($B535,'Code Mapping'!$A$5:$A$1753,0)),"Unmapped"))</f>
        <v>Unmapped</v>
      </c>
      <c r="N535" s="33" t="str">
        <f aca="false">IF($F535="","",$F535)</f>
        <v>InflataCity 2025</v>
      </c>
    </row>
    <row r="536" customFormat="false" ht="15" hidden="false" customHeight="false" outlineLevel="0" collapsed="false">
      <c r="A536" s="33" t="n">
        <v>6206</v>
      </c>
      <c r="B536" s="33" t="s">
        <v>1387</v>
      </c>
      <c r="C536" s="33" t="s">
        <v>1032</v>
      </c>
      <c r="D536" s="33"/>
      <c r="E536" s="33" t="n">
        <v>96</v>
      </c>
      <c r="F536" s="33" t="s">
        <v>2154</v>
      </c>
      <c r="G536" s="33" t="s">
        <v>445</v>
      </c>
      <c r="H536" s="33" t="n">
        <v>1</v>
      </c>
      <c r="I536" s="33" t="n">
        <v>1</v>
      </c>
      <c r="J536" s="33" t="n">
        <v>1</v>
      </c>
      <c r="K536" s="32" t="n">
        <v>350</v>
      </c>
      <c r="L536" s="33" t="str">
        <f aca="false">IF($B536="","",IFERROR(INDEX('Code Mapping'!$D$5:$D$1753,MATCH($B536,'Code Mapping'!$A$5:$A$1753,0)),"Unmapped"))</f>
        <v>Unmapped</v>
      </c>
      <c r="M536" s="33" t="str">
        <f aca="false">IF($B536="","",IFERROR(INDEX('Code Mapping'!$E$5:$E$1753,MATCH($B536,'Code Mapping'!$A$5:$A$1753,0)),"Unmapped"))</f>
        <v>Unmapped</v>
      </c>
      <c r="N536" s="33" t="str">
        <f aca="false">IF($F536="","",$F536)</f>
        <v>InflataCity 2025</v>
      </c>
    </row>
    <row r="537" customFormat="false" ht="15" hidden="false" customHeight="false" outlineLevel="0" collapsed="false">
      <c r="A537" s="33" t="n">
        <v>5572</v>
      </c>
      <c r="B537" s="33" t="s">
        <v>1386</v>
      </c>
      <c r="C537" s="33" t="s">
        <v>1028</v>
      </c>
      <c r="D537" s="33"/>
      <c r="E537" s="33" t="n">
        <v>96</v>
      </c>
      <c r="F537" s="33" t="s">
        <v>2154</v>
      </c>
      <c r="G537" s="33" t="s">
        <v>445</v>
      </c>
      <c r="H537" s="33" t="n">
        <v>1</v>
      </c>
      <c r="I537" s="33" t="n">
        <v>1</v>
      </c>
      <c r="J537" s="33" t="n">
        <v>1</v>
      </c>
      <c r="K537" s="32" t="n">
        <v>300</v>
      </c>
      <c r="L537" s="33" t="str">
        <f aca="false">IF($B537="","",IFERROR(INDEX('Code Mapping'!$D$5:$D$1753,MATCH($B537,'Code Mapping'!$A$5:$A$1753,0)),"Unmapped"))</f>
        <v>Unmapped</v>
      </c>
      <c r="M537" s="33" t="str">
        <f aca="false">IF($B537="","",IFERROR(INDEX('Code Mapping'!$E$5:$E$1753,MATCH($B537,'Code Mapping'!$A$5:$A$1753,0)),"Unmapped"))</f>
        <v>Unmapped</v>
      </c>
      <c r="N537" s="33" t="str">
        <f aca="false">IF($F537="","",$F537)</f>
        <v>InflataCity 2025</v>
      </c>
    </row>
    <row r="538" customFormat="false" ht="15" hidden="false" customHeight="false" outlineLevel="0" collapsed="false">
      <c r="A538" s="33" t="n">
        <v>6223</v>
      </c>
      <c r="B538" s="33" t="s">
        <v>1385</v>
      </c>
      <c r="C538" s="33" t="s">
        <v>1032</v>
      </c>
      <c r="D538" s="33"/>
      <c r="E538" s="33" t="n">
        <v>96</v>
      </c>
      <c r="F538" s="33" t="s">
        <v>2154</v>
      </c>
      <c r="G538" s="33" t="s">
        <v>445</v>
      </c>
      <c r="H538" s="33" t="n">
        <v>1</v>
      </c>
      <c r="I538" s="33" t="n">
        <v>1</v>
      </c>
      <c r="J538" s="33" t="n">
        <v>1</v>
      </c>
      <c r="K538" s="32" t="n">
        <v>350</v>
      </c>
      <c r="L538" s="33" t="str">
        <f aca="false">IF($B538="","",IFERROR(INDEX('Code Mapping'!$D$5:$D$1753,MATCH($B538,'Code Mapping'!$A$5:$A$1753,0)),"Unmapped"))</f>
        <v>Unmapped</v>
      </c>
      <c r="M538" s="33" t="str">
        <f aca="false">IF($B538="","",IFERROR(INDEX('Code Mapping'!$E$5:$E$1753,MATCH($B538,'Code Mapping'!$A$5:$A$1753,0)),"Unmapped"))</f>
        <v>Unmapped</v>
      </c>
      <c r="N538" s="33" t="str">
        <f aca="false">IF($F538="","",$F538)</f>
        <v>InflataCity 2025</v>
      </c>
    </row>
    <row r="539" customFormat="false" ht="15" hidden="false" customHeight="false" outlineLevel="0" collapsed="false">
      <c r="A539" s="33" t="n">
        <v>5596</v>
      </c>
      <c r="B539" s="33" t="s">
        <v>1384</v>
      </c>
      <c r="C539" s="33" t="s">
        <v>1028</v>
      </c>
      <c r="D539" s="33"/>
      <c r="E539" s="33" t="n">
        <v>96</v>
      </c>
      <c r="F539" s="33" t="s">
        <v>2154</v>
      </c>
      <c r="G539" s="33" t="s">
        <v>445</v>
      </c>
      <c r="H539" s="33" t="n">
        <v>1</v>
      </c>
      <c r="I539" s="33" t="n">
        <v>1</v>
      </c>
      <c r="J539" s="33" t="n">
        <v>1</v>
      </c>
      <c r="K539" s="32" t="n">
        <v>300</v>
      </c>
      <c r="L539" s="33" t="str">
        <f aca="false">IF($B539="","",IFERROR(INDEX('Code Mapping'!$D$5:$D$1753,MATCH($B539,'Code Mapping'!$A$5:$A$1753,0)),"Unmapped"))</f>
        <v>Unmapped</v>
      </c>
      <c r="M539" s="33" t="str">
        <f aca="false">IF($B539="","",IFERROR(INDEX('Code Mapping'!$E$5:$E$1753,MATCH($B539,'Code Mapping'!$A$5:$A$1753,0)),"Unmapped"))</f>
        <v>Unmapped</v>
      </c>
      <c r="N539" s="33" t="str">
        <f aca="false">IF($F539="","",$F539)</f>
        <v>InflataCity 2025</v>
      </c>
    </row>
    <row r="540" customFormat="false" ht="15" hidden="false" customHeight="false" outlineLevel="0" collapsed="false">
      <c r="A540" s="33" t="n">
        <v>6246</v>
      </c>
      <c r="B540" s="33" t="s">
        <v>1383</v>
      </c>
      <c r="C540" s="33" t="s">
        <v>1032</v>
      </c>
      <c r="D540" s="33"/>
      <c r="E540" s="33" t="n">
        <v>96</v>
      </c>
      <c r="F540" s="33" t="s">
        <v>2154</v>
      </c>
      <c r="G540" s="33" t="s">
        <v>445</v>
      </c>
      <c r="H540" s="33" t="n">
        <v>1</v>
      </c>
      <c r="I540" s="33" t="n">
        <v>1</v>
      </c>
      <c r="J540" s="33" t="n">
        <v>1</v>
      </c>
      <c r="K540" s="32" t="n">
        <v>350</v>
      </c>
      <c r="L540" s="33" t="str">
        <f aca="false">IF($B540="","",IFERROR(INDEX('Code Mapping'!$D$5:$D$1753,MATCH($B540,'Code Mapping'!$A$5:$A$1753,0)),"Unmapped"))</f>
        <v>Unmapped</v>
      </c>
      <c r="M540" s="33" t="str">
        <f aca="false">IF($B540="","",IFERROR(INDEX('Code Mapping'!$E$5:$E$1753,MATCH($B540,'Code Mapping'!$A$5:$A$1753,0)),"Unmapped"))</f>
        <v>Unmapped</v>
      </c>
      <c r="N540" s="33" t="str">
        <f aca="false">IF($F540="","",$F540)</f>
        <v>InflataCity 2025</v>
      </c>
    </row>
    <row r="541" customFormat="false" ht="15" hidden="false" customHeight="false" outlineLevel="0" collapsed="false">
      <c r="A541" s="33" t="n">
        <v>6461</v>
      </c>
      <c r="B541" s="33" t="s">
        <v>1412</v>
      </c>
      <c r="C541" s="33" t="s">
        <v>1026</v>
      </c>
      <c r="D541" s="33"/>
      <c r="E541" s="33" t="n">
        <v>96</v>
      </c>
      <c r="F541" s="33" t="s">
        <v>2154</v>
      </c>
      <c r="G541" s="33" t="s">
        <v>445</v>
      </c>
      <c r="H541" s="33" t="n">
        <v>1</v>
      </c>
      <c r="I541" s="33" t="n">
        <v>1</v>
      </c>
      <c r="J541" s="33" t="n">
        <v>1</v>
      </c>
      <c r="K541" s="32" t="n">
        <v>75</v>
      </c>
      <c r="L541" s="33" t="str">
        <f aca="false">IF($B541="","",IFERROR(INDEX('Code Mapping'!$D$5:$D$1753,MATCH($B541,'Code Mapping'!$A$5:$A$1753,0)),"Unmapped"))</f>
        <v>Unmapped</v>
      </c>
      <c r="M541" s="33" t="str">
        <f aca="false">IF($B541="","",IFERROR(INDEX('Code Mapping'!$E$5:$E$1753,MATCH($B541,'Code Mapping'!$A$5:$A$1753,0)),"Unmapped"))</f>
        <v>Unmapped</v>
      </c>
      <c r="N541" s="33" t="str">
        <f aca="false">IF($F541="","",$F541)</f>
        <v>InflataCity 2025</v>
      </c>
    </row>
    <row r="542" customFormat="false" ht="15" hidden="false" customHeight="false" outlineLevel="0" collapsed="false">
      <c r="A542" s="33" t="n">
        <v>5801</v>
      </c>
      <c r="B542" s="33" t="s">
        <v>1421</v>
      </c>
      <c r="C542" s="33" t="s">
        <v>1028</v>
      </c>
      <c r="D542" s="33"/>
      <c r="E542" s="33" t="n">
        <v>96</v>
      </c>
      <c r="F542" s="33" t="s">
        <v>2154</v>
      </c>
      <c r="G542" s="33" t="s">
        <v>445</v>
      </c>
      <c r="H542" s="33" t="n">
        <v>1</v>
      </c>
      <c r="I542" s="33" t="n">
        <v>1</v>
      </c>
      <c r="J542" s="33" t="n">
        <v>1</v>
      </c>
      <c r="K542" s="32" t="n">
        <v>300</v>
      </c>
      <c r="L542" s="33" t="str">
        <f aca="false">IF($B542="","",IFERROR(INDEX('Code Mapping'!$D$5:$D$1753,MATCH($B542,'Code Mapping'!$A$5:$A$1753,0)),"Unmapped"))</f>
        <v>Unmapped</v>
      </c>
      <c r="M542" s="33" t="str">
        <f aca="false">IF($B542="","",IFERROR(INDEX('Code Mapping'!$E$5:$E$1753,MATCH($B542,'Code Mapping'!$A$5:$A$1753,0)),"Unmapped"))</f>
        <v>Unmapped</v>
      </c>
      <c r="N542" s="33" t="str">
        <f aca="false">IF($F542="","",$F542)</f>
        <v>InflataCity 2025</v>
      </c>
    </row>
    <row r="543" customFormat="false" ht="15" hidden="false" customHeight="false" outlineLevel="0" collapsed="false">
      <c r="A543" s="33" t="n">
        <v>5746</v>
      </c>
      <c r="B543" s="33" t="s">
        <v>1414</v>
      </c>
      <c r="C543" s="33" t="s">
        <v>1028</v>
      </c>
      <c r="D543" s="33"/>
      <c r="E543" s="33" t="n">
        <v>96</v>
      </c>
      <c r="F543" s="33" t="s">
        <v>2154</v>
      </c>
      <c r="G543" s="33" t="s">
        <v>445</v>
      </c>
      <c r="H543" s="33" t="n">
        <v>1</v>
      </c>
      <c r="I543" s="33" t="n">
        <v>1</v>
      </c>
      <c r="J543" s="33" t="n">
        <v>1</v>
      </c>
      <c r="K543" s="32" t="n">
        <v>300</v>
      </c>
      <c r="L543" s="33" t="str">
        <f aca="false">IF($B543="","",IFERROR(INDEX('Code Mapping'!$D$5:$D$1753,MATCH($B543,'Code Mapping'!$A$5:$A$1753,0)),"Unmapped"))</f>
        <v>Unmapped</v>
      </c>
      <c r="M543" s="33" t="str">
        <f aca="false">IF($B543="","",IFERROR(INDEX('Code Mapping'!$E$5:$E$1753,MATCH($B543,'Code Mapping'!$A$5:$A$1753,0)),"Unmapped"))</f>
        <v>Unmapped</v>
      </c>
      <c r="N543" s="33" t="str">
        <f aca="false">IF($F543="","",$F543)</f>
        <v>InflataCity 2025</v>
      </c>
    </row>
    <row r="544" customFormat="false" ht="15" hidden="false" customHeight="false" outlineLevel="0" collapsed="false">
      <c r="A544" s="33" t="n">
        <v>5790</v>
      </c>
      <c r="B544" s="33" t="s">
        <v>1435</v>
      </c>
      <c r="C544" s="33" t="s">
        <v>1028</v>
      </c>
      <c r="D544" s="33"/>
      <c r="E544" s="33" t="n">
        <v>96</v>
      </c>
      <c r="F544" s="33" t="s">
        <v>2154</v>
      </c>
      <c r="G544" s="33" t="s">
        <v>445</v>
      </c>
      <c r="H544" s="33" t="n">
        <v>1</v>
      </c>
      <c r="I544" s="33" t="n">
        <v>1</v>
      </c>
      <c r="J544" s="33" t="n">
        <v>1</v>
      </c>
      <c r="K544" s="32" t="n">
        <v>300</v>
      </c>
      <c r="L544" s="33" t="str">
        <f aca="false">IF($B544="","",IFERROR(INDEX('Code Mapping'!$D$5:$D$1753,MATCH($B544,'Code Mapping'!$A$5:$A$1753,0)),"Unmapped"))</f>
        <v>Unmapped</v>
      </c>
      <c r="M544" s="33" t="str">
        <f aca="false">IF($B544="","",IFERROR(INDEX('Code Mapping'!$E$5:$E$1753,MATCH($B544,'Code Mapping'!$A$5:$A$1753,0)),"Unmapped"))</f>
        <v>Unmapped</v>
      </c>
      <c r="N544" s="33" t="str">
        <f aca="false">IF($F544="","",$F544)</f>
        <v>InflataCity 2025</v>
      </c>
    </row>
    <row r="545" customFormat="false" ht="15" hidden="false" customHeight="false" outlineLevel="0" collapsed="false">
      <c r="A545" s="33" t="n">
        <v>5807</v>
      </c>
      <c r="B545" s="33" t="s">
        <v>1452</v>
      </c>
      <c r="C545" s="33" t="s">
        <v>1028</v>
      </c>
      <c r="D545" s="33"/>
      <c r="E545" s="33" t="n">
        <v>96</v>
      </c>
      <c r="F545" s="33" t="s">
        <v>2154</v>
      </c>
      <c r="G545" s="33" t="s">
        <v>445</v>
      </c>
      <c r="H545" s="33" t="n">
        <v>1</v>
      </c>
      <c r="I545" s="33" t="n">
        <v>1</v>
      </c>
      <c r="J545" s="33" t="n">
        <v>1</v>
      </c>
      <c r="K545" s="32" t="n">
        <v>300</v>
      </c>
      <c r="L545" s="33" t="str">
        <f aca="false">IF($B545="","",IFERROR(INDEX('Code Mapping'!$D$5:$D$1753,MATCH($B545,'Code Mapping'!$A$5:$A$1753,0)),"Unmapped"))</f>
        <v>Unmapped</v>
      </c>
      <c r="M545" s="33" t="str">
        <f aca="false">IF($B545="","",IFERROR(INDEX('Code Mapping'!$E$5:$E$1753,MATCH($B545,'Code Mapping'!$A$5:$A$1753,0)),"Unmapped"))</f>
        <v>Unmapped</v>
      </c>
      <c r="N545" s="33" t="str">
        <f aca="false">IF($F545="","",$F545)</f>
        <v>InflataCity 2025</v>
      </c>
    </row>
    <row r="546" customFormat="false" ht="15" hidden="false" customHeight="false" outlineLevel="0" collapsed="false">
      <c r="A546" s="33" t="n">
        <v>6538</v>
      </c>
      <c r="B546" s="33" t="s">
        <v>1451</v>
      </c>
      <c r="C546" s="33" t="s">
        <v>1026</v>
      </c>
      <c r="D546" s="33"/>
      <c r="E546" s="33" t="n">
        <v>96</v>
      </c>
      <c r="F546" s="33" t="s">
        <v>2154</v>
      </c>
      <c r="G546" s="33" t="s">
        <v>445</v>
      </c>
      <c r="H546" s="33" t="n">
        <v>1</v>
      </c>
      <c r="I546" s="33" t="n">
        <v>1</v>
      </c>
      <c r="J546" s="33" t="n">
        <v>1</v>
      </c>
      <c r="K546" s="32" t="n">
        <v>75</v>
      </c>
      <c r="L546" s="33" t="str">
        <f aca="false">IF($B546="","",IFERROR(INDEX('Code Mapping'!$D$5:$D$1753,MATCH($B546,'Code Mapping'!$A$5:$A$1753,0)),"Unmapped"))</f>
        <v>Unmapped</v>
      </c>
      <c r="M546" s="33" t="str">
        <f aca="false">IF($B546="","",IFERROR(INDEX('Code Mapping'!$E$5:$E$1753,MATCH($B546,'Code Mapping'!$A$5:$A$1753,0)),"Unmapped"))</f>
        <v>Unmapped</v>
      </c>
      <c r="N546" s="33" t="str">
        <f aca="false">IF($F546="","",$F546)</f>
        <v>InflataCity 2025</v>
      </c>
    </row>
    <row r="547" customFormat="false" ht="15" hidden="false" customHeight="false" outlineLevel="0" collapsed="false">
      <c r="A547" s="33" t="n">
        <v>6501</v>
      </c>
      <c r="B547" s="33" t="s">
        <v>1450</v>
      </c>
      <c r="C547" s="33" t="s">
        <v>1026</v>
      </c>
      <c r="D547" s="33"/>
      <c r="E547" s="33" t="n">
        <v>96</v>
      </c>
      <c r="F547" s="33" t="s">
        <v>2154</v>
      </c>
      <c r="G547" s="33" t="s">
        <v>445</v>
      </c>
      <c r="H547" s="33" t="n">
        <v>1</v>
      </c>
      <c r="I547" s="33" t="n">
        <v>1</v>
      </c>
      <c r="J547" s="33" t="n">
        <v>1</v>
      </c>
      <c r="K547" s="32" t="n">
        <v>75</v>
      </c>
      <c r="L547" s="33" t="str">
        <f aca="false">IF($B547="","",IFERROR(INDEX('Code Mapping'!$D$5:$D$1753,MATCH($B547,'Code Mapping'!$A$5:$A$1753,0)),"Unmapped"))</f>
        <v>Unmapped</v>
      </c>
      <c r="M547" s="33" t="str">
        <f aca="false">IF($B547="","",IFERROR(INDEX('Code Mapping'!$E$5:$E$1753,MATCH($B547,'Code Mapping'!$A$5:$A$1753,0)),"Unmapped"))</f>
        <v>Unmapped</v>
      </c>
      <c r="N547" s="33" t="str">
        <f aca="false">IF($F547="","",$F547)</f>
        <v>InflataCity 2025</v>
      </c>
    </row>
    <row r="548" customFormat="false" ht="15" hidden="false" customHeight="false" outlineLevel="0" collapsed="false">
      <c r="A548" s="33" t="n">
        <v>5737</v>
      </c>
      <c r="B548" s="33" t="s">
        <v>1449</v>
      </c>
      <c r="C548" s="33" t="s">
        <v>1028</v>
      </c>
      <c r="D548" s="33"/>
      <c r="E548" s="33" t="n">
        <v>96</v>
      </c>
      <c r="F548" s="33" t="s">
        <v>2154</v>
      </c>
      <c r="G548" s="33" t="s">
        <v>445</v>
      </c>
      <c r="H548" s="33" t="n">
        <v>1</v>
      </c>
      <c r="I548" s="33" t="n">
        <v>1</v>
      </c>
      <c r="J548" s="33" t="n">
        <v>1</v>
      </c>
      <c r="K548" s="32" t="n">
        <v>300</v>
      </c>
      <c r="L548" s="33" t="str">
        <f aca="false">IF($B548="","",IFERROR(INDEX('Code Mapping'!$D$5:$D$1753,MATCH($B548,'Code Mapping'!$A$5:$A$1753,0)),"Unmapped"))</f>
        <v>Unmapped</v>
      </c>
      <c r="M548" s="33" t="str">
        <f aca="false">IF($B548="","",IFERROR(INDEX('Code Mapping'!$E$5:$E$1753,MATCH($B548,'Code Mapping'!$A$5:$A$1753,0)),"Unmapped"))</f>
        <v>Unmapped</v>
      </c>
      <c r="N548" s="33" t="str">
        <f aca="false">IF($F548="","",$F548)</f>
        <v>InflataCity 2025</v>
      </c>
    </row>
    <row r="549" customFormat="false" ht="15" hidden="false" customHeight="false" outlineLevel="0" collapsed="false">
      <c r="A549" s="33" t="n">
        <v>6678</v>
      </c>
      <c r="B549" s="33" t="s">
        <v>1448</v>
      </c>
      <c r="C549" s="33" t="s">
        <v>1026</v>
      </c>
      <c r="D549" s="33"/>
      <c r="E549" s="33" t="n">
        <v>96</v>
      </c>
      <c r="F549" s="33" t="s">
        <v>2154</v>
      </c>
      <c r="G549" s="33" t="s">
        <v>445</v>
      </c>
      <c r="H549" s="33" t="n">
        <v>1</v>
      </c>
      <c r="I549" s="33" t="n">
        <v>1</v>
      </c>
      <c r="J549" s="33" t="n">
        <v>1</v>
      </c>
      <c r="K549" s="32" t="n">
        <v>75</v>
      </c>
      <c r="L549" s="33" t="str">
        <f aca="false">IF($B549="","",IFERROR(INDEX('Code Mapping'!$D$5:$D$1753,MATCH($B549,'Code Mapping'!$A$5:$A$1753,0)),"Unmapped"))</f>
        <v>Unmapped</v>
      </c>
      <c r="M549" s="33" t="str">
        <f aca="false">IF($B549="","",IFERROR(INDEX('Code Mapping'!$E$5:$E$1753,MATCH($B549,'Code Mapping'!$A$5:$A$1753,0)),"Unmapped"))</f>
        <v>Unmapped</v>
      </c>
      <c r="N549" s="33" t="str">
        <f aca="false">IF($F549="","",$F549)</f>
        <v>InflataCity 2025</v>
      </c>
    </row>
    <row r="550" customFormat="false" ht="15" hidden="false" customHeight="false" outlineLevel="0" collapsed="false">
      <c r="A550" s="33" t="n">
        <v>6132</v>
      </c>
      <c r="B550" s="33" t="s">
        <v>1447</v>
      </c>
      <c r="C550" s="33" t="s">
        <v>1032</v>
      </c>
      <c r="D550" s="33"/>
      <c r="E550" s="33" t="n">
        <v>96</v>
      </c>
      <c r="F550" s="33" t="s">
        <v>2154</v>
      </c>
      <c r="G550" s="33" t="s">
        <v>445</v>
      </c>
      <c r="H550" s="33" t="n">
        <v>1</v>
      </c>
      <c r="I550" s="33" t="n">
        <v>1</v>
      </c>
      <c r="J550" s="33" t="n">
        <v>1</v>
      </c>
      <c r="K550" s="32" t="n">
        <v>350</v>
      </c>
      <c r="L550" s="33" t="str">
        <f aca="false">IF($B550="","",IFERROR(INDEX('Code Mapping'!$D$5:$D$1753,MATCH($B550,'Code Mapping'!$A$5:$A$1753,0)),"Unmapped"))</f>
        <v>Unmapped</v>
      </c>
      <c r="M550" s="33" t="str">
        <f aca="false">IF($B550="","",IFERROR(INDEX('Code Mapping'!$E$5:$E$1753,MATCH($B550,'Code Mapping'!$A$5:$A$1753,0)),"Unmapped"))</f>
        <v>Unmapped</v>
      </c>
      <c r="N550" s="33" t="str">
        <f aca="false">IF($F550="","",$F550)</f>
        <v>InflataCity 2025</v>
      </c>
    </row>
    <row r="551" customFormat="false" ht="15" hidden="false" customHeight="false" outlineLevel="0" collapsed="false">
      <c r="A551" s="33" t="n">
        <v>5832</v>
      </c>
      <c r="B551" s="33" t="s">
        <v>1446</v>
      </c>
      <c r="C551" s="33" t="s">
        <v>1028</v>
      </c>
      <c r="D551" s="33"/>
      <c r="E551" s="33" t="n">
        <v>96</v>
      </c>
      <c r="F551" s="33" t="s">
        <v>2154</v>
      </c>
      <c r="G551" s="33" t="s">
        <v>445</v>
      </c>
      <c r="H551" s="33" t="n">
        <v>1</v>
      </c>
      <c r="I551" s="33" t="n">
        <v>1</v>
      </c>
      <c r="J551" s="33" t="n">
        <v>1</v>
      </c>
      <c r="K551" s="32" t="n">
        <v>300</v>
      </c>
      <c r="L551" s="33" t="str">
        <f aca="false">IF($B551="","",IFERROR(INDEX('Code Mapping'!$D$5:$D$1753,MATCH($B551,'Code Mapping'!$A$5:$A$1753,0)),"Unmapped"))</f>
        <v>Unmapped</v>
      </c>
      <c r="M551" s="33" t="str">
        <f aca="false">IF($B551="","",IFERROR(INDEX('Code Mapping'!$E$5:$E$1753,MATCH($B551,'Code Mapping'!$A$5:$A$1753,0)),"Unmapped"))</f>
        <v>Unmapped</v>
      </c>
      <c r="N551" s="33" t="str">
        <f aca="false">IF($F551="","",$F551)</f>
        <v>InflataCity 2025</v>
      </c>
    </row>
    <row r="552" customFormat="false" ht="15" hidden="false" customHeight="false" outlineLevel="0" collapsed="false">
      <c r="A552" s="33" t="n">
        <v>6559</v>
      </c>
      <c r="B552" s="33" t="s">
        <v>1445</v>
      </c>
      <c r="C552" s="33" t="s">
        <v>1026</v>
      </c>
      <c r="D552" s="33"/>
      <c r="E552" s="33" t="n">
        <v>96</v>
      </c>
      <c r="F552" s="33" t="s">
        <v>2154</v>
      </c>
      <c r="G552" s="33" t="s">
        <v>445</v>
      </c>
      <c r="H552" s="33" t="n">
        <v>1</v>
      </c>
      <c r="I552" s="33" t="n">
        <v>1</v>
      </c>
      <c r="J552" s="33" t="n">
        <v>1</v>
      </c>
      <c r="K552" s="32" t="n">
        <v>75</v>
      </c>
      <c r="L552" s="33" t="str">
        <f aca="false">IF($B552="","",IFERROR(INDEX('Code Mapping'!$D$5:$D$1753,MATCH($B552,'Code Mapping'!$A$5:$A$1753,0)),"Unmapped"))</f>
        <v>Unmapped</v>
      </c>
      <c r="M552" s="33" t="str">
        <f aca="false">IF($B552="","",IFERROR(INDEX('Code Mapping'!$E$5:$E$1753,MATCH($B552,'Code Mapping'!$A$5:$A$1753,0)),"Unmapped"))</f>
        <v>Unmapped</v>
      </c>
      <c r="N552" s="33" t="str">
        <f aca="false">IF($F552="","",$F552)</f>
        <v>InflataCity 2025</v>
      </c>
    </row>
    <row r="553" customFormat="false" ht="15" hidden="false" customHeight="false" outlineLevel="0" collapsed="false">
      <c r="A553" s="33" t="n">
        <v>6576</v>
      </c>
      <c r="B553" s="33" t="s">
        <v>1444</v>
      </c>
      <c r="C553" s="33" t="s">
        <v>1026</v>
      </c>
      <c r="D553" s="33"/>
      <c r="E553" s="33" t="n">
        <v>96</v>
      </c>
      <c r="F553" s="33" t="s">
        <v>2154</v>
      </c>
      <c r="G553" s="33" t="s">
        <v>445</v>
      </c>
      <c r="H553" s="33" t="n">
        <v>1</v>
      </c>
      <c r="I553" s="33" t="n">
        <v>1</v>
      </c>
      <c r="J553" s="33" t="n">
        <v>1</v>
      </c>
      <c r="K553" s="32" t="n">
        <v>75</v>
      </c>
      <c r="L553" s="33" t="str">
        <f aca="false">IF($B553="","",IFERROR(INDEX('Code Mapping'!$D$5:$D$1753,MATCH($B553,'Code Mapping'!$A$5:$A$1753,0)),"Unmapped"))</f>
        <v>Unmapped</v>
      </c>
      <c r="M553" s="33" t="str">
        <f aca="false">IF($B553="","",IFERROR(INDEX('Code Mapping'!$E$5:$E$1753,MATCH($B553,'Code Mapping'!$A$5:$A$1753,0)),"Unmapped"))</f>
        <v>Unmapped</v>
      </c>
      <c r="N553" s="33" t="str">
        <f aca="false">IF($F553="","",$F553)</f>
        <v>InflataCity 2025</v>
      </c>
    </row>
    <row r="554" customFormat="false" ht="15" hidden="false" customHeight="false" outlineLevel="0" collapsed="false">
      <c r="A554" s="33" t="n">
        <v>6135</v>
      </c>
      <c r="B554" s="33" t="s">
        <v>1443</v>
      </c>
      <c r="C554" s="33" t="s">
        <v>1032</v>
      </c>
      <c r="D554" s="33"/>
      <c r="E554" s="33" t="n">
        <v>96</v>
      </c>
      <c r="F554" s="33" t="s">
        <v>2154</v>
      </c>
      <c r="G554" s="33" t="s">
        <v>445</v>
      </c>
      <c r="H554" s="33" t="n">
        <v>1</v>
      </c>
      <c r="I554" s="33" t="n">
        <v>1</v>
      </c>
      <c r="J554" s="33" t="n">
        <v>1</v>
      </c>
      <c r="K554" s="32" t="n">
        <v>350</v>
      </c>
      <c r="L554" s="33" t="str">
        <f aca="false">IF($B554="","",IFERROR(INDEX('Code Mapping'!$D$5:$D$1753,MATCH($B554,'Code Mapping'!$A$5:$A$1753,0)),"Unmapped"))</f>
        <v>Unmapped</v>
      </c>
      <c r="M554" s="33" t="str">
        <f aca="false">IF($B554="","",IFERROR(INDEX('Code Mapping'!$E$5:$E$1753,MATCH($B554,'Code Mapping'!$A$5:$A$1753,0)),"Unmapped"))</f>
        <v>Unmapped</v>
      </c>
      <c r="N554" s="33" t="str">
        <f aca="false">IF($F554="","",$F554)</f>
        <v>InflataCity 2025</v>
      </c>
    </row>
    <row r="555" customFormat="false" ht="15" hidden="false" customHeight="false" outlineLevel="0" collapsed="false">
      <c r="A555" s="33" t="n">
        <v>6516</v>
      </c>
      <c r="B555" s="33" t="s">
        <v>1438</v>
      </c>
      <c r="C555" s="33" t="s">
        <v>1026</v>
      </c>
      <c r="D555" s="33"/>
      <c r="E555" s="33" t="n">
        <v>96</v>
      </c>
      <c r="F555" s="33" t="s">
        <v>2154</v>
      </c>
      <c r="G555" s="33" t="s">
        <v>445</v>
      </c>
      <c r="H555" s="33" t="n">
        <v>1</v>
      </c>
      <c r="I555" s="33" t="n">
        <v>1</v>
      </c>
      <c r="J555" s="33" t="n">
        <v>1</v>
      </c>
      <c r="K555" s="32" t="n">
        <v>75</v>
      </c>
      <c r="L555" s="33" t="str">
        <f aca="false">IF($B555="","",IFERROR(INDEX('Code Mapping'!$D$5:$D$1753,MATCH($B555,'Code Mapping'!$A$5:$A$1753,0)),"Unmapped"))</f>
        <v>Unmapped</v>
      </c>
      <c r="M555" s="33" t="str">
        <f aca="false">IF($B555="","",IFERROR(INDEX('Code Mapping'!$E$5:$E$1753,MATCH($B555,'Code Mapping'!$A$5:$A$1753,0)),"Unmapped"))</f>
        <v>Unmapped</v>
      </c>
      <c r="N555" s="33" t="str">
        <f aca="false">IF($F555="","",$F555)</f>
        <v>InflataCity 2025</v>
      </c>
    </row>
    <row r="556" customFormat="false" ht="15" hidden="false" customHeight="false" outlineLevel="0" collapsed="false">
      <c r="A556" s="33" t="n">
        <v>6259</v>
      </c>
      <c r="B556" s="33" t="s">
        <v>1436</v>
      </c>
      <c r="C556" s="33" t="s">
        <v>1032</v>
      </c>
      <c r="D556" s="33"/>
      <c r="E556" s="33" t="n">
        <v>96</v>
      </c>
      <c r="F556" s="33" t="s">
        <v>2154</v>
      </c>
      <c r="G556" s="33" t="s">
        <v>445</v>
      </c>
      <c r="H556" s="33" t="n">
        <v>1</v>
      </c>
      <c r="I556" s="33" t="n">
        <v>1</v>
      </c>
      <c r="J556" s="33" t="n">
        <v>1</v>
      </c>
      <c r="K556" s="32" t="n">
        <v>350</v>
      </c>
      <c r="L556" s="33" t="str">
        <f aca="false">IF($B556="","",IFERROR(INDEX('Code Mapping'!$D$5:$D$1753,MATCH($B556,'Code Mapping'!$A$5:$A$1753,0)),"Unmapped"))</f>
        <v>Unmapped</v>
      </c>
      <c r="M556" s="33" t="str">
        <f aca="false">IF($B556="","",IFERROR(INDEX('Code Mapping'!$E$5:$E$1753,MATCH($B556,'Code Mapping'!$A$5:$A$1753,0)),"Unmapped"))</f>
        <v>Unmapped</v>
      </c>
      <c r="N556" s="33" t="str">
        <f aca="false">IF($F556="","",$F556)</f>
        <v>InflataCity 2025</v>
      </c>
    </row>
    <row r="557" customFormat="false" ht="15" hidden="false" customHeight="false" outlineLevel="0" collapsed="false">
      <c r="A557" s="33" t="n">
        <v>5580</v>
      </c>
      <c r="B557" s="33" t="s">
        <v>1434</v>
      </c>
      <c r="C557" s="33" t="s">
        <v>1028</v>
      </c>
      <c r="D557" s="33"/>
      <c r="E557" s="33" t="n">
        <v>96</v>
      </c>
      <c r="F557" s="33" t="s">
        <v>2154</v>
      </c>
      <c r="G557" s="33" t="s">
        <v>445</v>
      </c>
      <c r="H557" s="33" t="n">
        <v>1</v>
      </c>
      <c r="I557" s="33" t="n">
        <v>1</v>
      </c>
      <c r="J557" s="33" t="n">
        <v>1</v>
      </c>
      <c r="K557" s="32" t="n">
        <v>300</v>
      </c>
      <c r="L557" s="33" t="str">
        <f aca="false">IF($B557="","",IFERROR(INDEX('Code Mapping'!$D$5:$D$1753,MATCH($B557,'Code Mapping'!$A$5:$A$1753,0)),"Unmapped"))</f>
        <v>Unmapped</v>
      </c>
      <c r="M557" s="33" t="str">
        <f aca="false">IF($B557="","",IFERROR(INDEX('Code Mapping'!$E$5:$E$1753,MATCH($B557,'Code Mapping'!$A$5:$A$1753,0)),"Unmapped"))</f>
        <v>Unmapped</v>
      </c>
      <c r="N557" s="33" t="str">
        <f aca="false">IF($F557="","",$F557)</f>
        <v>InflataCity 2025</v>
      </c>
    </row>
    <row r="558" customFormat="false" ht="15" hidden="false" customHeight="false" outlineLevel="0" collapsed="false">
      <c r="A558" s="33" t="n">
        <v>6474</v>
      </c>
      <c r="B558" s="33" t="s">
        <v>1415</v>
      </c>
      <c r="C558" s="33" t="s">
        <v>1026</v>
      </c>
      <c r="D558" s="33"/>
      <c r="E558" s="33" t="n">
        <v>96</v>
      </c>
      <c r="F558" s="33" t="s">
        <v>2154</v>
      </c>
      <c r="G558" s="33" t="s">
        <v>445</v>
      </c>
      <c r="H558" s="33" t="n">
        <v>1</v>
      </c>
      <c r="I558" s="33" t="n">
        <v>1</v>
      </c>
      <c r="J558" s="33" t="n">
        <v>1</v>
      </c>
      <c r="K558" s="32" t="n">
        <v>75</v>
      </c>
      <c r="L558" s="33" t="str">
        <f aca="false">IF($B558="","",IFERROR(INDEX('Code Mapping'!$D$5:$D$1753,MATCH($B558,'Code Mapping'!$A$5:$A$1753,0)),"Unmapped"))</f>
        <v>Unmapped</v>
      </c>
      <c r="M558" s="33" t="str">
        <f aca="false">IF($B558="","",IFERROR(INDEX('Code Mapping'!$E$5:$E$1753,MATCH($B558,'Code Mapping'!$A$5:$A$1753,0)),"Unmapped"))</f>
        <v>Unmapped</v>
      </c>
      <c r="N558" s="33" t="str">
        <f aca="false">IF($F558="","",$F558)</f>
        <v>InflataCity 2025</v>
      </c>
    </row>
    <row r="559" customFormat="false" ht="15" hidden="false" customHeight="false" outlineLevel="0" collapsed="false">
      <c r="A559" s="33" t="n">
        <v>5705</v>
      </c>
      <c r="B559" s="33" t="s">
        <v>1433</v>
      </c>
      <c r="C559" s="33" t="s">
        <v>1028</v>
      </c>
      <c r="D559" s="33"/>
      <c r="E559" s="33" t="n">
        <v>96</v>
      </c>
      <c r="F559" s="33" t="s">
        <v>2154</v>
      </c>
      <c r="G559" s="33" t="s">
        <v>445</v>
      </c>
      <c r="H559" s="33" t="n">
        <v>1</v>
      </c>
      <c r="I559" s="33" t="n">
        <v>1</v>
      </c>
      <c r="J559" s="33" t="n">
        <v>1</v>
      </c>
      <c r="K559" s="32" t="n">
        <v>300</v>
      </c>
      <c r="L559" s="33" t="str">
        <f aca="false">IF($B559="","",IFERROR(INDEX('Code Mapping'!$D$5:$D$1753,MATCH($B559,'Code Mapping'!$A$5:$A$1753,0)),"Unmapped"))</f>
        <v>Unmapped</v>
      </c>
      <c r="M559" s="33" t="str">
        <f aca="false">IF($B559="","",IFERROR(INDEX('Code Mapping'!$E$5:$E$1753,MATCH($B559,'Code Mapping'!$A$5:$A$1753,0)),"Unmapped"))</f>
        <v>Unmapped</v>
      </c>
      <c r="N559" s="33" t="str">
        <f aca="false">IF($F559="","",$F559)</f>
        <v>InflataCity 2025</v>
      </c>
    </row>
    <row r="560" customFormat="false" ht="15" hidden="false" customHeight="false" outlineLevel="0" collapsed="false">
      <c r="A560" s="33" t="n">
        <v>5885</v>
      </c>
      <c r="B560" s="33" t="s">
        <v>1432</v>
      </c>
      <c r="C560" s="33" t="s">
        <v>1028</v>
      </c>
      <c r="D560" s="33"/>
      <c r="E560" s="33" t="n">
        <v>96</v>
      </c>
      <c r="F560" s="33" t="s">
        <v>2154</v>
      </c>
      <c r="G560" s="33" t="s">
        <v>445</v>
      </c>
      <c r="H560" s="33" t="n">
        <v>1</v>
      </c>
      <c r="I560" s="33" t="n">
        <v>1</v>
      </c>
      <c r="J560" s="33" t="n">
        <v>1</v>
      </c>
      <c r="K560" s="32" t="n">
        <v>300</v>
      </c>
      <c r="L560" s="33" t="str">
        <f aca="false">IF($B560="","",IFERROR(INDEX('Code Mapping'!$D$5:$D$1753,MATCH($B560,'Code Mapping'!$A$5:$A$1753,0)),"Unmapped"))</f>
        <v>Unmapped</v>
      </c>
      <c r="M560" s="33" t="str">
        <f aca="false">IF($B560="","",IFERROR(INDEX('Code Mapping'!$E$5:$E$1753,MATCH($B560,'Code Mapping'!$A$5:$A$1753,0)),"Unmapped"))</f>
        <v>Unmapped</v>
      </c>
      <c r="N560" s="33" t="str">
        <f aca="false">IF($F560="","",$F560)</f>
        <v>InflataCity 2025</v>
      </c>
    </row>
    <row r="561" customFormat="false" ht="15" hidden="false" customHeight="false" outlineLevel="0" collapsed="false">
      <c r="A561" s="33" t="n">
        <v>6580</v>
      </c>
      <c r="B561" s="33" t="s">
        <v>1431</v>
      </c>
      <c r="C561" s="33" t="s">
        <v>1026</v>
      </c>
      <c r="D561" s="33"/>
      <c r="E561" s="33" t="n">
        <v>96</v>
      </c>
      <c r="F561" s="33" t="s">
        <v>2154</v>
      </c>
      <c r="G561" s="33" t="s">
        <v>445</v>
      </c>
      <c r="H561" s="33" t="n">
        <v>1</v>
      </c>
      <c r="I561" s="33" t="n">
        <v>1</v>
      </c>
      <c r="J561" s="33" t="n">
        <v>1</v>
      </c>
      <c r="K561" s="32" t="n">
        <v>75</v>
      </c>
      <c r="L561" s="33" t="str">
        <f aca="false">IF($B561="","",IFERROR(INDEX('Code Mapping'!$D$5:$D$1753,MATCH($B561,'Code Mapping'!$A$5:$A$1753,0)),"Unmapped"))</f>
        <v>Unmapped</v>
      </c>
      <c r="M561" s="33" t="str">
        <f aca="false">IF($B561="","",IFERROR(INDEX('Code Mapping'!$E$5:$E$1753,MATCH($B561,'Code Mapping'!$A$5:$A$1753,0)),"Unmapped"))</f>
        <v>Unmapped</v>
      </c>
      <c r="N561" s="33" t="str">
        <f aca="false">IF($F561="","",$F561)</f>
        <v>InflataCity 2025</v>
      </c>
    </row>
    <row r="562" customFormat="false" ht="15" hidden="false" customHeight="false" outlineLevel="0" collapsed="false">
      <c r="A562" s="33" t="n">
        <v>6200</v>
      </c>
      <c r="B562" s="33" t="s">
        <v>1430</v>
      </c>
      <c r="C562" s="33" t="s">
        <v>1032</v>
      </c>
      <c r="D562" s="33"/>
      <c r="E562" s="33" t="n">
        <v>96</v>
      </c>
      <c r="F562" s="33" t="s">
        <v>2154</v>
      </c>
      <c r="G562" s="33" t="s">
        <v>445</v>
      </c>
      <c r="H562" s="33" t="n">
        <v>1</v>
      </c>
      <c r="I562" s="33" t="n">
        <v>1</v>
      </c>
      <c r="J562" s="33" t="n">
        <v>1</v>
      </c>
      <c r="K562" s="32" t="n">
        <v>350</v>
      </c>
      <c r="L562" s="33" t="str">
        <f aca="false">IF($B562="","",IFERROR(INDEX('Code Mapping'!$D$5:$D$1753,MATCH($B562,'Code Mapping'!$A$5:$A$1753,0)),"Unmapped"))</f>
        <v>Unmapped</v>
      </c>
      <c r="M562" s="33" t="str">
        <f aca="false">IF($B562="","",IFERROR(INDEX('Code Mapping'!$E$5:$E$1753,MATCH($B562,'Code Mapping'!$A$5:$A$1753,0)),"Unmapped"))</f>
        <v>Unmapped</v>
      </c>
      <c r="N562" s="33" t="str">
        <f aca="false">IF($F562="","",$F562)</f>
        <v>InflataCity 2025</v>
      </c>
    </row>
    <row r="563" customFormat="false" ht="15" hidden="false" customHeight="false" outlineLevel="0" collapsed="false">
      <c r="A563" s="33" t="n">
        <v>6403</v>
      </c>
      <c r="B563" s="33" t="s">
        <v>1429</v>
      </c>
      <c r="C563" s="33" t="s">
        <v>1026</v>
      </c>
      <c r="D563" s="33"/>
      <c r="E563" s="33" t="n">
        <v>96</v>
      </c>
      <c r="F563" s="33" t="s">
        <v>2154</v>
      </c>
      <c r="G563" s="33" t="s">
        <v>445</v>
      </c>
      <c r="H563" s="33" t="n">
        <v>1</v>
      </c>
      <c r="I563" s="33" t="n">
        <v>1</v>
      </c>
      <c r="J563" s="33" t="n">
        <v>1</v>
      </c>
      <c r="K563" s="32" t="n">
        <v>75</v>
      </c>
      <c r="L563" s="33" t="str">
        <f aca="false">IF($B563="","",IFERROR(INDEX('Code Mapping'!$D$5:$D$1753,MATCH($B563,'Code Mapping'!$A$5:$A$1753,0)),"Unmapped"))</f>
        <v>Unmapped</v>
      </c>
      <c r="M563" s="33" t="str">
        <f aca="false">IF($B563="","",IFERROR(INDEX('Code Mapping'!$E$5:$E$1753,MATCH($B563,'Code Mapping'!$A$5:$A$1753,0)),"Unmapped"))</f>
        <v>Unmapped</v>
      </c>
      <c r="N563" s="33" t="str">
        <f aca="false">IF($F563="","",$F563)</f>
        <v>InflataCity 2025</v>
      </c>
    </row>
    <row r="564" customFormat="false" ht="15" hidden="false" customHeight="false" outlineLevel="0" collapsed="false">
      <c r="A564" s="33" t="n">
        <v>6308</v>
      </c>
      <c r="B564" s="33" t="s">
        <v>1428</v>
      </c>
      <c r="C564" s="33" t="s">
        <v>1026</v>
      </c>
      <c r="D564" s="33"/>
      <c r="E564" s="33" t="n">
        <v>96</v>
      </c>
      <c r="F564" s="33" t="s">
        <v>2154</v>
      </c>
      <c r="G564" s="33" t="s">
        <v>445</v>
      </c>
      <c r="H564" s="33" t="n">
        <v>1</v>
      </c>
      <c r="I564" s="33" t="n">
        <v>1</v>
      </c>
      <c r="J564" s="33" t="n">
        <v>1</v>
      </c>
      <c r="K564" s="32" t="n">
        <v>75</v>
      </c>
      <c r="L564" s="33" t="str">
        <f aca="false">IF($B564="","",IFERROR(INDEX('Code Mapping'!$D$5:$D$1753,MATCH($B564,'Code Mapping'!$A$5:$A$1753,0)),"Unmapped"))</f>
        <v>Unmapped</v>
      </c>
      <c r="M564" s="33" t="str">
        <f aca="false">IF($B564="","",IFERROR(INDEX('Code Mapping'!$E$5:$E$1753,MATCH($B564,'Code Mapping'!$A$5:$A$1753,0)),"Unmapped"))</f>
        <v>Unmapped</v>
      </c>
      <c r="N564" s="33" t="str">
        <f aca="false">IF($F564="","",$F564)</f>
        <v>InflataCity 2025</v>
      </c>
    </row>
    <row r="565" customFormat="false" ht="15" hidden="false" customHeight="false" outlineLevel="0" collapsed="false">
      <c r="A565" s="33" t="n">
        <v>6691</v>
      </c>
      <c r="B565" s="33" t="s">
        <v>1423</v>
      </c>
      <c r="C565" s="33" t="s">
        <v>1026</v>
      </c>
      <c r="D565" s="33"/>
      <c r="E565" s="33" t="n">
        <v>96</v>
      </c>
      <c r="F565" s="33" t="s">
        <v>2154</v>
      </c>
      <c r="G565" s="33" t="s">
        <v>445</v>
      </c>
      <c r="H565" s="33" t="n">
        <v>1</v>
      </c>
      <c r="I565" s="33" t="n">
        <v>1</v>
      </c>
      <c r="J565" s="33" t="n">
        <v>1</v>
      </c>
      <c r="K565" s="32" t="n">
        <v>75</v>
      </c>
      <c r="L565" s="33" t="str">
        <f aca="false">IF($B565="","",IFERROR(INDEX('Code Mapping'!$D$5:$D$1753,MATCH($B565,'Code Mapping'!$A$5:$A$1753,0)),"Unmapped"))</f>
        <v>Unmapped</v>
      </c>
      <c r="M565" s="33" t="str">
        <f aca="false">IF($B565="","",IFERROR(INDEX('Code Mapping'!$E$5:$E$1753,MATCH($B565,'Code Mapping'!$A$5:$A$1753,0)),"Unmapped"))</f>
        <v>Unmapped</v>
      </c>
      <c r="N565" s="33" t="str">
        <f aca="false">IF($F565="","",$F565)</f>
        <v>InflataCity 2025</v>
      </c>
    </row>
    <row r="566" customFormat="false" ht="15" hidden="false" customHeight="false" outlineLevel="0" collapsed="false">
      <c r="A566" s="33" t="n">
        <v>6514</v>
      </c>
      <c r="B566" s="33" t="s">
        <v>1422</v>
      </c>
      <c r="C566" s="33" t="s">
        <v>1026</v>
      </c>
      <c r="D566" s="33"/>
      <c r="E566" s="33" t="n">
        <v>96</v>
      </c>
      <c r="F566" s="33" t="s">
        <v>2154</v>
      </c>
      <c r="G566" s="33" t="s">
        <v>445</v>
      </c>
      <c r="H566" s="33" t="n">
        <v>1</v>
      </c>
      <c r="I566" s="33" t="n">
        <v>1</v>
      </c>
      <c r="J566" s="33" t="n">
        <v>1</v>
      </c>
      <c r="K566" s="32" t="n">
        <v>75</v>
      </c>
      <c r="L566" s="33" t="str">
        <f aca="false">IF($B566="","",IFERROR(INDEX('Code Mapping'!$D$5:$D$1753,MATCH($B566,'Code Mapping'!$A$5:$A$1753,0)),"Unmapped"))</f>
        <v>Unmapped</v>
      </c>
      <c r="M566" s="33" t="str">
        <f aca="false">IF($B566="","",IFERROR(INDEX('Code Mapping'!$E$5:$E$1753,MATCH($B566,'Code Mapping'!$A$5:$A$1753,0)),"Unmapped"))</f>
        <v>Unmapped</v>
      </c>
      <c r="N566" s="33" t="str">
        <f aca="false">IF($F566="","",$F566)</f>
        <v>InflataCity 2025</v>
      </c>
    </row>
    <row r="567" customFormat="false" ht="15" hidden="false" customHeight="false" outlineLevel="0" collapsed="false">
      <c r="A567" s="33" t="n">
        <v>6665</v>
      </c>
      <c r="B567" s="33" t="s">
        <v>1381</v>
      </c>
      <c r="C567" s="33" t="s">
        <v>1026</v>
      </c>
      <c r="D567" s="33"/>
      <c r="E567" s="33" t="n">
        <v>96</v>
      </c>
      <c r="F567" s="33" t="s">
        <v>2154</v>
      </c>
      <c r="G567" s="33" t="s">
        <v>445</v>
      </c>
      <c r="H567" s="33" t="n">
        <v>1</v>
      </c>
      <c r="I567" s="33" t="n">
        <v>1</v>
      </c>
      <c r="J567" s="33" t="n">
        <v>1</v>
      </c>
      <c r="K567" s="32" t="n">
        <v>75</v>
      </c>
      <c r="L567" s="33" t="str">
        <f aca="false">IF($B567="","",IFERROR(INDEX('Code Mapping'!$D$5:$D$1753,MATCH($B567,'Code Mapping'!$A$5:$A$1753,0)),"Unmapped"))</f>
        <v>Unmapped</v>
      </c>
      <c r="M567" s="33" t="str">
        <f aca="false">IF($B567="","",IFERROR(INDEX('Code Mapping'!$E$5:$E$1753,MATCH($B567,'Code Mapping'!$A$5:$A$1753,0)),"Unmapped"))</f>
        <v>Unmapped</v>
      </c>
      <c r="N567" s="33" t="str">
        <f aca="false">IF($F567="","",$F567)</f>
        <v>InflataCity 2025</v>
      </c>
    </row>
    <row r="568" customFormat="false" ht="15" hidden="false" customHeight="false" outlineLevel="0" collapsed="false">
      <c r="A568" s="33" t="n">
        <v>6598</v>
      </c>
      <c r="B568" s="33" t="s">
        <v>1420</v>
      </c>
      <c r="C568" s="33" t="s">
        <v>1026</v>
      </c>
      <c r="D568" s="33"/>
      <c r="E568" s="33" t="n">
        <v>96</v>
      </c>
      <c r="F568" s="33" t="s">
        <v>2154</v>
      </c>
      <c r="G568" s="33" t="s">
        <v>445</v>
      </c>
      <c r="H568" s="33" t="n">
        <v>1</v>
      </c>
      <c r="I568" s="33" t="n">
        <v>1</v>
      </c>
      <c r="J568" s="33" t="n">
        <v>1</v>
      </c>
      <c r="K568" s="32" t="n">
        <v>75</v>
      </c>
      <c r="L568" s="33" t="str">
        <f aca="false">IF($B568="","",IFERROR(INDEX('Code Mapping'!$D$5:$D$1753,MATCH($B568,'Code Mapping'!$A$5:$A$1753,0)),"Unmapped"))</f>
        <v>Unmapped</v>
      </c>
      <c r="M568" s="33" t="str">
        <f aca="false">IF($B568="","",IFERROR(INDEX('Code Mapping'!$E$5:$E$1753,MATCH($B568,'Code Mapping'!$A$5:$A$1753,0)),"Unmapped"))</f>
        <v>Unmapped</v>
      </c>
      <c r="N568" s="33" t="str">
        <f aca="false">IF($F568="","",$F568)</f>
        <v>InflataCity 2025</v>
      </c>
    </row>
    <row r="569" customFormat="false" ht="15" hidden="false" customHeight="false" outlineLevel="0" collapsed="false">
      <c r="A569" s="33" t="n">
        <v>6247</v>
      </c>
      <c r="B569" s="33" t="s">
        <v>1419</v>
      </c>
      <c r="C569" s="33" t="s">
        <v>1032</v>
      </c>
      <c r="D569" s="33"/>
      <c r="E569" s="33" t="n">
        <v>96</v>
      </c>
      <c r="F569" s="33" t="s">
        <v>2154</v>
      </c>
      <c r="G569" s="33" t="s">
        <v>445</v>
      </c>
      <c r="H569" s="33" t="n">
        <v>1</v>
      </c>
      <c r="I569" s="33" t="n">
        <v>1</v>
      </c>
      <c r="J569" s="33" t="n">
        <v>1</v>
      </c>
      <c r="K569" s="32" t="n">
        <v>350</v>
      </c>
      <c r="L569" s="33" t="str">
        <f aca="false">IF($B569="","",IFERROR(INDEX('Code Mapping'!$D$5:$D$1753,MATCH($B569,'Code Mapping'!$A$5:$A$1753,0)),"Unmapped"))</f>
        <v>Unmapped</v>
      </c>
      <c r="M569" s="33" t="str">
        <f aca="false">IF($B569="","",IFERROR(INDEX('Code Mapping'!$E$5:$E$1753,MATCH($B569,'Code Mapping'!$A$5:$A$1753,0)),"Unmapped"))</f>
        <v>Unmapped</v>
      </c>
      <c r="N569" s="33" t="str">
        <f aca="false">IF($F569="","",$F569)</f>
        <v>InflataCity 2025</v>
      </c>
    </row>
    <row r="570" customFormat="false" ht="15" hidden="false" customHeight="false" outlineLevel="0" collapsed="false">
      <c r="A570" s="33" t="n">
        <v>5827</v>
      </c>
      <c r="B570" s="33" t="s">
        <v>1416</v>
      </c>
      <c r="C570" s="33" t="s">
        <v>1028</v>
      </c>
      <c r="D570" s="33"/>
      <c r="E570" s="33" t="n">
        <v>96</v>
      </c>
      <c r="F570" s="33" t="s">
        <v>2154</v>
      </c>
      <c r="G570" s="33" t="s">
        <v>445</v>
      </c>
      <c r="H570" s="33" t="n">
        <v>1</v>
      </c>
      <c r="I570" s="33" t="n">
        <v>1</v>
      </c>
      <c r="J570" s="33" t="n">
        <v>1</v>
      </c>
      <c r="K570" s="32" t="n">
        <v>300</v>
      </c>
      <c r="L570" s="33" t="str">
        <f aca="false">IF($B570="","",IFERROR(INDEX('Code Mapping'!$D$5:$D$1753,MATCH($B570,'Code Mapping'!$A$5:$A$1753,0)),"Unmapped"))</f>
        <v>Unmapped</v>
      </c>
      <c r="M570" s="33" t="str">
        <f aca="false">IF($B570="","",IFERROR(INDEX('Code Mapping'!$E$5:$E$1753,MATCH($B570,'Code Mapping'!$A$5:$A$1753,0)),"Unmapped"))</f>
        <v>Unmapped</v>
      </c>
      <c r="N570" s="33" t="str">
        <f aca="false">IF($F570="","",$F570)</f>
        <v>InflataCity 2025</v>
      </c>
    </row>
    <row r="571" customFormat="false" ht="15" hidden="false" customHeight="false" outlineLevel="0" collapsed="false">
      <c r="A571" s="33" t="n">
        <v>5785</v>
      </c>
      <c r="B571" s="33" t="s">
        <v>1382</v>
      </c>
      <c r="C571" s="33" t="s">
        <v>1028</v>
      </c>
      <c r="D571" s="33"/>
      <c r="E571" s="33" t="n">
        <v>96</v>
      </c>
      <c r="F571" s="33" t="s">
        <v>2154</v>
      </c>
      <c r="G571" s="33" t="s">
        <v>445</v>
      </c>
      <c r="H571" s="33" t="n">
        <v>1</v>
      </c>
      <c r="I571" s="33" t="n">
        <v>1</v>
      </c>
      <c r="J571" s="33" t="n">
        <v>1</v>
      </c>
      <c r="K571" s="32" t="n">
        <v>300</v>
      </c>
      <c r="L571" s="33" t="str">
        <f aca="false">IF($B571="","",IFERROR(INDEX('Code Mapping'!$D$5:$D$1753,MATCH($B571,'Code Mapping'!$A$5:$A$1753,0)),"Unmapped"))</f>
        <v>Unmapped</v>
      </c>
      <c r="M571" s="33" t="str">
        <f aca="false">IF($B571="","",IFERROR(INDEX('Code Mapping'!$E$5:$E$1753,MATCH($B571,'Code Mapping'!$A$5:$A$1753,0)),"Unmapped"))</f>
        <v>Unmapped</v>
      </c>
      <c r="N571" s="33" t="str">
        <f aca="false">IF($F571="","",$F571)</f>
        <v>InflataCity 2025</v>
      </c>
    </row>
    <row r="572" customFormat="false" ht="15" hidden="false" customHeight="false" outlineLevel="0" collapsed="false">
      <c r="A572" s="33" t="n">
        <v>5861</v>
      </c>
      <c r="B572" s="33" t="s">
        <v>1374</v>
      </c>
      <c r="C572" s="33" t="s">
        <v>1028</v>
      </c>
      <c r="D572" s="33"/>
      <c r="E572" s="33" t="n">
        <v>96</v>
      </c>
      <c r="F572" s="33" t="s">
        <v>2154</v>
      </c>
      <c r="G572" s="33" t="s">
        <v>445</v>
      </c>
      <c r="H572" s="33" t="n">
        <v>1</v>
      </c>
      <c r="I572" s="33" t="n">
        <v>1</v>
      </c>
      <c r="J572" s="33" t="n">
        <v>1</v>
      </c>
      <c r="K572" s="32" t="n">
        <v>300</v>
      </c>
      <c r="L572" s="33" t="str">
        <f aca="false">IF($B572="","",IFERROR(INDEX('Code Mapping'!$D$5:$D$1753,MATCH($B572,'Code Mapping'!$A$5:$A$1753,0)),"Unmapped"))</f>
        <v>Unmapped</v>
      </c>
      <c r="M572" s="33" t="str">
        <f aca="false">IF($B572="","",IFERROR(INDEX('Code Mapping'!$E$5:$E$1753,MATCH($B572,'Code Mapping'!$A$5:$A$1753,0)),"Unmapped"))</f>
        <v>Unmapped</v>
      </c>
      <c r="N572" s="33" t="str">
        <f aca="false">IF($F572="","",$F572)</f>
        <v>InflataCity 2025</v>
      </c>
    </row>
    <row r="573" customFormat="false" ht="15" hidden="false" customHeight="false" outlineLevel="0" collapsed="false">
      <c r="A573" s="33" t="n">
        <v>5582</v>
      </c>
      <c r="B573" s="33" t="s">
        <v>1380</v>
      </c>
      <c r="C573" s="33" t="s">
        <v>1028</v>
      </c>
      <c r="D573" s="33"/>
      <c r="E573" s="33" t="n">
        <v>96</v>
      </c>
      <c r="F573" s="33" t="s">
        <v>2154</v>
      </c>
      <c r="G573" s="33" t="s">
        <v>445</v>
      </c>
      <c r="H573" s="33" t="n">
        <v>1</v>
      </c>
      <c r="I573" s="33" t="n">
        <v>1</v>
      </c>
      <c r="J573" s="33" t="n">
        <v>1</v>
      </c>
      <c r="K573" s="32" t="n">
        <v>300</v>
      </c>
      <c r="L573" s="33" t="str">
        <f aca="false">IF($B573="","",IFERROR(INDEX('Code Mapping'!$D$5:$D$1753,MATCH($B573,'Code Mapping'!$A$5:$A$1753,0)),"Unmapped"))</f>
        <v>Unmapped</v>
      </c>
      <c r="M573" s="33" t="str">
        <f aca="false">IF($B573="","",IFERROR(INDEX('Code Mapping'!$E$5:$E$1753,MATCH($B573,'Code Mapping'!$A$5:$A$1753,0)),"Unmapped"))</f>
        <v>Unmapped</v>
      </c>
      <c r="N573" s="33" t="str">
        <f aca="false">IF($F573="","",$F573)</f>
        <v>InflataCity 2025</v>
      </c>
    </row>
    <row r="574" customFormat="false" ht="15" hidden="false" customHeight="false" outlineLevel="0" collapsed="false">
      <c r="A574" s="33" t="n">
        <v>6138</v>
      </c>
      <c r="B574" s="33" t="s">
        <v>1333</v>
      </c>
      <c r="C574" s="33" t="s">
        <v>1032</v>
      </c>
      <c r="D574" s="33"/>
      <c r="E574" s="33" t="n">
        <v>96</v>
      </c>
      <c r="F574" s="33" t="s">
        <v>2154</v>
      </c>
      <c r="G574" s="33" t="s">
        <v>445</v>
      </c>
      <c r="H574" s="33" t="n">
        <v>1</v>
      </c>
      <c r="I574" s="33" t="n">
        <v>1</v>
      </c>
      <c r="J574" s="33" t="n">
        <v>1</v>
      </c>
      <c r="K574" s="32" t="n">
        <v>350</v>
      </c>
      <c r="L574" s="33" t="str">
        <f aca="false">IF($B574="","",IFERROR(INDEX('Code Mapping'!$D$5:$D$1753,MATCH($B574,'Code Mapping'!$A$5:$A$1753,0)),"Unmapped"))</f>
        <v>Unmapped</v>
      </c>
      <c r="M574" s="33" t="str">
        <f aca="false">IF($B574="","",IFERROR(INDEX('Code Mapping'!$E$5:$E$1753,MATCH($B574,'Code Mapping'!$A$5:$A$1753,0)),"Unmapped"))</f>
        <v>Unmapped</v>
      </c>
      <c r="N574" s="33" t="str">
        <f aca="false">IF($F574="","",$F574)</f>
        <v>InflataCity 2025</v>
      </c>
    </row>
    <row r="575" customFormat="false" ht="15" hidden="false" customHeight="false" outlineLevel="0" collapsed="false">
      <c r="A575" s="33" t="n">
        <v>5581</v>
      </c>
      <c r="B575" s="33" t="s">
        <v>1348</v>
      </c>
      <c r="C575" s="33" t="s">
        <v>1028</v>
      </c>
      <c r="D575" s="33"/>
      <c r="E575" s="33" t="n">
        <v>96</v>
      </c>
      <c r="F575" s="33" t="s">
        <v>2154</v>
      </c>
      <c r="G575" s="33" t="s">
        <v>445</v>
      </c>
      <c r="H575" s="33" t="n">
        <v>1</v>
      </c>
      <c r="I575" s="33" t="n">
        <v>1</v>
      </c>
      <c r="J575" s="33" t="n">
        <v>1</v>
      </c>
      <c r="K575" s="32" t="n">
        <v>300</v>
      </c>
      <c r="L575" s="33" t="str">
        <f aca="false">IF($B575="","",IFERROR(INDEX('Code Mapping'!$D$5:$D$1753,MATCH($B575,'Code Mapping'!$A$5:$A$1753,0)),"Unmapped"))</f>
        <v>Unmapped</v>
      </c>
      <c r="M575" s="33" t="str">
        <f aca="false">IF($B575="","",IFERROR(INDEX('Code Mapping'!$E$5:$E$1753,MATCH($B575,'Code Mapping'!$A$5:$A$1753,0)),"Unmapped"))</f>
        <v>Unmapped</v>
      </c>
      <c r="N575" s="33" t="str">
        <f aca="false">IF($F575="","",$F575)</f>
        <v>InflataCity 2025</v>
      </c>
    </row>
    <row r="576" customFormat="false" ht="15" hidden="false" customHeight="false" outlineLevel="0" collapsed="false">
      <c r="A576" s="33" t="n">
        <v>6542</v>
      </c>
      <c r="B576" s="33" t="s">
        <v>1347</v>
      </c>
      <c r="C576" s="33" t="s">
        <v>1026</v>
      </c>
      <c r="D576" s="33"/>
      <c r="E576" s="33" t="n">
        <v>96</v>
      </c>
      <c r="F576" s="33" t="s">
        <v>2154</v>
      </c>
      <c r="G576" s="33" t="s">
        <v>445</v>
      </c>
      <c r="H576" s="33" t="n">
        <v>1</v>
      </c>
      <c r="I576" s="33" t="n">
        <v>1</v>
      </c>
      <c r="J576" s="33" t="n">
        <v>1</v>
      </c>
      <c r="K576" s="32" t="n">
        <v>75</v>
      </c>
      <c r="L576" s="33" t="str">
        <f aca="false">IF($B576="","",IFERROR(INDEX('Code Mapping'!$D$5:$D$1753,MATCH($B576,'Code Mapping'!$A$5:$A$1753,0)),"Unmapped"))</f>
        <v>Unmapped</v>
      </c>
      <c r="M576" s="33" t="str">
        <f aca="false">IF($B576="","",IFERROR(INDEX('Code Mapping'!$E$5:$E$1753,MATCH($B576,'Code Mapping'!$A$5:$A$1753,0)),"Unmapped"))</f>
        <v>Unmapped</v>
      </c>
      <c r="N576" s="33" t="str">
        <f aca="false">IF($F576="","",$F576)</f>
        <v>InflataCity 2025</v>
      </c>
    </row>
    <row r="577" customFormat="false" ht="15" hidden="false" customHeight="false" outlineLevel="0" collapsed="false">
      <c r="A577" s="33" t="n">
        <v>5833</v>
      </c>
      <c r="B577" s="33" t="s">
        <v>1346</v>
      </c>
      <c r="C577" s="33" t="s">
        <v>1028</v>
      </c>
      <c r="D577" s="33"/>
      <c r="E577" s="33" t="n">
        <v>96</v>
      </c>
      <c r="F577" s="33" t="s">
        <v>2154</v>
      </c>
      <c r="G577" s="33" t="s">
        <v>445</v>
      </c>
      <c r="H577" s="33" t="n">
        <v>1</v>
      </c>
      <c r="I577" s="33" t="n">
        <v>1</v>
      </c>
      <c r="J577" s="33" t="n">
        <v>1</v>
      </c>
      <c r="K577" s="32" t="n">
        <v>300</v>
      </c>
      <c r="L577" s="33" t="str">
        <f aca="false">IF($B577="","",IFERROR(INDEX('Code Mapping'!$D$5:$D$1753,MATCH($B577,'Code Mapping'!$A$5:$A$1753,0)),"Unmapped"))</f>
        <v>Unmapped</v>
      </c>
      <c r="M577" s="33" t="str">
        <f aca="false">IF($B577="","",IFERROR(INDEX('Code Mapping'!$E$5:$E$1753,MATCH($B577,'Code Mapping'!$A$5:$A$1753,0)),"Unmapped"))</f>
        <v>Unmapped</v>
      </c>
      <c r="N577" s="33" t="str">
        <f aca="false">IF($F577="","",$F577)</f>
        <v>InflataCity 2025</v>
      </c>
    </row>
    <row r="578" customFormat="false" ht="15" hidden="false" customHeight="false" outlineLevel="0" collapsed="false">
      <c r="A578" s="33" t="n">
        <v>6313</v>
      </c>
      <c r="B578" s="33" t="s">
        <v>1342</v>
      </c>
      <c r="C578" s="33" t="s">
        <v>1026</v>
      </c>
      <c r="D578" s="33"/>
      <c r="E578" s="33" t="n">
        <v>96</v>
      </c>
      <c r="F578" s="33" t="s">
        <v>2154</v>
      </c>
      <c r="G578" s="33" t="s">
        <v>445</v>
      </c>
      <c r="H578" s="33" t="n">
        <v>1</v>
      </c>
      <c r="I578" s="33" t="n">
        <v>1</v>
      </c>
      <c r="J578" s="33" t="n">
        <v>1</v>
      </c>
      <c r="K578" s="32" t="n">
        <v>75</v>
      </c>
      <c r="L578" s="33" t="str">
        <f aca="false">IF($B578="","",IFERROR(INDEX('Code Mapping'!$D$5:$D$1753,MATCH($B578,'Code Mapping'!$A$5:$A$1753,0)),"Unmapped"))</f>
        <v>Unmapped</v>
      </c>
      <c r="M578" s="33" t="str">
        <f aca="false">IF($B578="","",IFERROR(INDEX('Code Mapping'!$E$5:$E$1753,MATCH($B578,'Code Mapping'!$A$5:$A$1753,0)),"Unmapped"))</f>
        <v>Unmapped</v>
      </c>
      <c r="N578" s="33" t="str">
        <f aca="false">IF($F578="","",$F578)</f>
        <v>InflataCity 2025</v>
      </c>
    </row>
    <row r="579" customFormat="false" ht="15" hidden="false" customHeight="false" outlineLevel="0" collapsed="false">
      <c r="A579" s="33" t="n">
        <v>5779</v>
      </c>
      <c r="B579" s="33" t="s">
        <v>1341</v>
      </c>
      <c r="C579" s="33" t="s">
        <v>1028</v>
      </c>
      <c r="D579" s="33"/>
      <c r="E579" s="33" t="n">
        <v>96</v>
      </c>
      <c r="F579" s="33" t="s">
        <v>2154</v>
      </c>
      <c r="G579" s="33" t="s">
        <v>445</v>
      </c>
      <c r="H579" s="33" t="n">
        <v>1</v>
      </c>
      <c r="I579" s="33" t="n">
        <v>1</v>
      </c>
      <c r="J579" s="33" t="n">
        <v>1</v>
      </c>
      <c r="K579" s="32" t="n">
        <v>300</v>
      </c>
      <c r="L579" s="33" t="str">
        <f aca="false">IF($B579="","",IFERROR(INDEX('Code Mapping'!$D$5:$D$1753,MATCH($B579,'Code Mapping'!$A$5:$A$1753,0)),"Unmapped"))</f>
        <v>Unmapped</v>
      </c>
      <c r="M579" s="33" t="str">
        <f aca="false">IF($B579="","",IFERROR(INDEX('Code Mapping'!$E$5:$E$1753,MATCH($B579,'Code Mapping'!$A$5:$A$1753,0)),"Unmapped"))</f>
        <v>Unmapped</v>
      </c>
      <c r="N579" s="33" t="str">
        <f aca="false">IF($F579="","",$F579)</f>
        <v>InflataCity 2025</v>
      </c>
    </row>
    <row r="580" customFormat="false" ht="15" hidden="false" customHeight="false" outlineLevel="0" collapsed="false">
      <c r="A580" s="33" t="n">
        <v>6332</v>
      </c>
      <c r="B580" s="33" t="s">
        <v>1340</v>
      </c>
      <c r="C580" s="33" t="s">
        <v>1026</v>
      </c>
      <c r="D580" s="33"/>
      <c r="E580" s="33" t="n">
        <v>96</v>
      </c>
      <c r="F580" s="33" t="s">
        <v>2154</v>
      </c>
      <c r="G580" s="33" t="s">
        <v>445</v>
      </c>
      <c r="H580" s="33" t="n">
        <v>1</v>
      </c>
      <c r="I580" s="33" t="n">
        <v>1</v>
      </c>
      <c r="J580" s="33" t="n">
        <v>1</v>
      </c>
      <c r="K580" s="32" t="n">
        <v>75</v>
      </c>
      <c r="L580" s="33" t="str">
        <f aca="false">IF($B580="","",IFERROR(INDEX('Code Mapping'!$D$5:$D$1753,MATCH($B580,'Code Mapping'!$A$5:$A$1753,0)),"Unmapped"))</f>
        <v>Unmapped</v>
      </c>
      <c r="M580" s="33" t="str">
        <f aca="false">IF($B580="","",IFERROR(INDEX('Code Mapping'!$E$5:$E$1753,MATCH($B580,'Code Mapping'!$A$5:$A$1753,0)),"Unmapped"))</f>
        <v>Unmapped</v>
      </c>
      <c r="N580" s="33" t="str">
        <f aca="false">IF($F580="","",$F580)</f>
        <v>InflataCity 2025</v>
      </c>
    </row>
    <row r="581" customFormat="false" ht="15" hidden="false" customHeight="false" outlineLevel="0" collapsed="false">
      <c r="A581" s="33" t="n">
        <v>6708</v>
      </c>
      <c r="B581" s="33" t="s">
        <v>1339</v>
      </c>
      <c r="C581" s="33" t="s">
        <v>1026</v>
      </c>
      <c r="D581" s="33"/>
      <c r="E581" s="33" t="n">
        <v>96</v>
      </c>
      <c r="F581" s="33" t="s">
        <v>2154</v>
      </c>
      <c r="G581" s="33" t="s">
        <v>445</v>
      </c>
      <c r="H581" s="33" t="n">
        <v>1</v>
      </c>
      <c r="I581" s="33" t="n">
        <v>1</v>
      </c>
      <c r="J581" s="33" t="n">
        <v>1</v>
      </c>
      <c r="K581" s="32" t="n">
        <v>75</v>
      </c>
      <c r="L581" s="33" t="str">
        <f aca="false">IF($B581="","",IFERROR(INDEX('Code Mapping'!$D$5:$D$1753,MATCH($B581,'Code Mapping'!$A$5:$A$1753,0)),"Unmapped"))</f>
        <v>Unmapped</v>
      </c>
      <c r="M581" s="33" t="str">
        <f aca="false">IF($B581="","",IFERROR(INDEX('Code Mapping'!$E$5:$E$1753,MATCH($B581,'Code Mapping'!$A$5:$A$1753,0)),"Unmapped"))</f>
        <v>Unmapped</v>
      </c>
      <c r="N581" s="33" t="str">
        <f aca="false">IF($F581="","",$F581)</f>
        <v>InflataCity 2025</v>
      </c>
    </row>
    <row r="582" customFormat="false" ht="15" hidden="false" customHeight="false" outlineLevel="0" collapsed="false">
      <c r="A582" s="33" t="n">
        <v>6238</v>
      </c>
      <c r="B582" s="33" t="s">
        <v>1338</v>
      </c>
      <c r="C582" s="33" t="s">
        <v>1032</v>
      </c>
      <c r="D582" s="33"/>
      <c r="E582" s="33" t="n">
        <v>96</v>
      </c>
      <c r="F582" s="33" t="s">
        <v>2154</v>
      </c>
      <c r="G582" s="33" t="s">
        <v>445</v>
      </c>
      <c r="H582" s="33" t="n">
        <v>1</v>
      </c>
      <c r="I582" s="33" t="n">
        <v>1</v>
      </c>
      <c r="J582" s="33" t="n">
        <v>1</v>
      </c>
      <c r="K582" s="32" t="n">
        <v>350</v>
      </c>
      <c r="L582" s="33" t="str">
        <f aca="false">IF($B582="","",IFERROR(INDEX('Code Mapping'!$D$5:$D$1753,MATCH($B582,'Code Mapping'!$A$5:$A$1753,0)),"Unmapped"))</f>
        <v>Unmapped</v>
      </c>
      <c r="M582" s="33" t="str">
        <f aca="false">IF($B582="","",IFERROR(INDEX('Code Mapping'!$E$5:$E$1753,MATCH($B582,'Code Mapping'!$A$5:$A$1753,0)),"Unmapped"))</f>
        <v>Unmapped</v>
      </c>
      <c r="N582" s="33" t="str">
        <f aca="false">IF($F582="","",$F582)</f>
        <v>InflataCity 2025</v>
      </c>
    </row>
    <row r="583" customFormat="false" ht="15" hidden="false" customHeight="false" outlineLevel="0" collapsed="false">
      <c r="A583" s="33" t="n">
        <v>6333</v>
      </c>
      <c r="B583" s="33" t="s">
        <v>1337</v>
      </c>
      <c r="C583" s="33" t="s">
        <v>1026</v>
      </c>
      <c r="D583" s="33"/>
      <c r="E583" s="33" t="n">
        <v>96</v>
      </c>
      <c r="F583" s="33" t="s">
        <v>2154</v>
      </c>
      <c r="G583" s="33" t="s">
        <v>445</v>
      </c>
      <c r="H583" s="33" t="n">
        <v>1</v>
      </c>
      <c r="I583" s="33" t="n">
        <v>1</v>
      </c>
      <c r="J583" s="33" t="n">
        <v>1</v>
      </c>
      <c r="K583" s="32" t="n">
        <v>75</v>
      </c>
      <c r="L583" s="33" t="str">
        <f aca="false">IF($B583="","",IFERROR(INDEX('Code Mapping'!$D$5:$D$1753,MATCH($B583,'Code Mapping'!$A$5:$A$1753,0)),"Unmapped"))</f>
        <v>Unmapped</v>
      </c>
      <c r="M583" s="33" t="str">
        <f aca="false">IF($B583="","",IFERROR(INDEX('Code Mapping'!$E$5:$E$1753,MATCH($B583,'Code Mapping'!$A$5:$A$1753,0)),"Unmapped"))</f>
        <v>Unmapped</v>
      </c>
      <c r="N583" s="33" t="str">
        <f aca="false">IF($F583="","",$F583)</f>
        <v>InflataCity 2025</v>
      </c>
    </row>
    <row r="584" customFormat="false" ht="15" hidden="false" customHeight="false" outlineLevel="0" collapsed="false">
      <c r="A584" s="33" t="n">
        <v>6404</v>
      </c>
      <c r="B584" s="33" t="s">
        <v>1336</v>
      </c>
      <c r="C584" s="33" t="s">
        <v>1026</v>
      </c>
      <c r="D584" s="33"/>
      <c r="E584" s="33" t="n">
        <v>96</v>
      </c>
      <c r="F584" s="33" t="s">
        <v>2154</v>
      </c>
      <c r="G584" s="33" t="s">
        <v>445</v>
      </c>
      <c r="H584" s="33" t="n">
        <v>1</v>
      </c>
      <c r="I584" s="33" t="n">
        <v>1</v>
      </c>
      <c r="J584" s="33" t="n">
        <v>1</v>
      </c>
      <c r="K584" s="32" t="n">
        <v>75</v>
      </c>
      <c r="L584" s="33" t="str">
        <f aca="false">IF($B584="","",IFERROR(INDEX('Code Mapping'!$D$5:$D$1753,MATCH($B584,'Code Mapping'!$A$5:$A$1753,0)),"Unmapped"))</f>
        <v>Unmapped</v>
      </c>
      <c r="M584" s="33" t="str">
        <f aca="false">IF($B584="","",IFERROR(INDEX('Code Mapping'!$E$5:$E$1753,MATCH($B584,'Code Mapping'!$A$5:$A$1753,0)),"Unmapped"))</f>
        <v>Unmapped</v>
      </c>
      <c r="N584" s="33" t="str">
        <f aca="false">IF($F584="","",$F584)</f>
        <v>InflataCity 2025</v>
      </c>
    </row>
    <row r="585" customFormat="false" ht="15" hidden="false" customHeight="false" outlineLevel="0" collapsed="false">
      <c r="A585" s="33" t="n">
        <v>6452</v>
      </c>
      <c r="B585" s="33" t="s">
        <v>1335</v>
      </c>
      <c r="C585" s="33" t="s">
        <v>1026</v>
      </c>
      <c r="D585" s="33"/>
      <c r="E585" s="33" t="n">
        <v>96</v>
      </c>
      <c r="F585" s="33" t="s">
        <v>2154</v>
      </c>
      <c r="G585" s="33" t="s">
        <v>445</v>
      </c>
      <c r="H585" s="33" t="n">
        <v>1</v>
      </c>
      <c r="I585" s="33" t="n">
        <v>1</v>
      </c>
      <c r="J585" s="33" t="n">
        <v>1</v>
      </c>
      <c r="K585" s="32" t="n">
        <v>75</v>
      </c>
      <c r="L585" s="33" t="str">
        <f aca="false">IF($B585="","",IFERROR(INDEX('Code Mapping'!$D$5:$D$1753,MATCH($B585,'Code Mapping'!$A$5:$A$1753,0)),"Unmapped"))</f>
        <v>Unmapped</v>
      </c>
      <c r="M585" s="33" t="str">
        <f aca="false">IF($B585="","",IFERROR(INDEX('Code Mapping'!$E$5:$E$1753,MATCH($B585,'Code Mapping'!$A$5:$A$1753,0)),"Unmapped"))</f>
        <v>Unmapped</v>
      </c>
      <c r="N585" s="33" t="str">
        <f aca="false">IF($F585="","",$F585)</f>
        <v>InflataCity 2025</v>
      </c>
    </row>
    <row r="586" customFormat="false" ht="15" hidden="false" customHeight="false" outlineLevel="0" collapsed="false">
      <c r="A586" s="33" t="n">
        <v>6575</v>
      </c>
      <c r="B586" s="33" t="s">
        <v>1334</v>
      </c>
      <c r="C586" s="33" t="s">
        <v>1026</v>
      </c>
      <c r="D586" s="33"/>
      <c r="E586" s="33" t="n">
        <v>96</v>
      </c>
      <c r="F586" s="33" t="s">
        <v>2154</v>
      </c>
      <c r="G586" s="33" t="s">
        <v>445</v>
      </c>
      <c r="H586" s="33" t="n">
        <v>1</v>
      </c>
      <c r="I586" s="33" t="n">
        <v>1</v>
      </c>
      <c r="J586" s="33" t="n">
        <v>1</v>
      </c>
      <c r="K586" s="32" t="n">
        <v>75</v>
      </c>
      <c r="L586" s="33" t="str">
        <f aca="false">IF($B586="","",IFERROR(INDEX('Code Mapping'!$D$5:$D$1753,MATCH($B586,'Code Mapping'!$A$5:$A$1753,0)),"Unmapped"))</f>
        <v>Unmapped</v>
      </c>
      <c r="M586" s="33" t="str">
        <f aca="false">IF($B586="","",IFERROR(INDEX('Code Mapping'!$E$5:$E$1753,MATCH($B586,'Code Mapping'!$A$5:$A$1753,0)),"Unmapped"))</f>
        <v>Unmapped</v>
      </c>
      <c r="N586" s="33" t="str">
        <f aca="false">IF($F586="","",$F586)</f>
        <v>InflataCity 2025</v>
      </c>
    </row>
    <row r="587" customFormat="false" ht="15" hidden="false" customHeight="false" outlineLevel="0" collapsed="false">
      <c r="A587" s="33" t="n">
        <v>6290</v>
      </c>
      <c r="B587" s="33" t="s">
        <v>1332</v>
      </c>
      <c r="C587" s="33" t="s">
        <v>1026</v>
      </c>
      <c r="D587" s="33"/>
      <c r="E587" s="33" t="n">
        <v>96</v>
      </c>
      <c r="F587" s="33" t="s">
        <v>2154</v>
      </c>
      <c r="G587" s="33" t="s">
        <v>445</v>
      </c>
      <c r="H587" s="33" t="n">
        <v>1</v>
      </c>
      <c r="I587" s="33" t="n">
        <v>1</v>
      </c>
      <c r="J587" s="33" t="n">
        <v>1</v>
      </c>
      <c r="K587" s="32" t="n">
        <v>75</v>
      </c>
      <c r="L587" s="33" t="str">
        <f aca="false">IF($B587="","",IFERROR(INDEX('Code Mapping'!$D$5:$D$1753,MATCH($B587,'Code Mapping'!$A$5:$A$1753,0)),"Unmapped"))</f>
        <v>Unmapped</v>
      </c>
      <c r="M587" s="33" t="str">
        <f aca="false">IF($B587="","",IFERROR(INDEX('Code Mapping'!$E$5:$E$1753,MATCH($B587,'Code Mapping'!$A$5:$A$1753,0)),"Unmapped"))</f>
        <v>Unmapped</v>
      </c>
      <c r="N587" s="33" t="str">
        <f aca="false">IF($F587="","",$F587)</f>
        <v>InflataCity 2025</v>
      </c>
    </row>
    <row r="588" customFormat="false" ht="15" hidden="false" customHeight="false" outlineLevel="0" collapsed="false">
      <c r="A588" s="33" t="n">
        <v>6358</v>
      </c>
      <c r="B588" s="33" t="s">
        <v>1379</v>
      </c>
      <c r="C588" s="33" t="s">
        <v>1026</v>
      </c>
      <c r="D588" s="33"/>
      <c r="E588" s="33" t="n">
        <v>96</v>
      </c>
      <c r="F588" s="33" t="s">
        <v>2154</v>
      </c>
      <c r="G588" s="33" t="s">
        <v>445</v>
      </c>
      <c r="H588" s="33" t="n">
        <v>1</v>
      </c>
      <c r="I588" s="33" t="n">
        <v>1</v>
      </c>
      <c r="J588" s="33" t="n">
        <v>1</v>
      </c>
      <c r="K588" s="32" t="n">
        <v>75</v>
      </c>
      <c r="L588" s="33" t="str">
        <f aca="false">IF($B588="","",IFERROR(INDEX('Code Mapping'!$D$5:$D$1753,MATCH($B588,'Code Mapping'!$A$5:$A$1753,0)),"Unmapped"))</f>
        <v>Unmapped</v>
      </c>
      <c r="M588" s="33" t="str">
        <f aca="false">IF($B588="","",IFERROR(INDEX('Code Mapping'!$E$5:$E$1753,MATCH($B588,'Code Mapping'!$A$5:$A$1753,0)),"Unmapped"))</f>
        <v>Unmapped</v>
      </c>
      <c r="N588" s="33" t="str">
        <f aca="false">IF($F588="","",$F588)</f>
        <v>InflataCity 2025</v>
      </c>
    </row>
    <row r="589" customFormat="false" ht="15" hidden="false" customHeight="false" outlineLevel="0" collapsed="false">
      <c r="A589" s="33" t="n">
        <v>5722</v>
      </c>
      <c r="B589" s="33" t="s">
        <v>1327</v>
      </c>
      <c r="C589" s="33" t="s">
        <v>1028</v>
      </c>
      <c r="D589" s="33"/>
      <c r="E589" s="33" t="n">
        <v>96</v>
      </c>
      <c r="F589" s="33" t="s">
        <v>2154</v>
      </c>
      <c r="G589" s="33" t="s">
        <v>445</v>
      </c>
      <c r="H589" s="33" t="n">
        <v>1</v>
      </c>
      <c r="I589" s="33" t="n">
        <v>1</v>
      </c>
      <c r="J589" s="33" t="n">
        <v>1</v>
      </c>
      <c r="K589" s="32" t="n">
        <v>300</v>
      </c>
      <c r="L589" s="33" t="str">
        <f aca="false">IF($B589="","",IFERROR(INDEX('Code Mapping'!$D$5:$D$1753,MATCH($B589,'Code Mapping'!$A$5:$A$1753,0)),"Unmapped"))</f>
        <v>Unmapped</v>
      </c>
      <c r="M589" s="33" t="str">
        <f aca="false">IF($B589="","",IFERROR(INDEX('Code Mapping'!$E$5:$E$1753,MATCH($B589,'Code Mapping'!$A$5:$A$1753,0)),"Unmapped"))</f>
        <v>Unmapped</v>
      </c>
      <c r="N589" s="33" t="str">
        <f aca="false">IF($F589="","",$F589)</f>
        <v>InflataCity 2025</v>
      </c>
    </row>
    <row r="590" customFormat="false" ht="15" hidden="false" customHeight="false" outlineLevel="0" collapsed="false">
      <c r="A590" s="33" t="n">
        <v>6134</v>
      </c>
      <c r="B590" s="33" t="s">
        <v>1326</v>
      </c>
      <c r="C590" s="33" t="s">
        <v>1032</v>
      </c>
      <c r="D590" s="33"/>
      <c r="E590" s="33" t="n">
        <v>96</v>
      </c>
      <c r="F590" s="33" t="s">
        <v>2154</v>
      </c>
      <c r="G590" s="33" t="s">
        <v>445</v>
      </c>
      <c r="H590" s="33" t="n">
        <v>1</v>
      </c>
      <c r="I590" s="33" t="n">
        <v>1</v>
      </c>
      <c r="J590" s="33" t="n">
        <v>1</v>
      </c>
      <c r="K590" s="32" t="n">
        <v>350</v>
      </c>
      <c r="L590" s="33" t="str">
        <f aca="false">IF($B590="","",IFERROR(INDEX('Code Mapping'!$D$5:$D$1753,MATCH($B590,'Code Mapping'!$A$5:$A$1753,0)),"Unmapped"))</f>
        <v>Unmapped</v>
      </c>
      <c r="M590" s="33" t="str">
        <f aca="false">IF($B590="","",IFERROR(INDEX('Code Mapping'!$E$5:$E$1753,MATCH($B590,'Code Mapping'!$A$5:$A$1753,0)),"Unmapped"))</f>
        <v>Unmapped</v>
      </c>
      <c r="N590" s="33" t="str">
        <f aca="false">IF($F590="","",$F590)</f>
        <v>InflataCity 2025</v>
      </c>
    </row>
    <row r="591" customFormat="false" ht="15" hidden="false" customHeight="false" outlineLevel="0" collapsed="false">
      <c r="A591" s="33" t="n">
        <v>6571</v>
      </c>
      <c r="B591" s="33" t="s">
        <v>1325</v>
      </c>
      <c r="C591" s="33" t="s">
        <v>1026</v>
      </c>
      <c r="D591" s="33"/>
      <c r="E591" s="33" t="n">
        <v>96</v>
      </c>
      <c r="F591" s="33" t="s">
        <v>2154</v>
      </c>
      <c r="G591" s="33" t="s">
        <v>445</v>
      </c>
      <c r="H591" s="33" t="n">
        <v>1</v>
      </c>
      <c r="I591" s="33" t="n">
        <v>1</v>
      </c>
      <c r="J591" s="33" t="n">
        <v>1</v>
      </c>
      <c r="K591" s="32" t="n">
        <v>75</v>
      </c>
      <c r="L591" s="33" t="str">
        <f aca="false">IF($B591="","",IFERROR(INDEX('Code Mapping'!$D$5:$D$1753,MATCH($B591,'Code Mapping'!$A$5:$A$1753,0)),"Unmapped"))</f>
        <v>Unmapped</v>
      </c>
      <c r="M591" s="33" t="str">
        <f aca="false">IF($B591="","",IFERROR(INDEX('Code Mapping'!$E$5:$E$1753,MATCH($B591,'Code Mapping'!$A$5:$A$1753,0)),"Unmapped"))</f>
        <v>Unmapped</v>
      </c>
      <c r="N591" s="33" t="str">
        <f aca="false">IF($F591="","",$F591)</f>
        <v>InflataCity 2025</v>
      </c>
    </row>
    <row r="592" customFormat="false" ht="15" hidden="false" customHeight="false" outlineLevel="0" collapsed="false">
      <c r="A592" s="33" t="n">
        <v>6543</v>
      </c>
      <c r="B592" s="33" t="s">
        <v>1324</v>
      </c>
      <c r="C592" s="33" t="s">
        <v>1026</v>
      </c>
      <c r="D592" s="33"/>
      <c r="E592" s="33" t="n">
        <v>96</v>
      </c>
      <c r="F592" s="33" t="s">
        <v>2154</v>
      </c>
      <c r="G592" s="33" t="s">
        <v>445</v>
      </c>
      <c r="H592" s="33" t="n">
        <v>1</v>
      </c>
      <c r="I592" s="33" t="n">
        <v>1</v>
      </c>
      <c r="J592" s="33" t="n">
        <v>1</v>
      </c>
      <c r="K592" s="32" t="n">
        <v>75</v>
      </c>
      <c r="L592" s="33" t="str">
        <f aca="false">IF($B592="","",IFERROR(INDEX('Code Mapping'!$D$5:$D$1753,MATCH($B592,'Code Mapping'!$A$5:$A$1753,0)),"Unmapped"))</f>
        <v>Unmapped</v>
      </c>
      <c r="M592" s="33" t="str">
        <f aca="false">IF($B592="","",IFERROR(INDEX('Code Mapping'!$E$5:$E$1753,MATCH($B592,'Code Mapping'!$A$5:$A$1753,0)),"Unmapped"))</f>
        <v>Unmapped</v>
      </c>
      <c r="N592" s="33" t="str">
        <f aca="false">IF($F592="","",$F592)</f>
        <v>InflataCity 2025</v>
      </c>
    </row>
    <row r="593" customFormat="false" ht="15" hidden="false" customHeight="false" outlineLevel="0" collapsed="false">
      <c r="A593" s="33" t="n">
        <v>6289</v>
      </c>
      <c r="B593" s="33" t="s">
        <v>1322</v>
      </c>
      <c r="C593" s="33" t="s">
        <v>1026</v>
      </c>
      <c r="D593" s="33"/>
      <c r="E593" s="33" t="n">
        <v>96</v>
      </c>
      <c r="F593" s="33" t="s">
        <v>2154</v>
      </c>
      <c r="G593" s="33" t="s">
        <v>445</v>
      </c>
      <c r="H593" s="33" t="n">
        <v>1</v>
      </c>
      <c r="I593" s="33" t="n">
        <v>1</v>
      </c>
      <c r="J593" s="33" t="n">
        <v>1</v>
      </c>
      <c r="K593" s="32" t="n">
        <v>75</v>
      </c>
      <c r="L593" s="33" t="str">
        <f aca="false">IF($B593="","",IFERROR(INDEX('Code Mapping'!$D$5:$D$1753,MATCH($B593,'Code Mapping'!$A$5:$A$1753,0)),"Unmapped"))</f>
        <v>Unmapped</v>
      </c>
      <c r="M593" s="33" t="str">
        <f aca="false">IF($B593="","",IFERROR(INDEX('Code Mapping'!$E$5:$E$1753,MATCH($B593,'Code Mapping'!$A$5:$A$1753,0)),"Unmapped"))</f>
        <v>Unmapped</v>
      </c>
      <c r="N593" s="33" t="str">
        <f aca="false">IF($F593="","",$F593)</f>
        <v>InflataCity 2025</v>
      </c>
    </row>
    <row r="594" customFormat="false" ht="15" hidden="false" customHeight="false" outlineLevel="0" collapsed="false">
      <c r="A594" s="33" t="n">
        <v>6248</v>
      </c>
      <c r="B594" s="33" t="s">
        <v>1321</v>
      </c>
      <c r="C594" s="33" t="s">
        <v>1032</v>
      </c>
      <c r="D594" s="33"/>
      <c r="E594" s="33" t="n">
        <v>96</v>
      </c>
      <c r="F594" s="33" t="s">
        <v>2154</v>
      </c>
      <c r="G594" s="33" t="s">
        <v>445</v>
      </c>
      <c r="H594" s="33" t="n">
        <v>1</v>
      </c>
      <c r="I594" s="33" t="n">
        <v>1</v>
      </c>
      <c r="J594" s="33" t="n">
        <v>1</v>
      </c>
      <c r="K594" s="32" t="n">
        <v>350</v>
      </c>
      <c r="L594" s="33" t="str">
        <f aca="false">IF($B594="","",IFERROR(INDEX('Code Mapping'!$D$5:$D$1753,MATCH($B594,'Code Mapping'!$A$5:$A$1753,0)),"Unmapped"))</f>
        <v>Unmapped</v>
      </c>
      <c r="M594" s="33" t="str">
        <f aca="false">IF($B594="","",IFERROR(INDEX('Code Mapping'!$E$5:$E$1753,MATCH($B594,'Code Mapping'!$A$5:$A$1753,0)),"Unmapped"))</f>
        <v>Unmapped</v>
      </c>
      <c r="N594" s="33" t="str">
        <f aca="false">IF($F594="","",$F594)</f>
        <v>InflataCity 2025</v>
      </c>
    </row>
    <row r="595" customFormat="false" ht="15" hidden="false" customHeight="false" outlineLevel="0" collapsed="false">
      <c r="A595" s="33" t="n">
        <v>5859</v>
      </c>
      <c r="B595" s="33" t="s">
        <v>1320</v>
      </c>
      <c r="C595" s="33" t="s">
        <v>1028</v>
      </c>
      <c r="D595" s="33"/>
      <c r="E595" s="33" t="n">
        <v>96</v>
      </c>
      <c r="F595" s="33" t="s">
        <v>2154</v>
      </c>
      <c r="G595" s="33" t="s">
        <v>445</v>
      </c>
      <c r="H595" s="33" t="n">
        <v>1</v>
      </c>
      <c r="I595" s="33" t="n">
        <v>1</v>
      </c>
      <c r="J595" s="33" t="n">
        <v>1</v>
      </c>
      <c r="K595" s="32" t="n">
        <v>300</v>
      </c>
      <c r="L595" s="33" t="str">
        <f aca="false">IF($B595="","",IFERROR(INDEX('Code Mapping'!$D$5:$D$1753,MATCH($B595,'Code Mapping'!$A$5:$A$1753,0)),"Unmapped"))</f>
        <v>Unmapped</v>
      </c>
      <c r="M595" s="33" t="str">
        <f aca="false">IF($B595="","",IFERROR(INDEX('Code Mapping'!$E$5:$E$1753,MATCH($B595,'Code Mapping'!$A$5:$A$1753,0)),"Unmapped"))</f>
        <v>Unmapped</v>
      </c>
      <c r="N595" s="33" t="str">
        <f aca="false">IF($F595="","",$F595)</f>
        <v>InflataCity 2025</v>
      </c>
    </row>
    <row r="596" customFormat="false" ht="15" hidden="false" customHeight="false" outlineLevel="0" collapsed="false">
      <c r="A596" s="33" t="n">
        <v>6690</v>
      </c>
      <c r="B596" s="33" t="s">
        <v>1319</v>
      </c>
      <c r="C596" s="33" t="s">
        <v>1026</v>
      </c>
      <c r="D596" s="33"/>
      <c r="E596" s="33" t="n">
        <v>96</v>
      </c>
      <c r="F596" s="33" t="s">
        <v>2154</v>
      </c>
      <c r="G596" s="33" t="s">
        <v>445</v>
      </c>
      <c r="H596" s="33" t="n">
        <v>1</v>
      </c>
      <c r="I596" s="33" t="n">
        <v>1</v>
      </c>
      <c r="J596" s="33" t="n">
        <v>1</v>
      </c>
      <c r="K596" s="32" t="n">
        <v>75</v>
      </c>
      <c r="L596" s="33" t="str">
        <f aca="false">IF($B596="","",IFERROR(INDEX('Code Mapping'!$D$5:$D$1753,MATCH($B596,'Code Mapping'!$A$5:$A$1753,0)),"Unmapped"))</f>
        <v>Unmapped</v>
      </c>
      <c r="M596" s="33" t="str">
        <f aca="false">IF($B596="","",IFERROR(INDEX('Code Mapping'!$E$5:$E$1753,MATCH($B596,'Code Mapping'!$A$5:$A$1753,0)),"Unmapped"))</f>
        <v>Unmapped</v>
      </c>
      <c r="N596" s="33" t="str">
        <f aca="false">IF($F596="","",$F596)</f>
        <v>InflataCity 2025</v>
      </c>
    </row>
    <row r="597" customFormat="false" ht="15" hidden="false" customHeight="false" outlineLevel="0" collapsed="false">
      <c r="A597" s="33" t="n">
        <v>5595</v>
      </c>
      <c r="B597" s="33" t="s">
        <v>1318</v>
      </c>
      <c r="C597" s="33" t="s">
        <v>1028</v>
      </c>
      <c r="D597" s="33"/>
      <c r="E597" s="33" t="n">
        <v>96</v>
      </c>
      <c r="F597" s="33" t="s">
        <v>2154</v>
      </c>
      <c r="G597" s="33" t="s">
        <v>445</v>
      </c>
      <c r="H597" s="33" t="n">
        <v>1</v>
      </c>
      <c r="I597" s="33" t="n">
        <v>1</v>
      </c>
      <c r="J597" s="33" t="n">
        <v>1</v>
      </c>
      <c r="K597" s="32" t="n">
        <v>300</v>
      </c>
      <c r="L597" s="33" t="str">
        <f aca="false">IF($B597="","",IFERROR(INDEX('Code Mapping'!$D$5:$D$1753,MATCH($B597,'Code Mapping'!$A$5:$A$1753,0)),"Unmapped"))</f>
        <v>Unmapped</v>
      </c>
      <c r="M597" s="33" t="str">
        <f aca="false">IF($B597="","",IFERROR(INDEX('Code Mapping'!$E$5:$E$1753,MATCH($B597,'Code Mapping'!$A$5:$A$1753,0)),"Unmapped"))</f>
        <v>Unmapped</v>
      </c>
      <c r="N597" s="33" t="str">
        <f aca="false">IF($F597="","",$F597)</f>
        <v>InflataCity 2025</v>
      </c>
    </row>
    <row r="598" customFormat="false" ht="15" hidden="false" customHeight="false" outlineLevel="0" collapsed="false">
      <c r="A598" s="33" t="n">
        <v>5856</v>
      </c>
      <c r="B598" s="33" t="s">
        <v>1317</v>
      </c>
      <c r="C598" s="33" t="s">
        <v>1028</v>
      </c>
      <c r="D598" s="33"/>
      <c r="E598" s="33" t="n">
        <v>96</v>
      </c>
      <c r="F598" s="33" t="s">
        <v>2154</v>
      </c>
      <c r="G598" s="33" t="s">
        <v>445</v>
      </c>
      <c r="H598" s="33" t="n">
        <v>1</v>
      </c>
      <c r="I598" s="33" t="n">
        <v>1</v>
      </c>
      <c r="J598" s="33" t="n">
        <v>1</v>
      </c>
      <c r="K598" s="32" t="n">
        <v>300</v>
      </c>
      <c r="L598" s="33" t="str">
        <f aca="false">IF($B598="","",IFERROR(INDEX('Code Mapping'!$D$5:$D$1753,MATCH($B598,'Code Mapping'!$A$5:$A$1753,0)),"Unmapped"))</f>
        <v>Unmapped</v>
      </c>
      <c r="M598" s="33" t="str">
        <f aca="false">IF($B598="","",IFERROR(INDEX('Code Mapping'!$E$5:$E$1753,MATCH($B598,'Code Mapping'!$A$5:$A$1753,0)),"Unmapped"))</f>
        <v>Unmapped</v>
      </c>
      <c r="N598" s="33" t="str">
        <f aca="false">IF($F598="","",$F598)</f>
        <v>InflataCity 2025</v>
      </c>
    </row>
    <row r="599" customFormat="false" ht="15" hidden="false" customHeight="false" outlineLevel="0" collapsed="false">
      <c r="A599" s="33" t="n">
        <v>6235</v>
      </c>
      <c r="B599" s="33" t="s">
        <v>1316</v>
      </c>
      <c r="C599" s="33" t="s">
        <v>1032</v>
      </c>
      <c r="D599" s="33"/>
      <c r="E599" s="33" t="n">
        <v>96</v>
      </c>
      <c r="F599" s="33" t="s">
        <v>2154</v>
      </c>
      <c r="G599" s="33" t="s">
        <v>445</v>
      </c>
      <c r="H599" s="33" t="n">
        <v>1</v>
      </c>
      <c r="I599" s="33" t="n">
        <v>1</v>
      </c>
      <c r="J599" s="33" t="n">
        <v>1</v>
      </c>
      <c r="K599" s="32" t="n">
        <v>350</v>
      </c>
      <c r="L599" s="33" t="str">
        <f aca="false">IF($B599="","",IFERROR(INDEX('Code Mapping'!$D$5:$D$1753,MATCH($B599,'Code Mapping'!$A$5:$A$1753,0)),"Unmapped"))</f>
        <v>Unmapped</v>
      </c>
      <c r="M599" s="33" t="str">
        <f aca="false">IF($B599="","",IFERROR(INDEX('Code Mapping'!$E$5:$E$1753,MATCH($B599,'Code Mapping'!$A$5:$A$1753,0)),"Unmapped"))</f>
        <v>Unmapped</v>
      </c>
      <c r="N599" s="33" t="str">
        <f aca="false">IF($F599="","",$F599)</f>
        <v>InflataCity 2025</v>
      </c>
    </row>
    <row r="600" customFormat="false" ht="15" hidden="false" customHeight="false" outlineLevel="0" collapsed="false">
      <c r="A600" s="33" t="n">
        <v>5724</v>
      </c>
      <c r="B600" s="33" t="s">
        <v>1454</v>
      </c>
      <c r="C600" s="33" t="s">
        <v>1028</v>
      </c>
      <c r="D600" s="33"/>
      <c r="E600" s="33" t="n">
        <v>96</v>
      </c>
      <c r="F600" s="33" t="s">
        <v>2154</v>
      </c>
      <c r="G600" s="33" t="s">
        <v>445</v>
      </c>
      <c r="H600" s="33" t="n">
        <v>1</v>
      </c>
      <c r="I600" s="33" t="n">
        <v>1</v>
      </c>
      <c r="J600" s="33" t="n">
        <v>1</v>
      </c>
      <c r="K600" s="32" t="n">
        <v>300</v>
      </c>
      <c r="L600" s="33" t="str">
        <f aca="false">IF($B600="","",IFERROR(INDEX('Code Mapping'!$D$5:$D$1753,MATCH($B600,'Code Mapping'!$A$5:$A$1753,0)),"Unmapped"))</f>
        <v>Unmapped</v>
      </c>
      <c r="M600" s="33" t="str">
        <f aca="false">IF($B600="","",IFERROR(INDEX('Code Mapping'!$E$5:$E$1753,MATCH($B600,'Code Mapping'!$A$5:$A$1753,0)),"Unmapped"))</f>
        <v>Unmapped</v>
      </c>
      <c r="N600" s="33" t="str">
        <f aca="false">IF($F600="","",$F600)</f>
        <v>InflataCity 2025</v>
      </c>
    </row>
    <row r="601" customFormat="false" ht="15" hidden="false" customHeight="false" outlineLevel="0" collapsed="false">
      <c r="A601" s="33" t="n">
        <v>6479</v>
      </c>
      <c r="B601" s="33" t="s">
        <v>1349</v>
      </c>
      <c r="C601" s="33" t="s">
        <v>1026</v>
      </c>
      <c r="D601" s="33"/>
      <c r="E601" s="33" t="n">
        <v>96</v>
      </c>
      <c r="F601" s="33" t="s">
        <v>2154</v>
      </c>
      <c r="G601" s="33" t="s">
        <v>445</v>
      </c>
      <c r="H601" s="33" t="n">
        <v>1</v>
      </c>
      <c r="I601" s="33" t="n">
        <v>1</v>
      </c>
      <c r="J601" s="33" t="n">
        <v>1</v>
      </c>
      <c r="K601" s="32" t="n">
        <v>75</v>
      </c>
      <c r="L601" s="33" t="str">
        <f aca="false">IF($B601="","",IFERROR(INDEX('Code Mapping'!$D$5:$D$1753,MATCH($B601,'Code Mapping'!$A$5:$A$1753,0)),"Unmapped"))</f>
        <v>Unmapped</v>
      </c>
      <c r="M601" s="33" t="str">
        <f aca="false">IF($B601="","",IFERROR(INDEX('Code Mapping'!$E$5:$E$1753,MATCH($B601,'Code Mapping'!$A$5:$A$1753,0)),"Unmapped"))</f>
        <v>Unmapped</v>
      </c>
      <c r="N601" s="33" t="str">
        <f aca="false">IF($F601="","",$F601)</f>
        <v>InflataCity 2025</v>
      </c>
    </row>
    <row r="602" customFormat="false" ht="15" hidden="false" customHeight="false" outlineLevel="0" collapsed="false">
      <c r="A602" s="33" t="n">
        <v>6588</v>
      </c>
      <c r="B602" s="33" t="s">
        <v>1350</v>
      </c>
      <c r="C602" s="33" t="s">
        <v>1026</v>
      </c>
      <c r="D602" s="33"/>
      <c r="E602" s="33" t="n">
        <v>96</v>
      </c>
      <c r="F602" s="33" t="s">
        <v>2154</v>
      </c>
      <c r="G602" s="33" t="s">
        <v>445</v>
      </c>
      <c r="H602" s="33" t="n">
        <v>1</v>
      </c>
      <c r="I602" s="33" t="n">
        <v>1</v>
      </c>
      <c r="J602" s="33" t="n">
        <v>1</v>
      </c>
      <c r="K602" s="32" t="n">
        <v>75</v>
      </c>
      <c r="L602" s="33" t="str">
        <f aca="false">IF($B602="","",IFERROR(INDEX('Code Mapping'!$D$5:$D$1753,MATCH($B602,'Code Mapping'!$A$5:$A$1753,0)),"Unmapped"))</f>
        <v>Unmapped</v>
      </c>
      <c r="M602" s="33" t="str">
        <f aca="false">IF($B602="","",IFERROR(INDEX('Code Mapping'!$E$5:$E$1753,MATCH($B602,'Code Mapping'!$A$5:$A$1753,0)),"Unmapped"))</f>
        <v>Unmapped</v>
      </c>
      <c r="N602" s="33" t="str">
        <f aca="false">IF($F602="","",$F602)</f>
        <v>InflataCity 2025</v>
      </c>
    </row>
    <row r="603" customFormat="false" ht="15" hidden="false" customHeight="false" outlineLevel="0" collapsed="false">
      <c r="A603" s="33" t="n">
        <v>6272</v>
      </c>
      <c r="B603" s="33" t="s">
        <v>1351</v>
      </c>
      <c r="C603" s="33" t="s">
        <v>1026</v>
      </c>
      <c r="D603" s="33"/>
      <c r="E603" s="33" t="n">
        <v>96</v>
      </c>
      <c r="F603" s="33" t="s">
        <v>2154</v>
      </c>
      <c r="G603" s="33" t="s">
        <v>445</v>
      </c>
      <c r="H603" s="33" t="n">
        <v>1</v>
      </c>
      <c r="I603" s="33" t="n">
        <v>1</v>
      </c>
      <c r="J603" s="33" t="n">
        <v>1</v>
      </c>
      <c r="K603" s="32" t="n">
        <v>75</v>
      </c>
      <c r="L603" s="33" t="str">
        <f aca="false">IF($B603="","",IFERROR(INDEX('Code Mapping'!$D$5:$D$1753,MATCH($B603,'Code Mapping'!$A$5:$A$1753,0)),"Unmapped"))</f>
        <v>Unmapped</v>
      </c>
      <c r="M603" s="33" t="str">
        <f aca="false">IF($B603="","",IFERROR(INDEX('Code Mapping'!$E$5:$E$1753,MATCH($B603,'Code Mapping'!$A$5:$A$1753,0)),"Unmapped"))</f>
        <v>Unmapped</v>
      </c>
      <c r="N603" s="33" t="str">
        <f aca="false">IF($F603="","",$F603)</f>
        <v>InflataCity 2025</v>
      </c>
    </row>
    <row r="604" customFormat="false" ht="15" hidden="false" customHeight="false" outlineLevel="0" collapsed="false">
      <c r="A604" s="33" t="n">
        <v>5602</v>
      </c>
      <c r="B604" s="33" t="s">
        <v>1352</v>
      </c>
      <c r="C604" s="33" t="s">
        <v>1028</v>
      </c>
      <c r="D604" s="33"/>
      <c r="E604" s="33" t="n">
        <v>96</v>
      </c>
      <c r="F604" s="33" t="s">
        <v>2154</v>
      </c>
      <c r="G604" s="33" t="s">
        <v>445</v>
      </c>
      <c r="H604" s="33" t="n">
        <v>1</v>
      </c>
      <c r="I604" s="33" t="n">
        <v>1</v>
      </c>
      <c r="J604" s="33" t="n">
        <v>1</v>
      </c>
      <c r="K604" s="32" t="n">
        <v>300</v>
      </c>
      <c r="L604" s="33" t="str">
        <f aca="false">IF($B604="","",IFERROR(INDEX('Code Mapping'!$D$5:$D$1753,MATCH($B604,'Code Mapping'!$A$5:$A$1753,0)),"Unmapped"))</f>
        <v>Unmapped</v>
      </c>
      <c r="M604" s="33" t="str">
        <f aca="false">IF($B604="","",IFERROR(INDEX('Code Mapping'!$E$5:$E$1753,MATCH($B604,'Code Mapping'!$A$5:$A$1753,0)),"Unmapped"))</f>
        <v>Unmapped</v>
      </c>
      <c r="N604" s="33" t="str">
        <f aca="false">IF($F604="","",$F604)</f>
        <v>InflataCity 2025</v>
      </c>
    </row>
    <row r="605" customFormat="false" ht="15" hidden="false" customHeight="false" outlineLevel="0" collapsed="false">
      <c r="A605" s="33" t="n">
        <v>6136</v>
      </c>
      <c r="B605" s="33" t="s">
        <v>1378</v>
      </c>
      <c r="C605" s="33" t="s">
        <v>1032</v>
      </c>
      <c r="D605" s="33"/>
      <c r="E605" s="33" t="n">
        <v>96</v>
      </c>
      <c r="F605" s="33" t="s">
        <v>2154</v>
      </c>
      <c r="G605" s="33" t="s">
        <v>445</v>
      </c>
      <c r="H605" s="33" t="n">
        <v>1</v>
      </c>
      <c r="I605" s="33" t="n">
        <v>1</v>
      </c>
      <c r="J605" s="33" t="n">
        <v>1</v>
      </c>
      <c r="K605" s="32" t="n">
        <v>350</v>
      </c>
      <c r="L605" s="33" t="str">
        <f aca="false">IF($B605="","",IFERROR(INDEX('Code Mapping'!$D$5:$D$1753,MATCH($B605,'Code Mapping'!$A$5:$A$1753,0)),"Unmapped"))</f>
        <v>Unmapped</v>
      </c>
      <c r="M605" s="33" t="str">
        <f aca="false">IF($B605="","",IFERROR(INDEX('Code Mapping'!$E$5:$E$1753,MATCH($B605,'Code Mapping'!$A$5:$A$1753,0)),"Unmapped"))</f>
        <v>Unmapped</v>
      </c>
      <c r="N605" s="33" t="str">
        <f aca="false">IF($F605="","",$F605)</f>
        <v>InflataCity 2025</v>
      </c>
    </row>
    <row r="606" customFormat="false" ht="15" hidden="false" customHeight="false" outlineLevel="0" collapsed="false">
      <c r="A606" s="33" t="n">
        <v>6362</v>
      </c>
      <c r="B606" s="33" t="s">
        <v>1377</v>
      </c>
      <c r="C606" s="33" t="s">
        <v>1026</v>
      </c>
      <c r="D606" s="33"/>
      <c r="E606" s="33" t="n">
        <v>96</v>
      </c>
      <c r="F606" s="33" t="s">
        <v>2154</v>
      </c>
      <c r="G606" s="33" t="s">
        <v>445</v>
      </c>
      <c r="H606" s="33" t="n">
        <v>1</v>
      </c>
      <c r="I606" s="33" t="n">
        <v>1</v>
      </c>
      <c r="J606" s="33" t="n">
        <v>1</v>
      </c>
      <c r="K606" s="32" t="n">
        <v>75</v>
      </c>
      <c r="L606" s="33" t="str">
        <f aca="false">IF($B606="","",IFERROR(INDEX('Code Mapping'!$D$5:$D$1753,MATCH($B606,'Code Mapping'!$A$5:$A$1753,0)),"Unmapped"))</f>
        <v>Unmapped</v>
      </c>
      <c r="M606" s="33" t="str">
        <f aca="false">IF($B606="","",IFERROR(INDEX('Code Mapping'!$E$5:$E$1753,MATCH($B606,'Code Mapping'!$A$5:$A$1753,0)),"Unmapped"))</f>
        <v>Unmapped</v>
      </c>
      <c r="N606" s="33" t="str">
        <f aca="false">IF($F606="","",$F606)</f>
        <v>InflataCity 2025</v>
      </c>
    </row>
    <row r="607" customFormat="false" ht="15" hidden="false" customHeight="false" outlineLevel="0" collapsed="false">
      <c r="A607" s="33" t="n">
        <v>6284</v>
      </c>
      <c r="B607" s="33" t="s">
        <v>1376</v>
      </c>
      <c r="C607" s="33" t="s">
        <v>1026</v>
      </c>
      <c r="D607" s="33"/>
      <c r="E607" s="33" t="n">
        <v>96</v>
      </c>
      <c r="F607" s="33" t="s">
        <v>2154</v>
      </c>
      <c r="G607" s="33" t="s">
        <v>445</v>
      </c>
      <c r="H607" s="33" t="n">
        <v>1</v>
      </c>
      <c r="I607" s="33" t="n">
        <v>1</v>
      </c>
      <c r="J607" s="33" t="n">
        <v>1</v>
      </c>
      <c r="K607" s="32" t="n">
        <v>75</v>
      </c>
      <c r="L607" s="33" t="str">
        <f aca="false">IF($B607="","",IFERROR(INDEX('Code Mapping'!$D$5:$D$1753,MATCH($B607,'Code Mapping'!$A$5:$A$1753,0)),"Unmapped"))</f>
        <v>Unmapped</v>
      </c>
      <c r="M607" s="33" t="str">
        <f aca="false">IF($B607="","",IFERROR(INDEX('Code Mapping'!$E$5:$E$1753,MATCH($B607,'Code Mapping'!$A$5:$A$1753,0)),"Unmapped"))</f>
        <v>Unmapped</v>
      </c>
      <c r="N607" s="33" t="str">
        <f aca="false">IF($F607="","",$F607)</f>
        <v>InflataCity 2025</v>
      </c>
    </row>
    <row r="608" customFormat="false" ht="15" hidden="false" customHeight="false" outlineLevel="0" collapsed="false">
      <c r="A608" s="33" t="n">
        <v>6253</v>
      </c>
      <c r="B608" s="33" t="s">
        <v>1375</v>
      </c>
      <c r="C608" s="33" t="s">
        <v>1032</v>
      </c>
      <c r="D608" s="33"/>
      <c r="E608" s="33" t="n">
        <v>96</v>
      </c>
      <c r="F608" s="33" t="s">
        <v>2154</v>
      </c>
      <c r="G608" s="33" t="s">
        <v>445</v>
      </c>
      <c r="H608" s="33" t="n">
        <v>1</v>
      </c>
      <c r="I608" s="33" t="n">
        <v>1</v>
      </c>
      <c r="J608" s="33" t="n">
        <v>1</v>
      </c>
      <c r="K608" s="32" t="n">
        <v>350</v>
      </c>
      <c r="L608" s="33" t="str">
        <f aca="false">IF($B608="","",IFERROR(INDEX('Code Mapping'!$D$5:$D$1753,MATCH($B608,'Code Mapping'!$A$5:$A$1753,0)),"Unmapped"))</f>
        <v>Unmapped</v>
      </c>
      <c r="M608" s="33" t="str">
        <f aca="false">IF($B608="","",IFERROR(INDEX('Code Mapping'!$E$5:$E$1753,MATCH($B608,'Code Mapping'!$A$5:$A$1753,0)),"Unmapped"))</f>
        <v>Unmapped</v>
      </c>
      <c r="N608" s="33" t="str">
        <f aca="false">IF($F608="","",$F608)</f>
        <v>InflataCity 2025</v>
      </c>
    </row>
    <row r="609" customFormat="false" ht="15" hidden="false" customHeight="false" outlineLevel="0" collapsed="false">
      <c r="A609" s="33" t="n">
        <v>5710</v>
      </c>
      <c r="B609" s="33" t="s">
        <v>1315</v>
      </c>
      <c r="C609" s="33" t="s">
        <v>1028</v>
      </c>
      <c r="D609" s="33"/>
      <c r="E609" s="33" t="n">
        <v>96</v>
      </c>
      <c r="F609" s="33" t="s">
        <v>2154</v>
      </c>
      <c r="G609" s="33" t="s">
        <v>445</v>
      </c>
      <c r="H609" s="33" t="n">
        <v>1</v>
      </c>
      <c r="I609" s="33" t="n">
        <v>1</v>
      </c>
      <c r="J609" s="33" t="n">
        <v>1</v>
      </c>
      <c r="K609" s="32" t="n">
        <v>300</v>
      </c>
      <c r="L609" s="33" t="str">
        <f aca="false">IF($B609="","",IFERROR(INDEX('Code Mapping'!$D$5:$D$1753,MATCH($B609,'Code Mapping'!$A$5:$A$1753,0)),"Unmapped"))</f>
        <v>Unmapped</v>
      </c>
      <c r="M609" s="33" t="str">
        <f aca="false">IF($B609="","",IFERROR(INDEX('Code Mapping'!$E$5:$E$1753,MATCH($B609,'Code Mapping'!$A$5:$A$1753,0)),"Unmapped"))</f>
        <v>Unmapped</v>
      </c>
      <c r="N609" s="33" t="str">
        <f aca="false">IF($F609="","",$F609)</f>
        <v>InflataCity 2025</v>
      </c>
    </row>
    <row r="610" customFormat="false" ht="15" hidden="false" customHeight="false" outlineLevel="0" collapsed="false">
      <c r="A610" s="33" t="n">
        <v>6582</v>
      </c>
      <c r="B610" s="33" t="s">
        <v>1373</v>
      </c>
      <c r="C610" s="33" t="s">
        <v>1026</v>
      </c>
      <c r="D610" s="33"/>
      <c r="E610" s="33" t="n">
        <v>96</v>
      </c>
      <c r="F610" s="33" t="s">
        <v>2154</v>
      </c>
      <c r="G610" s="33" t="s">
        <v>445</v>
      </c>
      <c r="H610" s="33" t="n">
        <v>1</v>
      </c>
      <c r="I610" s="33" t="n">
        <v>1</v>
      </c>
      <c r="J610" s="33" t="n">
        <v>1</v>
      </c>
      <c r="K610" s="32" t="n">
        <v>75</v>
      </c>
      <c r="L610" s="33" t="str">
        <f aca="false">IF($B610="","",IFERROR(INDEX('Code Mapping'!$D$5:$D$1753,MATCH($B610,'Code Mapping'!$A$5:$A$1753,0)),"Unmapped"))</f>
        <v>Unmapped</v>
      </c>
      <c r="M610" s="33" t="str">
        <f aca="false">IF($B610="","",IFERROR(INDEX('Code Mapping'!$E$5:$E$1753,MATCH($B610,'Code Mapping'!$A$5:$A$1753,0)),"Unmapped"))</f>
        <v>Unmapped</v>
      </c>
      <c r="N610" s="33" t="str">
        <f aca="false">IF($F610="","",$F610)</f>
        <v>InflataCity 2025</v>
      </c>
    </row>
    <row r="611" customFormat="false" ht="15" hidden="false" customHeight="false" outlineLevel="0" collapsed="false">
      <c r="A611" s="33" t="n">
        <v>6595</v>
      </c>
      <c r="B611" s="33" t="s">
        <v>1372</v>
      </c>
      <c r="C611" s="33" t="s">
        <v>1026</v>
      </c>
      <c r="D611" s="33"/>
      <c r="E611" s="33" t="n">
        <v>96</v>
      </c>
      <c r="F611" s="33" t="s">
        <v>2154</v>
      </c>
      <c r="G611" s="33" t="s">
        <v>445</v>
      </c>
      <c r="H611" s="33" t="n">
        <v>1</v>
      </c>
      <c r="I611" s="33" t="n">
        <v>1</v>
      </c>
      <c r="J611" s="33" t="n">
        <v>1</v>
      </c>
      <c r="K611" s="32" t="n">
        <v>75</v>
      </c>
      <c r="L611" s="33" t="str">
        <f aca="false">IF($B611="","",IFERROR(INDEX('Code Mapping'!$D$5:$D$1753,MATCH($B611,'Code Mapping'!$A$5:$A$1753,0)),"Unmapped"))</f>
        <v>Unmapped</v>
      </c>
      <c r="M611" s="33" t="str">
        <f aca="false">IF($B611="","",IFERROR(INDEX('Code Mapping'!$E$5:$E$1753,MATCH($B611,'Code Mapping'!$A$5:$A$1753,0)),"Unmapped"))</f>
        <v>Unmapped</v>
      </c>
      <c r="N611" s="33" t="str">
        <f aca="false">IF($F611="","",$F611)</f>
        <v>InflataCity 2025</v>
      </c>
    </row>
    <row r="612" customFormat="false" ht="15" hidden="false" customHeight="false" outlineLevel="0" collapsed="false">
      <c r="A612" s="33" t="n">
        <v>6353</v>
      </c>
      <c r="B612" s="33" t="s">
        <v>1371</v>
      </c>
      <c r="C612" s="33" t="s">
        <v>1026</v>
      </c>
      <c r="D612" s="33"/>
      <c r="E612" s="33" t="n">
        <v>96</v>
      </c>
      <c r="F612" s="33" t="s">
        <v>2154</v>
      </c>
      <c r="G612" s="33" t="s">
        <v>445</v>
      </c>
      <c r="H612" s="33" t="n">
        <v>1</v>
      </c>
      <c r="I612" s="33" t="n">
        <v>1</v>
      </c>
      <c r="J612" s="33" t="n">
        <v>1</v>
      </c>
      <c r="K612" s="32" t="n">
        <v>75</v>
      </c>
      <c r="L612" s="33" t="str">
        <f aca="false">IF($B612="","",IFERROR(INDEX('Code Mapping'!$D$5:$D$1753,MATCH($B612,'Code Mapping'!$A$5:$A$1753,0)),"Unmapped"))</f>
        <v>Unmapped</v>
      </c>
      <c r="M612" s="33" t="str">
        <f aca="false">IF($B612="","",IFERROR(INDEX('Code Mapping'!$E$5:$E$1753,MATCH($B612,'Code Mapping'!$A$5:$A$1753,0)),"Unmapped"))</f>
        <v>Unmapped</v>
      </c>
      <c r="N612" s="33" t="str">
        <f aca="false">IF($F612="","",$F612)</f>
        <v>InflataCity 2025</v>
      </c>
    </row>
    <row r="613" customFormat="false" ht="15" hidden="false" customHeight="false" outlineLevel="0" collapsed="false">
      <c r="A613" s="33" t="n">
        <v>6131</v>
      </c>
      <c r="B613" s="33" t="s">
        <v>1370</v>
      </c>
      <c r="C613" s="33" t="s">
        <v>1032</v>
      </c>
      <c r="D613" s="33"/>
      <c r="E613" s="33" t="n">
        <v>96</v>
      </c>
      <c r="F613" s="33" t="s">
        <v>2154</v>
      </c>
      <c r="G613" s="33" t="s">
        <v>445</v>
      </c>
      <c r="H613" s="33" t="n">
        <v>1</v>
      </c>
      <c r="I613" s="33" t="n">
        <v>1</v>
      </c>
      <c r="J613" s="33" t="n">
        <v>1</v>
      </c>
      <c r="K613" s="32" t="n">
        <v>350</v>
      </c>
      <c r="L613" s="33" t="str">
        <f aca="false">IF($B613="","",IFERROR(INDEX('Code Mapping'!$D$5:$D$1753,MATCH($B613,'Code Mapping'!$A$5:$A$1753,0)),"Unmapped"))</f>
        <v>Unmapped</v>
      </c>
      <c r="M613" s="33" t="str">
        <f aca="false">IF($B613="","",IFERROR(INDEX('Code Mapping'!$E$5:$E$1753,MATCH($B613,'Code Mapping'!$A$5:$A$1753,0)),"Unmapped"))</f>
        <v>Unmapped</v>
      </c>
      <c r="N613" s="33" t="str">
        <f aca="false">IF($F613="","",$F613)</f>
        <v>InflataCity 2025</v>
      </c>
    </row>
    <row r="614" customFormat="false" ht="15" hidden="false" customHeight="false" outlineLevel="0" collapsed="false">
      <c r="A614" s="33" t="n">
        <v>5877</v>
      </c>
      <c r="B614" s="33" t="s">
        <v>1369</v>
      </c>
      <c r="C614" s="33" t="s">
        <v>1028</v>
      </c>
      <c r="D614" s="33"/>
      <c r="E614" s="33" t="n">
        <v>96</v>
      </c>
      <c r="F614" s="33" t="s">
        <v>2154</v>
      </c>
      <c r="G614" s="33" t="s">
        <v>445</v>
      </c>
      <c r="H614" s="33" t="n">
        <v>1</v>
      </c>
      <c r="I614" s="33" t="n">
        <v>1</v>
      </c>
      <c r="J614" s="33" t="n">
        <v>1</v>
      </c>
      <c r="K614" s="32" t="n">
        <v>300</v>
      </c>
      <c r="L614" s="33" t="str">
        <f aca="false">IF($B614="","",IFERROR(INDEX('Code Mapping'!$D$5:$D$1753,MATCH($B614,'Code Mapping'!$A$5:$A$1753,0)),"Unmapped"))</f>
        <v>Unmapped</v>
      </c>
      <c r="M614" s="33" t="str">
        <f aca="false">IF($B614="","",IFERROR(INDEX('Code Mapping'!$E$5:$E$1753,MATCH($B614,'Code Mapping'!$A$5:$A$1753,0)),"Unmapped"))</f>
        <v>Unmapped</v>
      </c>
      <c r="N614" s="33" t="str">
        <f aca="false">IF($F614="","",$F614)</f>
        <v>InflataCity 2025</v>
      </c>
    </row>
    <row r="615" customFormat="false" ht="15" hidden="false" customHeight="false" outlineLevel="0" collapsed="false">
      <c r="A615" s="33" t="n">
        <v>6151</v>
      </c>
      <c r="B615" s="33" t="s">
        <v>1368</v>
      </c>
      <c r="C615" s="33" t="s">
        <v>1032</v>
      </c>
      <c r="D615" s="33"/>
      <c r="E615" s="33" t="n">
        <v>96</v>
      </c>
      <c r="F615" s="33" t="s">
        <v>2154</v>
      </c>
      <c r="G615" s="33" t="s">
        <v>445</v>
      </c>
      <c r="H615" s="33" t="n">
        <v>1</v>
      </c>
      <c r="I615" s="33" t="n">
        <v>1</v>
      </c>
      <c r="J615" s="33" t="n">
        <v>1</v>
      </c>
      <c r="K615" s="32" t="n">
        <v>350</v>
      </c>
      <c r="L615" s="33" t="str">
        <f aca="false">IF($B615="","",IFERROR(INDEX('Code Mapping'!$D$5:$D$1753,MATCH($B615,'Code Mapping'!$A$5:$A$1753,0)),"Unmapped"))</f>
        <v>Unmapped</v>
      </c>
      <c r="M615" s="33" t="str">
        <f aca="false">IF($B615="","",IFERROR(INDEX('Code Mapping'!$E$5:$E$1753,MATCH($B615,'Code Mapping'!$A$5:$A$1753,0)),"Unmapped"))</f>
        <v>Unmapped</v>
      </c>
      <c r="N615" s="33" t="str">
        <f aca="false">IF($F615="","",$F615)</f>
        <v>InflataCity 2025</v>
      </c>
    </row>
    <row r="616" customFormat="false" ht="15" hidden="false" customHeight="false" outlineLevel="0" collapsed="false">
      <c r="A616" s="33" t="n">
        <v>6505</v>
      </c>
      <c r="B616" s="33" t="s">
        <v>1367</v>
      </c>
      <c r="C616" s="33" t="s">
        <v>1026</v>
      </c>
      <c r="D616" s="33"/>
      <c r="E616" s="33" t="n">
        <v>96</v>
      </c>
      <c r="F616" s="33" t="s">
        <v>2154</v>
      </c>
      <c r="G616" s="33" t="s">
        <v>445</v>
      </c>
      <c r="H616" s="33" t="n">
        <v>1</v>
      </c>
      <c r="I616" s="33" t="n">
        <v>1</v>
      </c>
      <c r="J616" s="33" t="n">
        <v>1</v>
      </c>
      <c r="K616" s="32" t="n">
        <v>75</v>
      </c>
      <c r="L616" s="33" t="str">
        <f aca="false">IF($B616="","",IFERROR(INDEX('Code Mapping'!$D$5:$D$1753,MATCH($B616,'Code Mapping'!$A$5:$A$1753,0)),"Unmapped"))</f>
        <v>Unmapped</v>
      </c>
      <c r="M616" s="33" t="str">
        <f aca="false">IF($B616="","",IFERROR(INDEX('Code Mapping'!$E$5:$E$1753,MATCH($B616,'Code Mapping'!$A$5:$A$1753,0)),"Unmapped"))</f>
        <v>Unmapped</v>
      </c>
      <c r="N616" s="33" t="str">
        <f aca="false">IF($F616="","",$F616)</f>
        <v>InflataCity 2025</v>
      </c>
    </row>
    <row r="617" customFormat="false" ht="15" hidden="false" customHeight="false" outlineLevel="0" collapsed="false">
      <c r="A617" s="33" t="n">
        <v>6243</v>
      </c>
      <c r="B617" s="33" t="s">
        <v>1366</v>
      </c>
      <c r="C617" s="33" t="s">
        <v>1032</v>
      </c>
      <c r="D617" s="33"/>
      <c r="E617" s="33" t="n">
        <v>96</v>
      </c>
      <c r="F617" s="33" t="s">
        <v>2154</v>
      </c>
      <c r="G617" s="33" t="s">
        <v>445</v>
      </c>
      <c r="H617" s="33" t="n">
        <v>1</v>
      </c>
      <c r="I617" s="33" t="n">
        <v>1</v>
      </c>
      <c r="J617" s="33" t="n">
        <v>1</v>
      </c>
      <c r="K617" s="32" t="n">
        <v>350</v>
      </c>
      <c r="L617" s="33" t="str">
        <f aca="false">IF($B617="","",IFERROR(INDEX('Code Mapping'!$D$5:$D$1753,MATCH($B617,'Code Mapping'!$A$5:$A$1753,0)),"Unmapped"))</f>
        <v>Unmapped</v>
      </c>
      <c r="M617" s="33" t="str">
        <f aca="false">IF($B617="","",IFERROR(INDEX('Code Mapping'!$E$5:$E$1753,MATCH($B617,'Code Mapping'!$A$5:$A$1753,0)),"Unmapped"))</f>
        <v>Unmapped</v>
      </c>
      <c r="N617" s="33" t="str">
        <f aca="false">IF($F617="","",$F617)</f>
        <v>InflataCity 2025</v>
      </c>
    </row>
    <row r="618" customFormat="false" ht="15" hidden="false" customHeight="false" outlineLevel="0" collapsed="false">
      <c r="A618" s="33" t="n">
        <v>6147</v>
      </c>
      <c r="B618" s="33" t="s">
        <v>1364</v>
      </c>
      <c r="C618" s="33" t="s">
        <v>1032</v>
      </c>
      <c r="D618" s="33"/>
      <c r="E618" s="33" t="n">
        <v>96</v>
      </c>
      <c r="F618" s="33" t="s">
        <v>2154</v>
      </c>
      <c r="G618" s="33" t="s">
        <v>445</v>
      </c>
      <c r="H618" s="33" t="n">
        <v>1</v>
      </c>
      <c r="I618" s="33" t="n">
        <v>1</v>
      </c>
      <c r="J618" s="33" t="n">
        <v>1</v>
      </c>
      <c r="K618" s="32" t="n">
        <v>350</v>
      </c>
      <c r="L618" s="33" t="str">
        <f aca="false">IF($B618="","",IFERROR(INDEX('Code Mapping'!$D$5:$D$1753,MATCH($B618,'Code Mapping'!$A$5:$A$1753,0)),"Unmapped"))</f>
        <v>Unmapped</v>
      </c>
      <c r="M618" s="33" t="str">
        <f aca="false">IF($B618="","",IFERROR(INDEX('Code Mapping'!$E$5:$E$1753,MATCH($B618,'Code Mapping'!$A$5:$A$1753,0)),"Unmapped"))</f>
        <v>Unmapped</v>
      </c>
      <c r="N618" s="33" t="str">
        <f aca="false">IF($F618="","",$F618)</f>
        <v>InflataCity 2025</v>
      </c>
    </row>
    <row r="619" customFormat="false" ht="15" hidden="false" customHeight="false" outlineLevel="0" collapsed="false">
      <c r="A619" s="33" t="n">
        <v>6591</v>
      </c>
      <c r="B619" s="33" t="s">
        <v>1363</v>
      </c>
      <c r="C619" s="33" t="s">
        <v>1026</v>
      </c>
      <c r="D619" s="33"/>
      <c r="E619" s="33" t="n">
        <v>96</v>
      </c>
      <c r="F619" s="33" t="s">
        <v>2154</v>
      </c>
      <c r="G619" s="33" t="s">
        <v>445</v>
      </c>
      <c r="H619" s="33" t="n">
        <v>1</v>
      </c>
      <c r="I619" s="33" t="n">
        <v>1</v>
      </c>
      <c r="J619" s="33" t="n">
        <v>1</v>
      </c>
      <c r="K619" s="32" t="n">
        <v>75</v>
      </c>
      <c r="L619" s="33" t="str">
        <f aca="false">IF($B619="","",IFERROR(INDEX('Code Mapping'!$D$5:$D$1753,MATCH($B619,'Code Mapping'!$A$5:$A$1753,0)),"Unmapped"))</f>
        <v>Unmapped</v>
      </c>
      <c r="M619" s="33" t="str">
        <f aca="false">IF($B619="","",IFERROR(INDEX('Code Mapping'!$E$5:$E$1753,MATCH($B619,'Code Mapping'!$A$5:$A$1753,0)),"Unmapped"))</f>
        <v>Unmapped</v>
      </c>
      <c r="N619" s="33" t="str">
        <f aca="false">IF($F619="","",$F619)</f>
        <v>InflataCity 2025</v>
      </c>
    </row>
    <row r="620" customFormat="false" ht="15" hidden="false" customHeight="false" outlineLevel="0" collapsed="false">
      <c r="A620" s="33" t="n">
        <v>5815</v>
      </c>
      <c r="B620" s="33" t="s">
        <v>1362</v>
      </c>
      <c r="C620" s="33" t="s">
        <v>1028</v>
      </c>
      <c r="D620" s="33"/>
      <c r="E620" s="33" t="n">
        <v>96</v>
      </c>
      <c r="F620" s="33" t="s">
        <v>2154</v>
      </c>
      <c r="G620" s="33" t="s">
        <v>445</v>
      </c>
      <c r="H620" s="33" t="n">
        <v>1</v>
      </c>
      <c r="I620" s="33" t="n">
        <v>1</v>
      </c>
      <c r="J620" s="33" t="n">
        <v>1</v>
      </c>
      <c r="K620" s="32" t="n">
        <v>300</v>
      </c>
      <c r="L620" s="33" t="str">
        <f aca="false">IF($B620="","",IFERROR(INDEX('Code Mapping'!$D$5:$D$1753,MATCH($B620,'Code Mapping'!$A$5:$A$1753,0)),"Unmapped"))</f>
        <v>Unmapped</v>
      </c>
      <c r="M620" s="33" t="str">
        <f aca="false">IF($B620="","",IFERROR(INDEX('Code Mapping'!$E$5:$E$1753,MATCH($B620,'Code Mapping'!$A$5:$A$1753,0)),"Unmapped"))</f>
        <v>Unmapped</v>
      </c>
      <c r="N620" s="33" t="str">
        <f aca="false">IF($F620="","",$F620)</f>
        <v>InflataCity 2025</v>
      </c>
    </row>
    <row r="621" customFormat="false" ht="15" hidden="false" customHeight="false" outlineLevel="0" collapsed="false">
      <c r="A621" s="33" t="n">
        <v>6650</v>
      </c>
      <c r="B621" s="33" t="s">
        <v>1361</v>
      </c>
      <c r="C621" s="33" t="s">
        <v>1026</v>
      </c>
      <c r="D621" s="33"/>
      <c r="E621" s="33" t="n">
        <v>96</v>
      </c>
      <c r="F621" s="33" t="s">
        <v>2154</v>
      </c>
      <c r="G621" s="33" t="s">
        <v>445</v>
      </c>
      <c r="H621" s="33" t="n">
        <v>1</v>
      </c>
      <c r="I621" s="33" t="n">
        <v>1</v>
      </c>
      <c r="J621" s="33" t="n">
        <v>1</v>
      </c>
      <c r="K621" s="32" t="n">
        <v>75</v>
      </c>
      <c r="L621" s="33" t="str">
        <f aca="false">IF($B621="","",IFERROR(INDEX('Code Mapping'!$D$5:$D$1753,MATCH($B621,'Code Mapping'!$A$5:$A$1753,0)),"Unmapped"))</f>
        <v>Unmapped</v>
      </c>
      <c r="M621" s="33" t="str">
        <f aca="false">IF($B621="","",IFERROR(INDEX('Code Mapping'!$E$5:$E$1753,MATCH($B621,'Code Mapping'!$A$5:$A$1753,0)),"Unmapped"))</f>
        <v>Unmapped</v>
      </c>
      <c r="N621" s="33" t="str">
        <f aca="false">IF($F621="","",$F621)</f>
        <v>InflataCity 2025</v>
      </c>
    </row>
    <row r="622" customFormat="false" ht="15" hidden="false" customHeight="false" outlineLevel="0" collapsed="false">
      <c r="A622" s="33" t="n">
        <v>6670</v>
      </c>
      <c r="B622" s="33" t="s">
        <v>1360</v>
      </c>
      <c r="C622" s="33" t="s">
        <v>1026</v>
      </c>
      <c r="D622" s="33"/>
      <c r="E622" s="33" t="n">
        <v>96</v>
      </c>
      <c r="F622" s="33" t="s">
        <v>2154</v>
      </c>
      <c r="G622" s="33" t="s">
        <v>445</v>
      </c>
      <c r="H622" s="33" t="n">
        <v>1</v>
      </c>
      <c r="I622" s="33" t="n">
        <v>1</v>
      </c>
      <c r="J622" s="33" t="n">
        <v>1</v>
      </c>
      <c r="K622" s="32" t="n">
        <v>75</v>
      </c>
      <c r="L622" s="33" t="str">
        <f aca="false">IF($B622="","",IFERROR(INDEX('Code Mapping'!$D$5:$D$1753,MATCH($B622,'Code Mapping'!$A$5:$A$1753,0)),"Unmapped"))</f>
        <v>Unmapped</v>
      </c>
      <c r="M622" s="33" t="str">
        <f aca="false">IF($B622="","",IFERROR(INDEX('Code Mapping'!$E$5:$E$1753,MATCH($B622,'Code Mapping'!$A$5:$A$1753,0)),"Unmapped"))</f>
        <v>Unmapped</v>
      </c>
      <c r="N622" s="33" t="str">
        <f aca="false">IF($F622="","",$F622)</f>
        <v>InflataCity 2025</v>
      </c>
    </row>
    <row r="623" customFormat="false" ht="15" hidden="false" customHeight="false" outlineLevel="0" collapsed="false">
      <c r="A623" s="33" t="n">
        <v>5819</v>
      </c>
      <c r="B623" s="33" t="s">
        <v>1359</v>
      </c>
      <c r="C623" s="33" t="s">
        <v>1028</v>
      </c>
      <c r="D623" s="33"/>
      <c r="E623" s="33" t="n">
        <v>96</v>
      </c>
      <c r="F623" s="33" t="s">
        <v>2154</v>
      </c>
      <c r="G623" s="33" t="s">
        <v>445</v>
      </c>
      <c r="H623" s="33" t="n">
        <v>1</v>
      </c>
      <c r="I623" s="33" t="n">
        <v>1</v>
      </c>
      <c r="J623" s="33" t="n">
        <v>1</v>
      </c>
      <c r="K623" s="32" t="n">
        <v>300</v>
      </c>
      <c r="L623" s="33" t="str">
        <f aca="false">IF($B623="","",IFERROR(INDEX('Code Mapping'!$D$5:$D$1753,MATCH($B623,'Code Mapping'!$A$5:$A$1753,0)),"Unmapped"))</f>
        <v>Unmapped</v>
      </c>
      <c r="M623" s="33" t="str">
        <f aca="false">IF($B623="","",IFERROR(INDEX('Code Mapping'!$E$5:$E$1753,MATCH($B623,'Code Mapping'!$A$5:$A$1753,0)),"Unmapped"))</f>
        <v>Unmapped</v>
      </c>
      <c r="N623" s="33" t="str">
        <f aca="false">IF($F623="","",$F623)</f>
        <v>InflataCity 2025</v>
      </c>
    </row>
    <row r="624" customFormat="false" ht="15" hidden="false" customHeight="false" outlineLevel="0" collapsed="false">
      <c r="A624" s="33" t="n">
        <v>5817</v>
      </c>
      <c r="B624" s="33" t="s">
        <v>1358</v>
      </c>
      <c r="C624" s="33" t="s">
        <v>1028</v>
      </c>
      <c r="D624" s="33"/>
      <c r="E624" s="33" t="n">
        <v>96</v>
      </c>
      <c r="F624" s="33" t="s">
        <v>2154</v>
      </c>
      <c r="G624" s="33" t="s">
        <v>445</v>
      </c>
      <c r="H624" s="33" t="n">
        <v>1</v>
      </c>
      <c r="I624" s="33" t="n">
        <v>1</v>
      </c>
      <c r="J624" s="33" t="n">
        <v>1</v>
      </c>
      <c r="K624" s="32" t="n">
        <v>300</v>
      </c>
      <c r="L624" s="33" t="str">
        <f aca="false">IF($B624="","",IFERROR(INDEX('Code Mapping'!$D$5:$D$1753,MATCH($B624,'Code Mapping'!$A$5:$A$1753,0)),"Unmapped"))</f>
        <v>Unmapped</v>
      </c>
      <c r="M624" s="33" t="str">
        <f aca="false">IF($B624="","",IFERROR(INDEX('Code Mapping'!$E$5:$E$1753,MATCH($B624,'Code Mapping'!$A$5:$A$1753,0)),"Unmapped"))</f>
        <v>Unmapped</v>
      </c>
      <c r="N624" s="33" t="str">
        <f aca="false">IF($F624="","",$F624)</f>
        <v>InflataCity 2025</v>
      </c>
    </row>
    <row r="625" customFormat="false" ht="15" hidden="false" customHeight="false" outlineLevel="0" collapsed="false">
      <c r="A625" s="33" t="n">
        <v>6537</v>
      </c>
      <c r="B625" s="33" t="s">
        <v>1357</v>
      </c>
      <c r="C625" s="33" t="s">
        <v>1026</v>
      </c>
      <c r="D625" s="33"/>
      <c r="E625" s="33" t="n">
        <v>96</v>
      </c>
      <c r="F625" s="33" t="s">
        <v>2154</v>
      </c>
      <c r="G625" s="33" t="s">
        <v>445</v>
      </c>
      <c r="H625" s="33" t="n">
        <v>1</v>
      </c>
      <c r="I625" s="33" t="n">
        <v>1</v>
      </c>
      <c r="J625" s="33" t="n">
        <v>1</v>
      </c>
      <c r="K625" s="32" t="n">
        <v>75</v>
      </c>
      <c r="L625" s="33" t="str">
        <f aca="false">IF($B625="","",IFERROR(INDEX('Code Mapping'!$D$5:$D$1753,MATCH($B625,'Code Mapping'!$A$5:$A$1753,0)),"Unmapped"))</f>
        <v>Unmapped</v>
      </c>
      <c r="M625" s="33" t="str">
        <f aca="false">IF($B625="","",IFERROR(INDEX('Code Mapping'!$E$5:$E$1753,MATCH($B625,'Code Mapping'!$A$5:$A$1753,0)),"Unmapped"))</f>
        <v>Unmapped</v>
      </c>
      <c r="N625" s="33" t="str">
        <f aca="false">IF($F625="","",$F625)</f>
        <v>InflataCity 2025</v>
      </c>
    </row>
    <row r="626" customFormat="false" ht="15" hidden="false" customHeight="false" outlineLevel="0" collapsed="false">
      <c r="A626" s="33" t="n">
        <v>6148</v>
      </c>
      <c r="B626" s="33" t="s">
        <v>1356</v>
      </c>
      <c r="C626" s="33" t="s">
        <v>1032</v>
      </c>
      <c r="D626" s="33"/>
      <c r="E626" s="33" t="n">
        <v>96</v>
      </c>
      <c r="F626" s="33" t="s">
        <v>2154</v>
      </c>
      <c r="G626" s="33" t="s">
        <v>445</v>
      </c>
      <c r="H626" s="33" t="n">
        <v>1</v>
      </c>
      <c r="I626" s="33" t="n">
        <v>1</v>
      </c>
      <c r="J626" s="33" t="n">
        <v>1</v>
      </c>
      <c r="K626" s="32" t="n">
        <v>350</v>
      </c>
      <c r="L626" s="33" t="str">
        <f aca="false">IF($B626="","",IFERROR(INDEX('Code Mapping'!$D$5:$D$1753,MATCH($B626,'Code Mapping'!$A$5:$A$1753,0)),"Unmapped"))</f>
        <v>Unmapped</v>
      </c>
      <c r="M626" s="33" t="str">
        <f aca="false">IF($B626="","",IFERROR(INDEX('Code Mapping'!$E$5:$E$1753,MATCH($B626,'Code Mapping'!$A$5:$A$1753,0)),"Unmapped"))</f>
        <v>Unmapped</v>
      </c>
      <c r="N626" s="33" t="str">
        <f aca="false">IF($F626="","",$F626)</f>
        <v>InflataCity 2025</v>
      </c>
    </row>
    <row r="627" customFormat="false" ht="15" hidden="false" customHeight="false" outlineLevel="0" collapsed="false">
      <c r="A627" s="33" t="n">
        <v>6406</v>
      </c>
      <c r="B627" s="33" t="s">
        <v>1355</v>
      </c>
      <c r="C627" s="33" t="s">
        <v>1026</v>
      </c>
      <c r="D627" s="33"/>
      <c r="E627" s="33" t="n">
        <v>96</v>
      </c>
      <c r="F627" s="33" t="s">
        <v>2154</v>
      </c>
      <c r="G627" s="33" t="s">
        <v>445</v>
      </c>
      <c r="H627" s="33" t="n">
        <v>1</v>
      </c>
      <c r="I627" s="33" t="n">
        <v>1</v>
      </c>
      <c r="J627" s="33" t="n">
        <v>1</v>
      </c>
      <c r="K627" s="32" t="n">
        <v>75</v>
      </c>
      <c r="L627" s="33" t="str">
        <f aca="false">IF($B627="","",IFERROR(INDEX('Code Mapping'!$D$5:$D$1753,MATCH($B627,'Code Mapping'!$A$5:$A$1753,0)),"Unmapped"))</f>
        <v>Unmapped</v>
      </c>
      <c r="M627" s="33" t="str">
        <f aca="false">IF($B627="","",IFERROR(INDEX('Code Mapping'!$E$5:$E$1753,MATCH($B627,'Code Mapping'!$A$5:$A$1753,0)),"Unmapped"))</f>
        <v>Unmapped</v>
      </c>
      <c r="N627" s="33" t="str">
        <f aca="false">IF($F627="","",$F627)</f>
        <v>InflataCity 2025</v>
      </c>
    </row>
    <row r="628" customFormat="false" ht="15" hidden="false" customHeight="false" outlineLevel="0" collapsed="false">
      <c r="A628" s="33" t="n">
        <v>6513</v>
      </c>
      <c r="B628" s="33" t="s">
        <v>1354</v>
      </c>
      <c r="C628" s="33" t="s">
        <v>1026</v>
      </c>
      <c r="D628" s="33"/>
      <c r="E628" s="33" t="n">
        <v>96</v>
      </c>
      <c r="F628" s="33" t="s">
        <v>2154</v>
      </c>
      <c r="G628" s="33" t="s">
        <v>445</v>
      </c>
      <c r="H628" s="33" t="n">
        <v>1</v>
      </c>
      <c r="I628" s="33" t="n">
        <v>1</v>
      </c>
      <c r="J628" s="33" t="n">
        <v>1</v>
      </c>
      <c r="K628" s="32" t="n">
        <v>75</v>
      </c>
      <c r="L628" s="33" t="str">
        <f aca="false">IF($B628="","",IFERROR(INDEX('Code Mapping'!$D$5:$D$1753,MATCH($B628,'Code Mapping'!$A$5:$A$1753,0)),"Unmapped"))</f>
        <v>Unmapped</v>
      </c>
      <c r="M628" s="33" t="str">
        <f aca="false">IF($B628="","",IFERROR(INDEX('Code Mapping'!$E$5:$E$1753,MATCH($B628,'Code Mapping'!$A$5:$A$1753,0)),"Unmapped"))</f>
        <v>Unmapped</v>
      </c>
      <c r="N628" s="33" t="str">
        <f aca="false">IF($F628="","",$F628)</f>
        <v>InflataCity 2025</v>
      </c>
    </row>
    <row r="629" customFormat="false" ht="15" hidden="false" customHeight="false" outlineLevel="0" collapsed="false">
      <c r="A629" s="33" t="n">
        <v>6652</v>
      </c>
      <c r="B629" s="33" t="s">
        <v>1353</v>
      </c>
      <c r="C629" s="33" t="s">
        <v>1026</v>
      </c>
      <c r="D629" s="33"/>
      <c r="E629" s="33" t="n">
        <v>96</v>
      </c>
      <c r="F629" s="33" t="s">
        <v>2154</v>
      </c>
      <c r="G629" s="33" t="s">
        <v>445</v>
      </c>
      <c r="H629" s="33" t="n">
        <v>1</v>
      </c>
      <c r="I629" s="33" t="n">
        <v>1</v>
      </c>
      <c r="J629" s="33" t="n">
        <v>1</v>
      </c>
      <c r="K629" s="32" t="n">
        <v>75</v>
      </c>
      <c r="L629" s="33" t="str">
        <f aca="false">IF($B629="","",IFERROR(INDEX('Code Mapping'!$D$5:$D$1753,MATCH($B629,'Code Mapping'!$A$5:$A$1753,0)),"Unmapped"))</f>
        <v>Unmapped</v>
      </c>
      <c r="M629" s="33" t="str">
        <f aca="false">IF($B629="","",IFERROR(INDEX('Code Mapping'!$E$5:$E$1753,MATCH($B629,'Code Mapping'!$A$5:$A$1753,0)),"Unmapped"))</f>
        <v>Unmapped</v>
      </c>
      <c r="N629" s="33" t="str">
        <f aca="false">IF($F629="","",$F629)</f>
        <v>InflataCity 2025</v>
      </c>
    </row>
    <row r="630" customFormat="false" ht="15" hidden="false" customHeight="false" outlineLevel="0" collapsed="false">
      <c r="A630" s="33" t="n">
        <v>5718</v>
      </c>
      <c r="B630" s="33" t="s">
        <v>1453</v>
      </c>
      <c r="C630" s="33" t="s">
        <v>1028</v>
      </c>
      <c r="D630" s="33"/>
      <c r="E630" s="33" t="n">
        <v>96</v>
      </c>
      <c r="F630" s="33" t="s">
        <v>2154</v>
      </c>
      <c r="G630" s="33" t="s">
        <v>445</v>
      </c>
      <c r="H630" s="33" t="n">
        <v>1</v>
      </c>
      <c r="I630" s="33" t="n">
        <v>1</v>
      </c>
      <c r="J630" s="33" t="n">
        <v>1</v>
      </c>
      <c r="K630" s="32" t="n">
        <v>300</v>
      </c>
      <c r="L630" s="33" t="str">
        <f aca="false">IF($B630="","",IFERROR(INDEX('Code Mapping'!$D$5:$D$1753,MATCH($B630,'Code Mapping'!$A$5:$A$1753,0)),"Unmapped"))</f>
        <v>Unmapped</v>
      </c>
      <c r="M630" s="33" t="str">
        <f aca="false">IF($B630="","",IFERROR(INDEX('Code Mapping'!$E$5:$E$1753,MATCH($B630,'Code Mapping'!$A$5:$A$1753,0)),"Unmapped"))</f>
        <v>Unmapped</v>
      </c>
      <c r="N630" s="33" t="str">
        <f aca="false">IF($F630="","",$F630)</f>
        <v>InflataCity 2025</v>
      </c>
    </row>
    <row r="631" customFormat="false" ht="15" hidden="false" customHeight="false" outlineLevel="0" collapsed="false">
      <c r="A631" s="33" t="n">
        <v>6164</v>
      </c>
      <c r="B631" s="33" t="s">
        <v>1522</v>
      </c>
      <c r="C631" s="33" t="s">
        <v>1032</v>
      </c>
      <c r="D631" s="33"/>
      <c r="E631" s="33" t="n">
        <v>96</v>
      </c>
      <c r="F631" s="33" t="s">
        <v>2154</v>
      </c>
      <c r="G631" s="33" t="s">
        <v>445</v>
      </c>
      <c r="H631" s="33" t="n">
        <v>1</v>
      </c>
      <c r="I631" s="33" t="n">
        <v>1</v>
      </c>
      <c r="J631" s="33" t="n">
        <v>1</v>
      </c>
      <c r="K631" s="32" t="n">
        <v>350</v>
      </c>
      <c r="L631" s="33" t="str">
        <f aca="false">IF($B631="","",IFERROR(INDEX('Code Mapping'!$D$5:$D$1753,MATCH($B631,'Code Mapping'!$A$5:$A$1753,0)),"Unmapped"))</f>
        <v>Unmapped</v>
      </c>
      <c r="M631" s="33" t="str">
        <f aca="false">IF($B631="","",IFERROR(INDEX('Code Mapping'!$E$5:$E$1753,MATCH($B631,'Code Mapping'!$A$5:$A$1753,0)),"Unmapped"))</f>
        <v>Unmapped</v>
      </c>
      <c r="N631" s="33" t="str">
        <f aca="false">IF($F631="","",$F631)</f>
        <v>InflataCity 2025</v>
      </c>
    </row>
    <row r="632" customFormat="false" ht="15" hidden="false" customHeight="false" outlineLevel="0" collapsed="false">
      <c r="A632" s="33" t="n">
        <v>5857</v>
      </c>
      <c r="B632" s="33" t="s">
        <v>1455</v>
      </c>
      <c r="C632" s="33" t="s">
        <v>1028</v>
      </c>
      <c r="D632" s="33"/>
      <c r="E632" s="33" t="n">
        <v>96</v>
      </c>
      <c r="F632" s="33" t="s">
        <v>2154</v>
      </c>
      <c r="G632" s="33" t="s">
        <v>445</v>
      </c>
      <c r="H632" s="33" t="n">
        <v>1</v>
      </c>
      <c r="I632" s="33" t="n">
        <v>1</v>
      </c>
      <c r="J632" s="33" t="n">
        <v>1</v>
      </c>
      <c r="K632" s="32" t="n">
        <v>300</v>
      </c>
      <c r="L632" s="33" t="str">
        <f aca="false">IF($B632="","",IFERROR(INDEX('Code Mapping'!$D$5:$D$1753,MATCH($B632,'Code Mapping'!$A$5:$A$1753,0)),"Unmapped"))</f>
        <v>Unmapped</v>
      </c>
      <c r="M632" s="33" t="str">
        <f aca="false">IF($B632="","",IFERROR(INDEX('Code Mapping'!$E$5:$E$1753,MATCH($B632,'Code Mapping'!$A$5:$A$1753,0)),"Unmapped"))</f>
        <v>Unmapped</v>
      </c>
      <c r="N632" s="33" t="str">
        <f aca="false">IF($F632="","",$F632)</f>
        <v>InflataCity 2025</v>
      </c>
    </row>
    <row r="633" customFormat="false" ht="15" hidden="false" customHeight="false" outlineLevel="0" collapsed="false">
      <c r="A633" s="33" t="n">
        <v>5590</v>
      </c>
      <c r="B633" s="33" t="s">
        <v>1531</v>
      </c>
      <c r="C633" s="33" t="s">
        <v>1028</v>
      </c>
      <c r="D633" s="33"/>
      <c r="E633" s="33" t="n">
        <v>96</v>
      </c>
      <c r="F633" s="33" t="s">
        <v>2154</v>
      </c>
      <c r="G633" s="33" t="s">
        <v>445</v>
      </c>
      <c r="H633" s="33" t="n">
        <v>1</v>
      </c>
      <c r="I633" s="33" t="n">
        <v>1</v>
      </c>
      <c r="J633" s="33" t="n">
        <v>1</v>
      </c>
      <c r="K633" s="32" t="n">
        <v>300</v>
      </c>
      <c r="L633" s="33" t="str">
        <f aca="false">IF($B633="","",IFERROR(INDEX('Code Mapping'!$D$5:$D$1753,MATCH($B633,'Code Mapping'!$A$5:$A$1753,0)),"Unmapped"))</f>
        <v>Unmapped</v>
      </c>
      <c r="M633" s="33" t="str">
        <f aca="false">IF($B633="","",IFERROR(INDEX('Code Mapping'!$E$5:$E$1753,MATCH($B633,'Code Mapping'!$A$5:$A$1753,0)),"Unmapped"))</f>
        <v>Unmapped</v>
      </c>
      <c r="N633" s="33" t="str">
        <f aca="false">IF($F633="","",$F633)</f>
        <v>InflataCity 2025</v>
      </c>
    </row>
    <row r="634" customFormat="false" ht="15" hidden="false" customHeight="false" outlineLevel="0" collapsed="false">
      <c r="A634" s="33" t="n">
        <v>5522</v>
      </c>
      <c r="B634" s="33" t="s">
        <v>1775</v>
      </c>
      <c r="C634" s="33" t="s">
        <v>1776</v>
      </c>
      <c r="D634" s="33"/>
      <c r="E634" s="33" t="n">
        <v>94</v>
      </c>
      <c r="F634" s="33" t="s">
        <v>2153</v>
      </c>
      <c r="G634" s="33" t="s">
        <v>445</v>
      </c>
      <c r="H634" s="33" t="n">
        <v>1</v>
      </c>
      <c r="I634" s="33" t="n">
        <v>2</v>
      </c>
      <c r="J634" s="33" t="n">
        <v>2</v>
      </c>
      <c r="K634" s="32" t="n">
        <v>67.5</v>
      </c>
      <c r="L634" s="33" t="str">
        <f aca="false">IF($B634="","",IFERROR(INDEX('Code Mapping'!$D$5:$D$1753,MATCH($B634,'Code Mapping'!$A$5:$A$1753,0)),"Unmapped"))</f>
        <v>Al Jazeera Imtiyazat</v>
      </c>
      <c r="M634" s="33" t="str">
        <f aca="false">IF($B634="","",IFERROR(INDEX('Code Mapping'!$E$5:$E$1753,MATCH($B634,'Code Mapping'!$A$5:$A$1753,0)),"Unmapped"))</f>
        <v>Corporate discount</v>
      </c>
      <c r="N634" s="33" t="str">
        <f aca="false">IF($F634="","",$F634)</f>
        <v>Driving School</v>
      </c>
    </row>
    <row r="635" customFormat="false" ht="15" hidden="false" customHeight="false" outlineLevel="0" collapsed="false">
      <c r="A635" s="33" t="n">
        <v>5538</v>
      </c>
      <c r="B635" s="33" t="s">
        <v>247</v>
      </c>
      <c r="C635" s="33" t="s">
        <v>248</v>
      </c>
      <c r="D635" s="33"/>
      <c r="E635" s="33" t="n">
        <v>91</v>
      </c>
      <c r="F635" s="33" t="s">
        <v>36</v>
      </c>
      <c r="G635" s="33" t="s">
        <v>445</v>
      </c>
      <c r="H635" s="33" t="n">
        <v>23</v>
      </c>
      <c r="I635" s="33" t="n">
        <v>67</v>
      </c>
      <c r="J635" s="33" t="n">
        <v>67</v>
      </c>
      <c r="K635" s="32" t="n">
        <v>732.75</v>
      </c>
      <c r="L635" s="33" t="str">
        <f aca="false">IF($B635="","",IFERROR(INDEX('Code Mapping'!$D$5:$D$1753,MATCH($B635,'Code Mapping'!$A$5:$A$1753,0)),"Unmapped"))</f>
        <v>Internal / promotion</v>
      </c>
      <c r="M635" s="33" t="str">
        <f aca="false">IF($B635="","",IFERROR(INDEX('Code Mapping'!$E$5:$E$1753,MATCH($B635,'Code Mapping'!$A$5:$A$1753,0)),"Unmapped"))</f>
        <v>Internal / promotion</v>
      </c>
      <c r="N635" s="33" t="str">
        <f aca="false">IF($F635="","",$F635)</f>
        <v>InflataPark</v>
      </c>
    </row>
    <row r="636" customFormat="false" ht="15" hidden="false" customHeight="false" outlineLevel="0" collapsed="false">
      <c r="A636" s="33" t="n">
        <v>5791</v>
      </c>
      <c r="B636" s="33" t="s">
        <v>1541</v>
      </c>
      <c r="C636" s="33" t="s">
        <v>1028</v>
      </c>
      <c r="D636" s="33"/>
      <c r="E636" s="33" t="n">
        <v>96</v>
      </c>
      <c r="F636" s="33" t="s">
        <v>2154</v>
      </c>
      <c r="G636" s="33" t="s">
        <v>445</v>
      </c>
      <c r="H636" s="33" t="n">
        <v>1</v>
      </c>
      <c r="I636" s="33" t="n">
        <v>1</v>
      </c>
      <c r="J636" s="33" t="n">
        <v>1</v>
      </c>
      <c r="K636" s="32" t="n">
        <v>300</v>
      </c>
      <c r="L636" s="33" t="str">
        <f aca="false">IF($B636="","",IFERROR(INDEX('Code Mapping'!$D$5:$D$1753,MATCH($B636,'Code Mapping'!$A$5:$A$1753,0)),"Unmapped"))</f>
        <v>Unmapped</v>
      </c>
      <c r="M636" s="33" t="str">
        <f aca="false">IF($B636="","",IFERROR(INDEX('Code Mapping'!$E$5:$E$1753,MATCH($B636,'Code Mapping'!$A$5:$A$1753,0)),"Unmapped"))</f>
        <v>Unmapped</v>
      </c>
      <c r="N636" s="33" t="str">
        <f aca="false">IF($F636="","",$F636)</f>
        <v>InflataCity 2025</v>
      </c>
    </row>
    <row r="637" customFormat="false" ht="15" hidden="false" customHeight="false" outlineLevel="0" collapsed="false">
      <c r="A637" s="33" t="n">
        <v>5574</v>
      </c>
      <c r="B637" s="33" t="s">
        <v>1540</v>
      </c>
      <c r="C637" s="33" t="s">
        <v>1028</v>
      </c>
      <c r="D637" s="33"/>
      <c r="E637" s="33" t="n">
        <v>96</v>
      </c>
      <c r="F637" s="33" t="s">
        <v>2154</v>
      </c>
      <c r="G637" s="33" t="s">
        <v>445</v>
      </c>
      <c r="H637" s="33" t="n">
        <v>1</v>
      </c>
      <c r="I637" s="33" t="n">
        <v>1</v>
      </c>
      <c r="J637" s="33" t="n">
        <v>1</v>
      </c>
      <c r="K637" s="32" t="n">
        <v>300</v>
      </c>
      <c r="L637" s="33" t="str">
        <f aca="false">IF($B637="","",IFERROR(INDEX('Code Mapping'!$D$5:$D$1753,MATCH($B637,'Code Mapping'!$A$5:$A$1753,0)),"Unmapped"))</f>
        <v>Unmapped</v>
      </c>
      <c r="M637" s="33" t="str">
        <f aca="false">IF($B637="","",IFERROR(INDEX('Code Mapping'!$E$5:$E$1753,MATCH($B637,'Code Mapping'!$A$5:$A$1753,0)),"Unmapped"))</f>
        <v>Unmapped</v>
      </c>
      <c r="N637" s="33" t="str">
        <f aca="false">IF($F637="","",$F637)</f>
        <v>InflataCity 2025</v>
      </c>
    </row>
    <row r="638" customFormat="false" ht="15" hidden="false" customHeight="false" outlineLevel="0" collapsed="false">
      <c r="A638" s="33" t="n">
        <v>6152</v>
      </c>
      <c r="B638" s="33" t="s">
        <v>1539</v>
      </c>
      <c r="C638" s="33" t="s">
        <v>1032</v>
      </c>
      <c r="D638" s="33"/>
      <c r="E638" s="33" t="n">
        <v>96</v>
      </c>
      <c r="F638" s="33" t="s">
        <v>2154</v>
      </c>
      <c r="G638" s="33" t="s">
        <v>445</v>
      </c>
      <c r="H638" s="33" t="n">
        <v>1</v>
      </c>
      <c r="I638" s="33" t="n">
        <v>1</v>
      </c>
      <c r="J638" s="33" t="n">
        <v>1</v>
      </c>
      <c r="K638" s="32" t="n">
        <v>350</v>
      </c>
      <c r="L638" s="33" t="str">
        <f aca="false">IF($B638="","",IFERROR(INDEX('Code Mapping'!$D$5:$D$1753,MATCH($B638,'Code Mapping'!$A$5:$A$1753,0)),"Unmapped"))</f>
        <v>Unmapped</v>
      </c>
      <c r="M638" s="33" t="str">
        <f aca="false">IF($B638="","",IFERROR(INDEX('Code Mapping'!$E$5:$E$1753,MATCH($B638,'Code Mapping'!$A$5:$A$1753,0)),"Unmapped"))</f>
        <v>Unmapped</v>
      </c>
      <c r="N638" s="33" t="str">
        <f aca="false">IF($F638="","",$F638)</f>
        <v>InflataCity 2025</v>
      </c>
    </row>
    <row r="639" customFormat="false" ht="15" hidden="false" customHeight="false" outlineLevel="0" collapsed="false">
      <c r="A639" s="33" t="n">
        <v>6224</v>
      </c>
      <c r="B639" s="33" t="s">
        <v>1538</v>
      </c>
      <c r="C639" s="33" t="s">
        <v>1032</v>
      </c>
      <c r="D639" s="33"/>
      <c r="E639" s="33" t="n">
        <v>96</v>
      </c>
      <c r="F639" s="33" t="s">
        <v>2154</v>
      </c>
      <c r="G639" s="33" t="s">
        <v>445</v>
      </c>
      <c r="H639" s="33" t="n">
        <v>1</v>
      </c>
      <c r="I639" s="33" t="n">
        <v>1</v>
      </c>
      <c r="J639" s="33" t="n">
        <v>1</v>
      </c>
      <c r="K639" s="32" t="n">
        <v>350</v>
      </c>
      <c r="L639" s="33" t="str">
        <f aca="false">IF($B639="","",IFERROR(INDEX('Code Mapping'!$D$5:$D$1753,MATCH($B639,'Code Mapping'!$A$5:$A$1753,0)),"Unmapped"))</f>
        <v>Unmapped</v>
      </c>
      <c r="M639" s="33" t="str">
        <f aca="false">IF($B639="","",IFERROR(INDEX('Code Mapping'!$E$5:$E$1753,MATCH($B639,'Code Mapping'!$A$5:$A$1753,0)),"Unmapped"))</f>
        <v>Unmapped</v>
      </c>
      <c r="N639" s="33" t="str">
        <f aca="false">IF($F639="","",$F639)</f>
        <v>InflataCity 2025</v>
      </c>
    </row>
    <row r="640" customFormat="false" ht="15" hidden="false" customHeight="false" outlineLevel="0" collapsed="false">
      <c r="A640" s="33" t="n">
        <v>5743</v>
      </c>
      <c r="B640" s="33" t="s">
        <v>1537</v>
      </c>
      <c r="C640" s="33" t="s">
        <v>1028</v>
      </c>
      <c r="D640" s="33"/>
      <c r="E640" s="33" t="n">
        <v>96</v>
      </c>
      <c r="F640" s="33" t="s">
        <v>2154</v>
      </c>
      <c r="G640" s="33" t="s">
        <v>445</v>
      </c>
      <c r="H640" s="33" t="n">
        <v>1</v>
      </c>
      <c r="I640" s="33" t="n">
        <v>1</v>
      </c>
      <c r="J640" s="33" t="n">
        <v>1</v>
      </c>
      <c r="K640" s="32" t="n">
        <v>300</v>
      </c>
      <c r="L640" s="33" t="str">
        <f aca="false">IF($B640="","",IFERROR(INDEX('Code Mapping'!$D$5:$D$1753,MATCH($B640,'Code Mapping'!$A$5:$A$1753,0)),"Unmapped"))</f>
        <v>Unmapped</v>
      </c>
      <c r="M640" s="33" t="str">
        <f aca="false">IF($B640="","",IFERROR(INDEX('Code Mapping'!$E$5:$E$1753,MATCH($B640,'Code Mapping'!$A$5:$A$1753,0)),"Unmapped"))</f>
        <v>Unmapped</v>
      </c>
      <c r="N640" s="33" t="str">
        <f aca="false">IF($F640="","",$F640)</f>
        <v>InflataCity 2025</v>
      </c>
    </row>
    <row r="641" customFormat="false" ht="15" hidden="false" customHeight="false" outlineLevel="0" collapsed="false">
      <c r="A641" s="33" t="n">
        <v>6209</v>
      </c>
      <c r="B641" s="33" t="s">
        <v>1536</v>
      </c>
      <c r="C641" s="33" t="s">
        <v>1032</v>
      </c>
      <c r="D641" s="33"/>
      <c r="E641" s="33" t="n">
        <v>96</v>
      </c>
      <c r="F641" s="33" t="s">
        <v>2154</v>
      </c>
      <c r="G641" s="33" t="s">
        <v>445</v>
      </c>
      <c r="H641" s="33" t="n">
        <v>1</v>
      </c>
      <c r="I641" s="33" t="n">
        <v>1</v>
      </c>
      <c r="J641" s="33" t="n">
        <v>1</v>
      </c>
      <c r="K641" s="32" t="n">
        <v>350</v>
      </c>
      <c r="L641" s="33" t="str">
        <f aca="false">IF($B641="","",IFERROR(INDEX('Code Mapping'!$D$5:$D$1753,MATCH($B641,'Code Mapping'!$A$5:$A$1753,0)),"Unmapped"))</f>
        <v>Unmapped</v>
      </c>
      <c r="M641" s="33" t="str">
        <f aca="false">IF($B641="","",IFERROR(INDEX('Code Mapping'!$E$5:$E$1753,MATCH($B641,'Code Mapping'!$A$5:$A$1753,0)),"Unmapped"))</f>
        <v>Unmapped</v>
      </c>
      <c r="N641" s="33" t="str">
        <f aca="false">IF($F641="","",$F641)</f>
        <v>InflataCity 2025</v>
      </c>
    </row>
    <row r="642" customFormat="false" ht="15" hidden="false" customHeight="false" outlineLevel="0" collapsed="false">
      <c r="A642" s="33" t="n">
        <v>6141</v>
      </c>
      <c r="B642" s="33" t="s">
        <v>1535</v>
      </c>
      <c r="C642" s="33" t="s">
        <v>1032</v>
      </c>
      <c r="D642" s="33"/>
      <c r="E642" s="33" t="n">
        <v>96</v>
      </c>
      <c r="F642" s="33" t="s">
        <v>2154</v>
      </c>
      <c r="G642" s="33" t="s">
        <v>445</v>
      </c>
      <c r="H642" s="33" t="n">
        <v>1</v>
      </c>
      <c r="I642" s="33" t="n">
        <v>1</v>
      </c>
      <c r="J642" s="33" t="n">
        <v>1</v>
      </c>
      <c r="K642" s="32" t="n">
        <v>350</v>
      </c>
      <c r="L642" s="33" t="str">
        <f aca="false">IF($B642="","",IFERROR(INDEX('Code Mapping'!$D$5:$D$1753,MATCH($B642,'Code Mapping'!$A$5:$A$1753,0)),"Unmapped"))</f>
        <v>Unmapped</v>
      </c>
      <c r="M642" s="33" t="str">
        <f aca="false">IF($B642="","",IFERROR(INDEX('Code Mapping'!$E$5:$E$1753,MATCH($B642,'Code Mapping'!$A$5:$A$1753,0)),"Unmapped"))</f>
        <v>Unmapped</v>
      </c>
      <c r="N642" s="33" t="str">
        <f aca="false">IF($F642="","",$F642)</f>
        <v>InflataCity 2025</v>
      </c>
    </row>
    <row r="643" customFormat="false" ht="15" hidden="false" customHeight="false" outlineLevel="0" collapsed="false">
      <c r="A643" s="33" t="n">
        <v>6252</v>
      </c>
      <c r="B643" s="33" t="s">
        <v>1534</v>
      </c>
      <c r="C643" s="33" t="s">
        <v>1032</v>
      </c>
      <c r="D643" s="33"/>
      <c r="E643" s="33" t="n">
        <v>96</v>
      </c>
      <c r="F643" s="33" t="s">
        <v>2154</v>
      </c>
      <c r="G643" s="33" t="s">
        <v>445</v>
      </c>
      <c r="H643" s="33" t="n">
        <v>1</v>
      </c>
      <c r="I643" s="33" t="n">
        <v>1</v>
      </c>
      <c r="J643" s="33" t="n">
        <v>1</v>
      </c>
      <c r="K643" s="32" t="n">
        <v>350</v>
      </c>
      <c r="L643" s="33" t="str">
        <f aca="false">IF($B643="","",IFERROR(INDEX('Code Mapping'!$D$5:$D$1753,MATCH($B643,'Code Mapping'!$A$5:$A$1753,0)),"Unmapped"))</f>
        <v>Unmapped</v>
      </c>
      <c r="M643" s="33" t="str">
        <f aca="false">IF($B643="","",IFERROR(INDEX('Code Mapping'!$E$5:$E$1753,MATCH($B643,'Code Mapping'!$A$5:$A$1753,0)),"Unmapped"))</f>
        <v>Unmapped</v>
      </c>
      <c r="N643" s="33" t="str">
        <f aca="false">IF($F643="","",$F643)</f>
        <v>InflataCity 2025</v>
      </c>
    </row>
    <row r="644" customFormat="false" ht="15" hidden="false" customHeight="false" outlineLevel="0" collapsed="false">
      <c r="A644" s="33" t="n">
        <v>5600</v>
      </c>
      <c r="B644" s="33" t="s">
        <v>1533</v>
      </c>
      <c r="C644" s="33" t="s">
        <v>1028</v>
      </c>
      <c r="D644" s="33"/>
      <c r="E644" s="33" t="n">
        <v>96</v>
      </c>
      <c r="F644" s="33" t="s">
        <v>2154</v>
      </c>
      <c r="G644" s="33" t="s">
        <v>445</v>
      </c>
      <c r="H644" s="33" t="n">
        <v>1</v>
      </c>
      <c r="I644" s="33" t="n">
        <v>1</v>
      </c>
      <c r="J644" s="33" t="n">
        <v>1</v>
      </c>
      <c r="K644" s="32" t="n">
        <v>300</v>
      </c>
      <c r="L644" s="33" t="str">
        <f aca="false">IF($B644="","",IFERROR(INDEX('Code Mapping'!$D$5:$D$1753,MATCH($B644,'Code Mapping'!$A$5:$A$1753,0)),"Unmapped"))</f>
        <v>Unmapped</v>
      </c>
      <c r="M644" s="33" t="str">
        <f aca="false">IF($B644="","",IFERROR(INDEX('Code Mapping'!$E$5:$E$1753,MATCH($B644,'Code Mapping'!$A$5:$A$1753,0)),"Unmapped"))</f>
        <v>Unmapped</v>
      </c>
      <c r="N644" s="33" t="str">
        <f aca="false">IF($F644="","",$F644)</f>
        <v>InflataCity 2025</v>
      </c>
    </row>
    <row r="645" customFormat="false" ht="15" hidden="false" customHeight="false" outlineLevel="0" collapsed="false">
      <c r="A645" s="33" t="n">
        <v>6544</v>
      </c>
      <c r="B645" s="33" t="s">
        <v>1532</v>
      </c>
      <c r="C645" s="33" t="s">
        <v>1026</v>
      </c>
      <c r="D645" s="33"/>
      <c r="E645" s="33" t="n">
        <v>96</v>
      </c>
      <c r="F645" s="33" t="s">
        <v>2154</v>
      </c>
      <c r="G645" s="33" t="s">
        <v>445</v>
      </c>
      <c r="H645" s="33" t="n">
        <v>1</v>
      </c>
      <c r="I645" s="33" t="n">
        <v>1</v>
      </c>
      <c r="J645" s="33" t="n">
        <v>1</v>
      </c>
      <c r="K645" s="32" t="n">
        <v>75</v>
      </c>
      <c r="L645" s="33" t="str">
        <f aca="false">IF($B645="","",IFERROR(INDEX('Code Mapping'!$D$5:$D$1753,MATCH($B645,'Code Mapping'!$A$5:$A$1753,0)),"Unmapped"))</f>
        <v>Unmapped</v>
      </c>
      <c r="M645" s="33" t="str">
        <f aca="false">IF($B645="","",IFERROR(INDEX('Code Mapping'!$E$5:$E$1753,MATCH($B645,'Code Mapping'!$A$5:$A$1753,0)),"Unmapped"))</f>
        <v>Unmapped</v>
      </c>
      <c r="N645" s="33" t="str">
        <f aca="false">IF($F645="","",$F645)</f>
        <v>InflataCity 2025</v>
      </c>
    </row>
    <row r="646" customFormat="false" ht="15" hidden="false" customHeight="false" outlineLevel="0" collapsed="false">
      <c r="A646" s="33" t="n">
        <v>5812</v>
      </c>
      <c r="B646" s="33" t="s">
        <v>1530</v>
      </c>
      <c r="C646" s="33" t="s">
        <v>1028</v>
      </c>
      <c r="D646" s="33"/>
      <c r="E646" s="33" t="n">
        <v>96</v>
      </c>
      <c r="F646" s="33" t="s">
        <v>2154</v>
      </c>
      <c r="G646" s="33" t="s">
        <v>445</v>
      </c>
      <c r="H646" s="33" t="n">
        <v>1</v>
      </c>
      <c r="I646" s="33" t="n">
        <v>1</v>
      </c>
      <c r="J646" s="33" t="n">
        <v>1</v>
      </c>
      <c r="K646" s="32" t="n">
        <v>300</v>
      </c>
      <c r="L646" s="33" t="str">
        <f aca="false">IF($B646="","",IFERROR(INDEX('Code Mapping'!$D$5:$D$1753,MATCH($B646,'Code Mapping'!$A$5:$A$1753,0)),"Unmapped"))</f>
        <v>Unmapped</v>
      </c>
      <c r="M646" s="33" t="str">
        <f aca="false">IF($B646="","",IFERROR(INDEX('Code Mapping'!$E$5:$E$1753,MATCH($B646,'Code Mapping'!$A$5:$A$1753,0)),"Unmapped"))</f>
        <v>Unmapped</v>
      </c>
      <c r="N646" s="33" t="str">
        <f aca="false">IF($F646="","",$F646)</f>
        <v>InflataCity 2025</v>
      </c>
    </row>
    <row r="647" customFormat="false" ht="15" hidden="false" customHeight="false" outlineLevel="0" collapsed="false">
      <c r="A647" s="33" t="n">
        <v>6231</v>
      </c>
      <c r="B647" s="33" t="s">
        <v>1515</v>
      </c>
      <c r="C647" s="33" t="s">
        <v>1032</v>
      </c>
      <c r="D647" s="33"/>
      <c r="E647" s="33" t="n">
        <v>96</v>
      </c>
      <c r="F647" s="33" t="s">
        <v>2154</v>
      </c>
      <c r="G647" s="33" t="s">
        <v>445</v>
      </c>
      <c r="H647" s="33" t="n">
        <v>1</v>
      </c>
      <c r="I647" s="33" t="n">
        <v>1</v>
      </c>
      <c r="J647" s="33" t="n">
        <v>1</v>
      </c>
      <c r="K647" s="32" t="n">
        <v>350</v>
      </c>
      <c r="L647" s="33" t="str">
        <f aca="false">IF($B647="","",IFERROR(INDEX('Code Mapping'!$D$5:$D$1753,MATCH($B647,'Code Mapping'!$A$5:$A$1753,0)),"Unmapped"))</f>
        <v>Unmapped</v>
      </c>
      <c r="M647" s="33" t="str">
        <f aca="false">IF($B647="","",IFERROR(INDEX('Code Mapping'!$E$5:$E$1753,MATCH($B647,'Code Mapping'!$A$5:$A$1753,0)),"Unmapped"))</f>
        <v>Unmapped</v>
      </c>
      <c r="N647" s="33" t="str">
        <f aca="false">IF($F647="","",$F647)</f>
        <v>InflataCity 2025</v>
      </c>
    </row>
    <row r="648" customFormat="false" ht="15" hidden="false" customHeight="false" outlineLevel="0" collapsed="false">
      <c r="A648" s="33" t="n">
        <v>6165</v>
      </c>
      <c r="B648" s="33" t="s">
        <v>1529</v>
      </c>
      <c r="C648" s="33" t="s">
        <v>1032</v>
      </c>
      <c r="D648" s="33"/>
      <c r="E648" s="33" t="n">
        <v>96</v>
      </c>
      <c r="F648" s="33" t="s">
        <v>2154</v>
      </c>
      <c r="G648" s="33" t="s">
        <v>445</v>
      </c>
      <c r="H648" s="33" t="n">
        <v>1</v>
      </c>
      <c r="I648" s="33" t="n">
        <v>1</v>
      </c>
      <c r="J648" s="33" t="n">
        <v>1</v>
      </c>
      <c r="K648" s="32" t="n">
        <v>350</v>
      </c>
      <c r="L648" s="33" t="str">
        <f aca="false">IF($B648="","",IFERROR(INDEX('Code Mapping'!$D$5:$D$1753,MATCH($B648,'Code Mapping'!$A$5:$A$1753,0)),"Unmapped"))</f>
        <v>Unmapped</v>
      </c>
      <c r="M648" s="33" t="str">
        <f aca="false">IF($B648="","",IFERROR(INDEX('Code Mapping'!$E$5:$E$1753,MATCH($B648,'Code Mapping'!$A$5:$A$1753,0)),"Unmapped"))</f>
        <v>Unmapped</v>
      </c>
      <c r="N648" s="33" t="str">
        <f aca="false">IF($F648="","",$F648)</f>
        <v>InflataCity 2025</v>
      </c>
    </row>
    <row r="649" customFormat="false" ht="15" hidden="false" customHeight="false" outlineLevel="0" collapsed="false">
      <c r="A649" s="33" t="n">
        <v>6640</v>
      </c>
      <c r="B649" s="33" t="s">
        <v>1528</v>
      </c>
      <c r="C649" s="33" t="s">
        <v>1026</v>
      </c>
      <c r="D649" s="33"/>
      <c r="E649" s="33" t="n">
        <v>96</v>
      </c>
      <c r="F649" s="33" t="s">
        <v>2154</v>
      </c>
      <c r="G649" s="33" t="s">
        <v>445</v>
      </c>
      <c r="H649" s="33" t="n">
        <v>1</v>
      </c>
      <c r="I649" s="33" t="n">
        <v>1</v>
      </c>
      <c r="J649" s="33" t="n">
        <v>1</v>
      </c>
      <c r="K649" s="32" t="n">
        <v>75</v>
      </c>
      <c r="L649" s="33" t="str">
        <f aca="false">IF($B649="","",IFERROR(INDEX('Code Mapping'!$D$5:$D$1753,MATCH($B649,'Code Mapping'!$A$5:$A$1753,0)),"Unmapped"))</f>
        <v>Unmapped</v>
      </c>
      <c r="M649" s="33" t="str">
        <f aca="false">IF($B649="","",IFERROR(INDEX('Code Mapping'!$E$5:$E$1753,MATCH($B649,'Code Mapping'!$A$5:$A$1753,0)),"Unmapped"))</f>
        <v>Unmapped</v>
      </c>
      <c r="N649" s="33" t="str">
        <f aca="false">IF($F649="","",$F649)</f>
        <v>InflataCity 2025</v>
      </c>
    </row>
    <row r="650" customFormat="false" ht="15" hidden="false" customHeight="false" outlineLevel="0" collapsed="false">
      <c r="A650" s="33" t="n">
        <v>5713</v>
      </c>
      <c r="B650" s="33" t="s">
        <v>1527</v>
      </c>
      <c r="C650" s="33" t="s">
        <v>1028</v>
      </c>
      <c r="D650" s="33"/>
      <c r="E650" s="33" t="n">
        <v>96</v>
      </c>
      <c r="F650" s="33" t="s">
        <v>2154</v>
      </c>
      <c r="G650" s="33" t="s">
        <v>445</v>
      </c>
      <c r="H650" s="33" t="n">
        <v>1</v>
      </c>
      <c r="I650" s="33" t="n">
        <v>1</v>
      </c>
      <c r="J650" s="33" t="n">
        <v>1</v>
      </c>
      <c r="K650" s="32" t="n">
        <v>300</v>
      </c>
      <c r="L650" s="33" t="str">
        <f aca="false">IF($B650="","",IFERROR(INDEX('Code Mapping'!$D$5:$D$1753,MATCH($B650,'Code Mapping'!$A$5:$A$1753,0)),"Unmapped"))</f>
        <v>Unmapped</v>
      </c>
      <c r="M650" s="33" t="str">
        <f aca="false">IF($B650="","",IFERROR(INDEX('Code Mapping'!$E$5:$E$1753,MATCH($B650,'Code Mapping'!$A$5:$A$1753,0)),"Unmapped"))</f>
        <v>Unmapped</v>
      </c>
      <c r="N650" s="33" t="str">
        <f aca="false">IF($F650="","",$F650)</f>
        <v>InflataCity 2025</v>
      </c>
    </row>
    <row r="651" customFormat="false" ht="15" hidden="false" customHeight="false" outlineLevel="0" collapsed="false">
      <c r="A651" s="33" t="n">
        <v>6445</v>
      </c>
      <c r="B651" s="33" t="s">
        <v>1526</v>
      </c>
      <c r="C651" s="33" t="s">
        <v>1026</v>
      </c>
      <c r="D651" s="33"/>
      <c r="E651" s="33" t="n">
        <v>96</v>
      </c>
      <c r="F651" s="33" t="s">
        <v>2154</v>
      </c>
      <c r="G651" s="33" t="s">
        <v>445</v>
      </c>
      <c r="H651" s="33" t="n">
        <v>1</v>
      </c>
      <c r="I651" s="33" t="n">
        <v>1</v>
      </c>
      <c r="J651" s="33" t="n">
        <v>1</v>
      </c>
      <c r="K651" s="32" t="n">
        <v>75</v>
      </c>
      <c r="L651" s="33" t="str">
        <f aca="false">IF($B651="","",IFERROR(INDEX('Code Mapping'!$D$5:$D$1753,MATCH($B651,'Code Mapping'!$A$5:$A$1753,0)),"Unmapped"))</f>
        <v>Unmapped</v>
      </c>
      <c r="M651" s="33" t="str">
        <f aca="false">IF($B651="","",IFERROR(INDEX('Code Mapping'!$E$5:$E$1753,MATCH($B651,'Code Mapping'!$A$5:$A$1753,0)),"Unmapped"))</f>
        <v>Unmapped</v>
      </c>
      <c r="N651" s="33" t="str">
        <f aca="false">IF($F651="","",$F651)</f>
        <v>InflataCity 2025</v>
      </c>
    </row>
    <row r="652" customFormat="false" ht="15" hidden="false" customHeight="false" outlineLevel="0" collapsed="false">
      <c r="A652" s="33" t="n">
        <v>5786</v>
      </c>
      <c r="B652" s="33" t="s">
        <v>1525</v>
      </c>
      <c r="C652" s="33" t="s">
        <v>1028</v>
      </c>
      <c r="D652" s="33"/>
      <c r="E652" s="33" t="n">
        <v>96</v>
      </c>
      <c r="F652" s="33" t="s">
        <v>2154</v>
      </c>
      <c r="G652" s="33" t="s">
        <v>445</v>
      </c>
      <c r="H652" s="33" t="n">
        <v>1</v>
      </c>
      <c r="I652" s="33" t="n">
        <v>1</v>
      </c>
      <c r="J652" s="33" t="n">
        <v>1</v>
      </c>
      <c r="K652" s="32" t="n">
        <v>300</v>
      </c>
      <c r="L652" s="33" t="str">
        <f aca="false">IF($B652="","",IFERROR(INDEX('Code Mapping'!$D$5:$D$1753,MATCH($B652,'Code Mapping'!$A$5:$A$1753,0)),"Unmapped"))</f>
        <v>Unmapped</v>
      </c>
      <c r="M652" s="33" t="str">
        <f aca="false">IF($B652="","",IFERROR(INDEX('Code Mapping'!$E$5:$E$1753,MATCH($B652,'Code Mapping'!$A$5:$A$1753,0)),"Unmapped"))</f>
        <v>Unmapped</v>
      </c>
      <c r="N652" s="33" t="str">
        <f aca="false">IF($F652="","",$F652)</f>
        <v>InflataCity 2025</v>
      </c>
    </row>
    <row r="653" customFormat="false" ht="15" hidden="false" customHeight="false" outlineLevel="0" collapsed="false">
      <c r="A653" s="33" t="n">
        <v>6256</v>
      </c>
      <c r="B653" s="33" t="s">
        <v>1524</v>
      </c>
      <c r="C653" s="33" t="s">
        <v>1032</v>
      </c>
      <c r="D653" s="33"/>
      <c r="E653" s="33" t="n">
        <v>96</v>
      </c>
      <c r="F653" s="33" t="s">
        <v>2154</v>
      </c>
      <c r="G653" s="33" t="s">
        <v>445</v>
      </c>
      <c r="H653" s="33" t="n">
        <v>1</v>
      </c>
      <c r="I653" s="33" t="n">
        <v>1</v>
      </c>
      <c r="J653" s="33" t="n">
        <v>1</v>
      </c>
      <c r="K653" s="32" t="n">
        <v>350</v>
      </c>
      <c r="L653" s="33" t="str">
        <f aca="false">IF($B653="","",IFERROR(INDEX('Code Mapping'!$D$5:$D$1753,MATCH($B653,'Code Mapping'!$A$5:$A$1753,0)),"Unmapped"))</f>
        <v>Unmapped</v>
      </c>
      <c r="M653" s="33" t="str">
        <f aca="false">IF($B653="","",IFERROR(INDEX('Code Mapping'!$E$5:$E$1753,MATCH($B653,'Code Mapping'!$A$5:$A$1753,0)),"Unmapped"))</f>
        <v>Unmapped</v>
      </c>
      <c r="N653" s="33" t="str">
        <f aca="false">IF($F653="","",$F653)</f>
        <v>InflataCity 2025</v>
      </c>
    </row>
    <row r="654" customFormat="false" ht="15" hidden="false" customHeight="false" outlineLevel="0" collapsed="false">
      <c r="A654" s="33" t="n">
        <v>6412</v>
      </c>
      <c r="B654" s="33" t="s">
        <v>1523</v>
      </c>
      <c r="C654" s="33" t="s">
        <v>1026</v>
      </c>
      <c r="D654" s="33"/>
      <c r="E654" s="33" t="n">
        <v>96</v>
      </c>
      <c r="F654" s="33" t="s">
        <v>2154</v>
      </c>
      <c r="G654" s="33" t="s">
        <v>445</v>
      </c>
      <c r="H654" s="33" t="n">
        <v>1</v>
      </c>
      <c r="I654" s="33" t="n">
        <v>1</v>
      </c>
      <c r="J654" s="33" t="n">
        <v>1</v>
      </c>
      <c r="K654" s="32" t="n">
        <v>75</v>
      </c>
      <c r="L654" s="33" t="str">
        <f aca="false">IF($B654="","",IFERROR(INDEX('Code Mapping'!$D$5:$D$1753,MATCH($B654,'Code Mapping'!$A$5:$A$1753,0)),"Unmapped"))</f>
        <v>Unmapped</v>
      </c>
      <c r="M654" s="33" t="str">
        <f aca="false">IF($B654="","",IFERROR(INDEX('Code Mapping'!$E$5:$E$1753,MATCH($B654,'Code Mapping'!$A$5:$A$1753,0)),"Unmapped"))</f>
        <v>Unmapped</v>
      </c>
      <c r="N654" s="33" t="str">
        <f aca="false">IF($F654="","",$F654)</f>
        <v>InflataCity 2025</v>
      </c>
    </row>
    <row r="655" customFormat="false" ht="15" hidden="false" customHeight="false" outlineLevel="0" collapsed="false">
      <c r="A655" s="33" t="n">
        <v>6451</v>
      </c>
      <c r="B655" s="33" t="s">
        <v>1521</v>
      </c>
      <c r="C655" s="33" t="s">
        <v>1026</v>
      </c>
      <c r="D655" s="33"/>
      <c r="E655" s="33" t="n">
        <v>96</v>
      </c>
      <c r="F655" s="33" t="s">
        <v>2154</v>
      </c>
      <c r="G655" s="33" t="s">
        <v>445</v>
      </c>
      <c r="H655" s="33" t="n">
        <v>1</v>
      </c>
      <c r="I655" s="33" t="n">
        <v>1</v>
      </c>
      <c r="J655" s="33" t="n">
        <v>1</v>
      </c>
      <c r="K655" s="32" t="n">
        <v>75</v>
      </c>
      <c r="L655" s="33" t="str">
        <f aca="false">IF($B655="","",IFERROR(INDEX('Code Mapping'!$D$5:$D$1753,MATCH($B655,'Code Mapping'!$A$5:$A$1753,0)),"Unmapped"))</f>
        <v>Unmapped</v>
      </c>
      <c r="M655" s="33" t="str">
        <f aca="false">IF($B655="","",IFERROR(INDEX('Code Mapping'!$E$5:$E$1753,MATCH($B655,'Code Mapping'!$A$5:$A$1753,0)),"Unmapped"))</f>
        <v>Unmapped</v>
      </c>
      <c r="N655" s="33" t="str">
        <f aca="false">IF($F655="","",$F655)</f>
        <v>InflataCity 2025</v>
      </c>
    </row>
    <row r="656" customFormat="false" ht="15" hidden="false" customHeight="false" outlineLevel="0" collapsed="false">
      <c r="A656" s="33" t="n">
        <v>5571</v>
      </c>
      <c r="B656" s="33" t="s">
        <v>1520</v>
      </c>
      <c r="C656" s="33" t="s">
        <v>1028</v>
      </c>
      <c r="D656" s="33"/>
      <c r="E656" s="33" t="n">
        <v>96</v>
      </c>
      <c r="F656" s="33" t="s">
        <v>2154</v>
      </c>
      <c r="G656" s="33" t="s">
        <v>445</v>
      </c>
      <c r="H656" s="33" t="n">
        <v>1</v>
      </c>
      <c r="I656" s="33" t="n">
        <v>1</v>
      </c>
      <c r="J656" s="33" t="n">
        <v>1</v>
      </c>
      <c r="K656" s="32" t="n">
        <v>300</v>
      </c>
      <c r="L656" s="33" t="str">
        <f aca="false">IF($B656="","",IFERROR(INDEX('Code Mapping'!$D$5:$D$1753,MATCH($B656,'Code Mapping'!$A$5:$A$1753,0)),"Unmapped"))</f>
        <v>Unmapped</v>
      </c>
      <c r="M656" s="33" t="str">
        <f aca="false">IF($B656="","",IFERROR(INDEX('Code Mapping'!$E$5:$E$1753,MATCH($B656,'Code Mapping'!$A$5:$A$1753,0)),"Unmapped"))</f>
        <v>Unmapped</v>
      </c>
      <c r="N656" s="33" t="str">
        <f aca="false">IF($F656="","",$F656)</f>
        <v>InflataCity 2025</v>
      </c>
    </row>
    <row r="657" customFormat="false" ht="15" hidden="false" customHeight="false" outlineLevel="0" collapsed="false">
      <c r="A657" s="33" t="n">
        <v>6293</v>
      </c>
      <c r="B657" s="33" t="s">
        <v>1519</v>
      </c>
      <c r="C657" s="33" t="s">
        <v>1026</v>
      </c>
      <c r="D657" s="33"/>
      <c r="E657" s="33" t="n">
        <v>96</v>
      </c>
      <c r="F657" s="33" t="s">
        <v>2154</v>
      </c>
      <c r="G657" s="33" t="s">
        <v>445</v>
      </c>
      <c r="H657" s="33" t="n">
        <v>1</v>
      </c>
      <c r="I657" s="33" t="n">
        <v>1</v>
      </c>
      <c r="J657" s="33" t="n">
        <v>1</v>
      </c>
      <c r="K657" s="32" t="n">
        <v>75</v>
      </c>
      <c r="L657" s="33" t="str">
        <f aca="false">IF($B657="","",IFERROR(INDEX('Code Mapping'!$D$5:$D$1753,MATCH($B657,'Code Mapping'!$A$5:$A$1753,0)),"Unmapped"))</f>
        <v>Unmapped</v>
      </c>
      <c r="M657" s="33" t="str">
        <f aca="false">IF($B657="","",IFERROR(INDEX('Code Mapping'!$E$5:$E$1753,MATCH($B657,'Code Mapping'!$A$5:$A$1753,0)),"Unmapped"))</f>
        <v>Unmapped</v>
      </c>
      <c r="N657" s="33" t="str">
        <f aca="false">IF($F657="","",$F657)</f>
        <v>InflataCity 2025</v>
      </c>
    </row>
    <row r="658" customFormat="false" ht="15" hidden="false" customHeight="false" outlineLevel="0" collapsed="false">
      <c r="A658" s="33" t="n">
        <v>6237</v>
      </c>
      <c r="B658" s="33" t="s">
        <v>1518</v>
      </c>
      <c r="C658" s="33" t="s">
        <v>1032</v>
      </c>
      <c r="D658" s="33"/>
      <c r="E658" s="33" t="n">
        <v>96</v>
      </c>
      <c r="F658" s="33" t="s">
        <v>2154</v>
      </c>
      <c r="G658" s="33" t="s">
        <v>445</v>
      </c>
      <c r="H658" s="33" t="n">
        <v>1</v>
      </c>
      <c r="I658" s="33" t="n">
        <v>1</v>
      </c>
      <c r="J658" s="33" t="n">
        <v>1</v>
      </c>
      <c r="K658" s="32" t="n">
        <v>350</v>
      </c>
      <c r="L658" s="33" t="str">
        <f aca="false">IF($B658="","",IFERROR(INDEX('Code Mapping'!$D$5:$D$1753,MATCH($B658,'Code Mapping'!$A$5:$A$1753,0)),"Unmapped"))</f>
        <v>Unmapped</v>
      </c>
      <c r="M658" s="33" t="str">
        <f aca="false">IF($B658="","",IFERROR(INDEX('Code Mapping'!$E$5:$E$1753,MATCH($B658,'Code Mapping'!$A$5:$A$1753,0)),"Unmapped"))</f>
        <v>Unmapped</v>
      </c>
      <c r="N658" s="33" t="str">
        <f aca="false">IF($F658="","",$F658)</f>
        <v>InflataCity 2025</v>
      </c>
    </row>
    <row r="659" customFormat="false" ht="15" hidden="false" customHeight="false" outlineLevel="0" collapsed="false">
      <c r="A659" s="33" t="n">
        <v>6546</v>
      </c>
      <c r="B659" s="33" t="s">
        <v>1517</v>
      </c>
      <c r="C659" s="33" t="s">
        <v>1026</v>
      </c>
      <c r="D659" s="33"/>
      <c r="E659" s="33" t="n">
        <v>96</v>
      </c>
      <c r="F659" s="33" t="s">
        <v>2154</v>
      </c>
      <c r="G659" s="33" t="s">
        <v>445</v>
      </c>
      <c r="H659" s="33" t="n">
        <v>1</v>
      </c>
      <c r="I659" s="33" t="n">
        <v>1</v>
      </c>
      <c r="J659" s="33" t="n">
        <v>1</v>
      </c>
      <c r="K659" s="32" t="n">
        <v>75</v>
      </c>
      <c r="L659" s="33" t="str">
        <f aca="false">IF($B659="","",IFERROR(INDEX('Code Mapping'!$D$5:$D$1753,MATCH($B659,'Code Mapping'!$A$5:$A$1753,0)),"Unmapped"))</f>
        <v>Unmapped</v>
      </c>
      <c r="M659" s="33" t="str">
        <f aca="false">IF($B659="","",IFERROR(INDEX('Code Mapping'!$E$5:$E$1753,MATCH($B659,'Code Mapping'!$A$5:$A$1753,0)),"Unmapped"))</f>
        <v>Unmapped</v>
      </c>
      <c r="N659" s="33" t="str">
        <f aca="false">IF($F659="","",$F659)</f>
        <v>InflataCity 2025</v>
      </c>
    </row>
    <row r="660" customFormat="false" ht="15" hidden="false" customHeight="false" outlineLevel="0" collapsed="false">
      <c r="A660" s="33" t="n">
        <v>5525</v>
      </c>
      <c r="B660" s="33" t="s">
        <v>1777</v>
      </c>
      <c r="C660" s="33" t="s">
        <v>1778</v>
      </c>
      <c r="D660" s="33"/>
      <c r="E660" s="33" t="n">
        <v>94</v>
      </c>
      <c r="F660" s="33" t="s">
        <v>2153</v>
      </c>
      <c r="G660" s="33" t="s">
        <v>445</v>
      </c>
      <c r="H660" s="33" t="n">
        <v>1</v>
      </c>
      <c r="I660" s="33" t="n">
        <v>2</v>
      </c>
      <c r="J660" s="33" t="n">
        <v>2</v>
      </c>
      <c r="K660" s="32" t="n">
        <v>67.5</v>
      </c>
      <c r="L660" s="33" t="str">
        <f aca="false">IF($B660="","",IFERROR(INDEX('Code Mapping'!$D$5:$D$1753,MATCH($B660,'Code Mapping'!$A$5:$A$1753,0)),"Unmapped"))</f>
        <v>Dar App</v>
      </c>
      <c r="M660" s="33" t="str">
        <f aca="false">IF($B660="","",IFERROR(INDEX('Code Mapping'!$E$5:$E$1753,MATCH($B660,'Code Mapping'!$A$5:$A$1753,0)),"Unmapped"))</f>
        <v>Corporate discount</v>
      </c>
      <c r="N660" s="33" t="str">
        <f aca="false">IF($F660="","",$F660)</f>
        <v>Driving School</v>
      </c>
    </row>
    <row r="661" customFormat="false" ht="15" hidden="false" customHeight="false" outlineLevel="0" collapsed="false">
      <c r="A661" s="33" t="n">
        <v>6781</v>
      </c>
      <c r="B661" s="33" t="s">
        <v>1781</v>
      </c>
      <c r="C661" s="33" t="s">
        <v>1782</v>
      </c>
      <c r="D661" s="33"/>
      <c r="E661" s="33" t="n">
        <v>94</v>
      </c>
      <c r="F661" s="33" t="s">
        <v>2153</v>
      </c>
      <c r="G661" s="33" t="s">
        <v>445</v>
      </c>
      <c r="H661" s="33" t="n">
        <v>2</v>
      </c>
      <c r="I661" s="33" t="n">
        <v>3</v>
      </c>
      <c r="J661" s="33" t="n">
        <v>3</v>
      </c>
      <c r="K661" s="32" t="n">
        <v>675</v>
      </c>
      <c r="L661" s="33" t="str">
        <f aca="false">IF($B661="","",IFERROR(INDEX('Code Mapping'!$D$5:$D$1753,MATCH($B661,'Code Mapping'!$A$5:$A$1753,0)),"Unmapped"))</f>
        <v>My Book</v>
      </c>
      <c r="M661" s="33" t="str">
        <f aca="false">IF($B661="","",IFERROR(INDEX('Code Mapping'!$E$5:$E$1753,MATCH($B661,'Code Mapping'!$A$5:$A$1753,0)),"Unmapped"))</f>
        <v>Aggregator BOGO</v>
      </c>
      <c r="N661" s="33" t="str">
        <f aca="false">IF($F661="","",$F661)</f>
        <v>Driving School</v>
      </c>
    </row>
    <row r="662" customFormat="false" ht="15" hidden="false" customHeight="false" outlineLevel="0" collapsed="false">
      <c r="A662" s="33" t="n">
        <v>5526</v>
      </c>
      <c r="B662" s="33" t="s">
        <v>1783</v>
      </c>
      <c r="C662" s="33" t="s">
        <v>1784</v>
      </c>
      <c r="D662" s="33"/>
      <c r="E662" s="33" t="n">
        <v>94</v>
      </c>
      <c r="F662" s="33" t="s">
        <v>2153</v>
      </c>
      <c r="G662" s="33" t="s">
        <v>445</v>
      </c>
      <c r="H662" s="33" t="n">
        <v>7</v>
      </c>
      <c r="I662" s="33" t="n">
        <v>7</v>
      </c>
      <c r="J662" s="33" t="n">
        <v>7</v>
      </c>
      <c r="K662" s="32" t="n">
        <v>236.25</v>
      </c>
      <c r="L662" s="33" t="str">
        <f aca="false">IF($B662="","",IFERROR(INDEX('Code Mapping'!$D$5:$D$1753,MATCH($B662,'Code Mapping'!$A$5:$A$1753,0)),"Unmapped"))</f>
        <v>Qatar Airways</v>
      </c>
      <c r="M662" s="33" t="str">
        <f aca="false">IF($B662="","",IFERROR(INDEX('Code Mapping'!$E$5:$E$1753,MATCH($B662,'Code Mapping'!$A$5:$A$1753,0)),"Unmapped"))</f>
        <v>Corporate discount</v>
      </c>
      <c r="N662" s="33" t="str">
        <f aca="false">IF($F662="","",$F662)</f>
        <v>Driving School</v>
      </c>
    </row>
    <row r="663" customFormat="false" ht="15" hidden="false" customHeight="false" outlineLevel="0" collapsed="false">
      <c r="A663" s="33" t="n">
        <v>6774</v>
      </c>
      <c r="B663" s="33" t="s">
        <v>1787</v>
      </c>
      <c r="C663" s="33" t="s">
        <v>1788</v>
      </c>
      <c r="D663" s="33"/>
      <c r="E663" s="33" t="n">
        <v>94</v>
      </c>
      <c r="F663" s="33" t="s">
        <v>2153</v>
      </c>
      <c r="G663" s="33" t="s">
        <v>445</v>
      </c>
      <c r="H663" s="33" t="n">
        <v>13</v>
      </c>
      <c r="I663" s="33" t="n">
        <v>26</v>
      </c>
      <c r="J663" s="33" t="n">
        <v>26</v>
      </c>
      <c r="K663" s="32" t="n">
        <v>2975</v>
      </c>
      <c r="L663" s="33" t="str">
        <f aca="false">IF($B663="","",IFERROR(INDEX('Code Mapping'!$D$5:$D$1753,MATCH($B663,'Code Mapping'!$A$5:$A$1753,0)),"Unmapped"))</f>
        <v>My Book</v>
      </c>
      <c r="M663" s="33" t="str">
        <f aca="false">IF($B663="","",IFERROR(INDEX('Code Mapping'!$E$5:$E$1753,MATCH($B663,'Code Mapping'!$A$5:$A$1753,0)),"Unmapped"))</f>
        <v>Aggregator BOGO</v>
      </c>
      <c r="N663" s="33" t="str">
        <f aca="false">IF($F663="","",$F663)</f>
        <v>Driving School</v>
      </c>
    </row>
    <row r="664" customFormat="false" ht="15" hidden="false" customHeight="false" outlineLevel="0" collapsed="false">
      <c r="A664" s="33" t="n">
        <v>6494</v>
      </c>
      <c r="B664" s="33" t="s">
        <v>1312</v>
      </c>
      <c r="C664" s="33" t="s">
        <v>1026</v>
      </c>
      <c r="D664" s="33"/>
      <c r="E664" s="33" t="n">
        <v>96</v>
      </c>
      <c r="F664" s="33" t="s">
        <v>2154</v>
      </c>
      <c r="G664" s="33" t="s">
        <v>445</v>
      </c>
      <c r="H664" s="33" t="n">
        <v>1</v>
      </c>
      <c r="I664" s="33" t="n">
        <v>1</v>
      </c>
      <c r="J664" s="33" t="n">
        <v>1</v>
      </c>
      <c r="K664" s="32" t="n">
        <v>75</v>
      </c>
      <c r="L664" s="33" t="str">
        <f aca="false">IF($B664="","",IFERROR(INDEX('Code Mapping'!$D$5:$D$1753,MATCH($B664,'Code Mapping'!$A$5:$A$1753,0)),"Unmapped"))</f>
        <v>Unmapped</v>
      </c>
      <c r="M664" s="33" t="str">
        <f aca="false">IF($B664="","",IFERROR(INDEX('Code Mapping'!$E$5:$E$1753,MATCH($B664,'Code Mapping'!$A$5:$A$1753,0)),"Unmapped"))</f>
        <v>Unmapped</v>
      </c>
      <c r="N664" s="33" t="str">
        <f aca="false">IF($F664="","",$F664)</f>
        <v>InflataCity 2025</v>
      </c>
    </row>
    <row r="665" customFormat="false" ht="15" hidden="false" customHeight="false" outlineLevel="0" collapsed="false">
      <c r="A665" s="33" t="n">
        <v>6815</v>
      </c>
      <c r="B665" s="33" t="s">
        <v>2038</v>
      </c>
      <c r="C665" s="33" t="s">
        <v>2039</v>
      </c>
      <c r="D665" s="33"/>
      <c r="E665" s="33" t="n">
        <v>96</v>
      </c>
      <c r="F665" s="33" t="s">
        <v>2154</v>
      </c>
      <c r="G665" s="33" t="s">
        <v>445</v>
      </c>
      <c r="H665" s="33" t="n">
        <v>1</v>
      </c>
      <c r="I665" s="33" t="n">
        <v>1</v>
      </c>
      <c r="J665" s="33" t="n">
        <v>1</v>
      </c>
      <c r="K665" s="32" t="n">
        <v>150</v>
      </c>
      <c r="L665" s="33" t="str">
        <f aca="false">IF($B665="","",IFERROR(INDEX('Code Mapping'!$D$5:$D$1753,MATCH($B665,'Code Mapping'!$A$5:$A$1753,0)),"Unmapped"))</f>
        <v>Unmapped</v>
      </c>
      <c r="M665" s="33" t="str">
        <f aca="false">IF($B665="","",IFERROR(INDEX('Code Mapping'!$E$5:$E$1753,MATCH($B665,'Code Mapping'!$A$5:$A$1753,0)),"Unmapped"))</f>
        <v>Unmapped</v>
      </c>
      <c r="N665" s="33" t="str">
        <f aca="false">IF($F665="","",$F665)</f>
        <v>InflataCity 2025</v>
      </c>
    </row>
    <row r="666" customFormat="false" ht="15" hidden="false" customHeight="false" outlineLevel="0" collapsed="false">
      <c r="A666" s="33" t="n">
        <v>5552</v>
      </c>
      <c r="B666" s="33" t="s">
        <v>2037</v>
      </c>
      <c r="C666" s="33"/>
      <c r="D666" s="33"/>
      <c r="E666" s="33" t="n">
        <v>96</v>
      </c>
      <c r="F666" s="33" t="s">
        <v>2154</v>
      </c>
      <c r="G666" s="33" t="s">
        <v>445</v>
      </c>
      <c r="H666" s="33" t="n">
        <v>5</v>
      </c>
      <c r="I666" s="33" t="n">
        <v>15</v>
      </c>
      <c r="J666" s="33" t="n">
        <v>15</v>
      </c>
      <c r="K666" s="32" t="n">
        <v>295</v>
      </c>
      <c r="L666" s="33" t="str">
        <f aca="false">IF($B666="","",IFERROR(INDEX('Code Mapping'!$D$5:$D$1753,MATCH($B666,'Code Mapping'!$A$5:$A$1753,0)),"Unmapped"))</f>
        <v>Unmapped</v>
      </c>
      <c r="M666" s="33" t="str">
        <f aca="false">IF($B666="","",IFERROR(INDEX('Code Mapping'!$E$5:$E$1753,MATCH($B666,'Code Mapping'!$A$5:$A$1753,0)),"Unmapped"))</f>
        <v>Unmapped</v>
      </c>
      <c r="N666" s="33" t="str">
        <f aca="false">IF($F666="","",$F666)</f>
        <v>InflataCity 2025</v>
      </c>
    </row>
    <row r="667" customFormat="false" ht="15" hidden="false" customHeight="false" outlineLevel="0" collapsed="false">
      <c r="A667" s="33" t="n">
        <v>6794</v>
      </c>
      <c r="B667" s="33" t="s">
        <v>180</v>
      </c>
      <c r="C667" s="33" t="s">
        <v>177</v>
      </c>
      <c r="D667" s="33"/>
      <c r="E667" s="33" t="n">
        <v>94</v>
      </c>
      <c r="F667" s="33" t="s">
        <v>2153</v>
      </c>
      <c r="G667" s="33" t="s">
        <v>445</v>
      </c>
      <c r="H667" s="33" t="n">
        <v>7</v>
      </c>
      <c r="I667" s="33" t="n">
        <v>8</v>
      </c>
      <c r="J667" s="33" t="n">
        <v>8</v>
      </c>
      <c r="K667" s="32" t="n">
        <v>1800</v>
      </c>
      <c r="L667" s="33" t="str">
        <f aca="false">IF($B667="","",IFERROR(INDEX('Code Mapping'!$D$5:$D$1753,MATCH($B667,'Code Mapping'!$A$5:$A$1753,0)),"Unmapped"))</f>
        <v>Urban Point</v>
      </c>
      <c r="M667" s="33" t="str">
        <f aca="false">IF($B667="","",IFERROR(INDEX('Code Mapping'!$E$5:$E$1753,MATCH($B667,'Code Mapping'!$A$5:$A$1753,0)),"Unmapped"))</f>
        <v>Aggregator BOGO</v>
      </c>
      <c r="N667" s="33" t="str">
        <f aca="false">IF($F667="","",$F667)</f>
        <v>Driving School</v>
      </c>
    </row>
    <row r="668" customFormat="false" ht="15" hidden="false" customHeight="false" outlineLevel="0" collapsed="false">
      <c r="A668" s="33" t="n">
        <v>6797</v>
      </c>
      <c r="B668" s="33" t="s">
        <v>143</v>
      </c>
      <c r="C668" s="33" t="s">
        <v>144</v>
      </c>
      <c r="D668" s="33"/>
      <c r="E668" s="33" t="n">
        <v>91</v>
      </c>
      <c r="F668" s="33" t="s">
        <v>36</v>
      </c>
      <c r="G668" s="33" t="s">
        <v>445</v>
      </c>
      <c r="H668" s="33" t="n">
        <v>35</v>
      </c>
      <c r="I668" s="33" t="n">
        <v>35</v>
      </c>
      <c r="J668" s="33" t="n">
        <v>35</v>
      </c>
      <c r="K668" s="32" t="n">
        <v>5750</v>
      </c>
      <c r="L668" s="33" t="str">
        <f aca="false">IF($B668="","",IFERROR(INDEX('Code Mapping'!$D$5:$D$1753,MATCH($B668,'Code Mapping'!$A$5:$A$1753,0)),"Unmapped"))</f>
        <v>Urban Point</v>
      </c>
      <c r="M668" s="33" t="str">
        <f aca="false">IF($B668="","",IFERROR(INDEX('Code Mapping'!$E$5:$E$1753,MATCH($B668,'Code Mapping'!$A$5:$A$1753,0)),"Unmapped"))</f>
        <v>Aggregator BOGO</v>
      </c>
      <c r="N668" s="33" t="str">
        <f aca="false">IF($F668="","",$F668)</f>
        <v>InflataPark</v>
      </c>
    </row>
    <row r="669" customFormat="false" ht="15" hidden="false" customHeight="false" outlineLevel="0" collapsed="false">
      <c r="A669" s="33" t="n">
        <v>6776</v>
      </c>
      <c r="B669" s="33" t="s">
        <v>2031</v>
      </c>
      <c r="C669" s="33" t="s">
        <v>2032</v>
      </c>
      <c r="D669" s="33"/>
      <c r="E669" s="33" t="n">
        <v>94</v>
      </c>
      <c r="F669" s="33" t="s">
        <v>2153</v>
      </c>
      <c r="G669" s="33" t="s">
        <v>445</v>
      </c>
      <c r="H669" s="33" t="n">
        <v>6</v>
      </c>
      <c r="I669" s="33" t="n">
        <v>13</v>
      </c>
      <c r="J669" s="33" t="n">
        <v>13</v>
      </c>
      <c r="K669" s="32" t="n">
        <v>2925</v>
      </c>
      <c r="L669" s="33" t="str">
        <f aca="false">IF($B669="","",IFERROR(INDEX('Code Mapping'!$D$5:$D$1753,MATCH($B669,'Code Mapping'!$A$5:$A$1753,0)),"Unmapped"))</f>
        <v>Urban Point</v>
      </c>
      <c r="M669" s="33" t="str">
        <f aca="false">IF($B669="","",IFERROR(INDEX('Code Mapping'!$E$5:$E$1753,MATCH($B669,'Code Mapping'!$A$5:$A$1753,0)),"Unmapped"))</f>
        <v>Aggregator BOGO</v>
      </c>
      <c r="N669" s="33" t="str">
        <f aca="false">IF($F669="","",$F669)</f>
        <v>Driving School</v>
      </c>
    </row>
    <row r="670" customFormat="false" ht="15" hidden="false" customHeight="false" outlineLevel="0" collapsed="false">
      <c r="A670" s="33" t="n">
        <v>6776</v>
      </c>
      <c r="B670" s="33" t="s">
        <v>2031</v>
      </c>
      <c r="C670" s="33" t="s">
        <v>2032</v>
      </c>
      <c r="D670" s="33"/>
      <c r="E670" s="33" t="n">
        <v>96</v>
      </c>
      <c r="F670" s="33" t="s">
        <v>2154</v>
      </c>
      <c r="G670" s="33" t="s">
        <v>445</v>
      </c>
      <c r="H670" s="33" t="n">
        <v>39</v>
      </c>
      <c r="I670" s="33" t="n">
        <v>41</v>
      </c>
      <c r="J670" s="33" t="n">
        <v>41</v>
      </c>
      <c r="K670" s="32" t="n">
        <v>10200</v>
      </c>
      <c r="L670" s="33" t="str">
        <f aca="false">IF($B670="","",IFERROR(INDEX('Code Mapping'!$D$5:$D$1753,MATCH($B670,'Code Mapping'!$A$5:$A$1753,0)),"Unmapped"))</f>
        <v>Urban Point</v>
      </c>
      <c r="M670" s="33" t="str">
        <f aca="false">IF($B670="","",IFERROR(INDEX('Code Mapping'!$E$5:$E$1753,MATCH($B670,'Code Mapping'!$A$5:$A$1753,0)),"Unmapped"))</f>
        <v>Aggregator BOGO</v>
      </c>
      <c r="N670" s="33" t="str">
        <f aca="false">IF($F670="","",$F670)</f>
        <v>InflataCity 2025</v>
      </c>
    </row>
    <row r="671" customFormat="false" ht="15" hidden="false" customHeight="false" outlineLevel="0" collapsed="false">
      <c r="A671" s="33" t="n">
        <v>6775</v>
      </c>
      <c r="B671" s="33" t="s">
        <v>2001</v>
      </c>
      <c r="C671" s="33" t="s">
        <v>2002</v>
      </c>
      <c r="D671" s="33"/>
      <c r="E671" s="33" t="n">
        <v>96</v>
      </c>
      <c r="F671" s="33" t="s">
        <v>2154</v>
      </c>
      <c r="G671" s="33" t="s">
        <v>445</v>
      </c>
      <c r="H671" s="33" t="n">
        <v>7</v>
      </c>
      <c r="I671" s="33" t="n">
        <v>11</v>
      </c>
      <c r="J671" s="33" t="n">
        <v>11</v>
      </c>
      <c r="K671" s="32" t="n">
        <v>412.5</v>
      </c>
      <c r="L671" s="33" t="str">
        <f aca="false">IF($B671="","",IFERROR(INDEX('Code Mapping'!$D$5:$D$1753,MATCH($B671,'Code Mapping'!$A$5:$A$1753,0)),"Unmapped"))</f>
        <v>Classmate</v>
      </c>
      <c r="M671" s="33" t="str">
        <f aca="false">IF($B671="","",IFERROR(INDEX('Code Mapping'!$E$5:$E$1753,MATCH($B671,'Code Mapping'!$A$5:$A$1753,0)),"Unmapped"))</f>
        <v>Aggregator BOGO</v>
      </c>
      <c r="N671" s="33" t="str">
        <f aca="false">IF($F671="","",$F671)</f>
        <v>InflataCity 2025</v>
      </c>
    </row>
    <row r="672" customFormat="false" ht="15" hidden="false" customHeight="false" outlineLevel="0" collapsed="false">
      <c r="A672" s="33" t="n">
        <v>5563</v>
      </c>
      <c r="B672" s="33" t="s">
        <v>1996</v>
      </c>
      <c r="C672" s="33"/>
      <c r="D672" s="33"/>
      <c r="E672" s="33" t="n">
        <v>96</v>
      </c>
      <c r="F672" s="33" t="s">
        <v>2154</v>
      </c>
      <c r="G672" s="33" t="s">
        <v>445</v>
      </c>
      <c r="H672" s="33" t="n">
        <v>62</v>
      </c>
      <c r="I672" s="33" t="n">
        <v>94</v>
      </c>
      <c r="J672" s="33" t="n">
        <v>94</v>
      </c>
      <c r="K672" s="32" t="n">
        <v>1695</v>
      </c>
      <c r="L672" s="33" t="str">
        <f aca="false">IF($B672="","",IFERROR(INDEX('Code Mapping'!$D$5:$D$1753,MATCH($B672,'Code Mapping'!$A$5:$A$1753,0)),"Unmapped"))</f>
        <v>Unmapped</v>
      </c>
      <c r="M672" s="33" t="str">
        <f aca="false">IF($B672="","",IFERROR(INDEX('Code Mapping'!$E$5:$E$1753,MATCH($B672,'Code Mapping'!$A$5:$A$1753,0)),"Unmapped"))</f>
        <v>Unmapped</v>
      </c>
      <c r="N672" s="33" t="str">
        <f aca="false">IF($F672="","",$F672)</f>
        <v>InflataCity 2025</v>
      </c>
    </row>
    <row r="673" customFormat="false" ht="15" hidden="false" customHeight="false" outlineLevel="0" collapsed="false">
      <c r="A673" s="33" t="n">
        <v>5555</v>
      </c>
      <c r="B673" s="33" t="s">
        <v>1988</v>
      </c>
      <c r="C673" s="33"/>
      <c r="D673" s="33"/>
      <c r="E673" s="33" t="n">
        <v>96</v>
      </c>
      <c r="F673" s="33" t="s">
        <v>2154</v>
      </c>
      <c r="G673" s="33" t="s">
        <v>445</v>
      </c>
      <c r="H673" s="33" t="n">
        <v>1</v>
      </c>
      <c r="I673" s="33" t="n">
        <v>4</v>
      </c>
      <c r="J673" s="33" t="n">
        <v>4</v>
      </c>
      <c r="K673" s="32" t="n">
        <v>60</v>
      </c>
      <c r="L673" s="33" t="str">
        <f aca="false">IF($B673="","",IFERROR(INDEX('Code Mapping'!$D$5:$D$1753,MATCH($B673,'Code Mapping'!$A$5:$A$1753,0)),"Unmapped"))</f>
        <v>Unmapped</v>
      </c>
      <c r="M673" s="33" t="str">
        <f aca="false">IF($B673="","",IFERROR(INDEX('Code Mapping'!$E$5:$E$1753,MATCH($B673,'Code Mapping'!$A$5:$A$1753,0)),"Unmapped"))</f>
        <v>Unmapped</v>
      </c>
      <c r="N673" s="33" t="str">
        <f aca="false">IF($F673="","",$F673)</f>
        <v>InflataCity 2025</v>
      </c>
    </row>
    <row r="674" customFormat="false" ht="15" hidden="false" customHeight="false" outlineLevel="0" collapsed="false">
      <c r="A674" s="33" t="n">
        <v>5553</v>
      </c>
      <c r="B674" s="33" t="s">
        <v>1986</v>
      </c>
      <c r="C674" s="33"/>
      <c r="D674" s="33"/>
      <c r="E674" s="33" t="n">
        <v>96</v>
      </c>
      <c r="F674" s="33" t="s">
        <v>2154</v>
      </c>
      <c r="G674" s="33" t="s">
        <v>445</v>
      </c>
      <c r="H674" s="33" t="n">
        <v>8</v>
      </c>
      <c r="I674" s="33" t="n">
        <v>29</v>
      </c>
      <c r="J674" s="33" t="n">
        <v>29</v>
      </c>
      <c r="K674" s="32" t="n">
        <v>435</v>
      </c>
      <c r="L674" s="33" t="str">
        <f aca="false">IF($B674="","",IFERROR(INDEX('Code Mapping'!$D$5:$D$1753,MATCH($B674,'Code Mapping'!$A$5:$A$1753,0)),"Unmapped"))</f>
        <v>Unmapped</v>
      </c>
      <c r="M674" s="33" t="str">
        <f aca="false">IF($B674="","",IFERROR(INDEX('Code Mapping'!$E$5:$E$1753,MATCH($B674,'Code Mapping'!$A$5:$A$1753,0)),"Unmapped"))</f>
        <v>Unmapped</v>
      </c>
      <c r="N674" s="33" t="str">
        <f aca="false">IF($F674="","",$F674)</f>
        <v>InflataCity 2025</v>
      </c>
    </row>
    <row r="675" customFormat="false" ht="15" hidden="false" customHeight="false" outlineLevel="0" collapsed="false">
      <c r="A675" s="33" t="n">
        <v>5541</v>
      </c>
      <c r="B675" s="33" t="s">
        <v>1983</v>
      </c>
      <c r="C675" s="33"/>
      <c r="D675" s="33"/>
      <c r="E675" s="33" t="n">
        <v>96</v>
      </c>
      <c r="F675" s="33" t="s">
        <v>2154</v>
      </c>
      <c r="G675" s="33" t="s">
        <v>445</v>
      </c>
      <c r="H675" s="33" t="n">
        <v>6</v>
      </c>
      <c r="I675" s="33" t="n">
        <v>21</v>
      </c>
      <c r="J675" s="33" t="n">
        <v>21</v>
      </c>
      <c r="K675" s="32" t="n">
        <v>490</v>
      </c>
      <c r="L675" s="33" t="str">
        <f aca="false">IF($B675="","",IFERROR(INDEX('Code Mapping'!$D$5:$D$1753,MATCH($B675,'Code Mapping'!$A$5:$A$1753,0)),"Unmapped"))</f>
        <v>QIB</v>
      </c>
      <c r="M675" s="33" t="str">
        <f aca="false">IF($B675="","",IFERROR(INDEX('Code Mapping'!$E$5:$E$1753,MATCH($B675,'Code Mapping'!$A$5:$A$1753,0)),"Unmapped"))</f>
        <v>Corporate discount</v>
      </c>
      <c r="N675" s="33" t="str">
        <f aca="false">IF($F675="","",$F675)</f>
        <v>InflataCity 2025</v>
      </c>
    </row>
    <row r="676" customFormat="false" ht="15" hidden="false" customHeight="false" outlineLevel="0" collapsed="false">
      <c r="A676" s="33" t="n">
        <v>5551</v>
      </c>
      <c r="B676" s="33" t="s">
        <v>1974</v>
      </c>
      <c r="C676" s="33"/>
      <c r="D676" s="33"/>
      <c r="E676" s="33" t="n">
        <v>96</v>
      </c>
      <c r="F676" s="33" t="s">
        <v>2154</v>
      </c>
      <c r="G676" s="33" t="s">
        <v>445</v>
      </c>
      <c r="H676" s="33" t="n">
        <v>84</v>
      </c>
      <c r="I676" s="33" t="n">
        <v>190</v>
      </c>
      <c r="J676" s="33" t="n">
        <v>190</v>
      </c>
      <c r="K676" s="32" t="n">
        <v>3975</v>
      </c>
      <c r="L676" s="33" t="str">
        <f aca="false">IF($B676="","",IFERROR(INDEX('Code Mapping'!$D$5:$D$1753,MATCH($B676,'Code Mapping'!$A$5:$A$1753,0)),"Unmapped"))</f>
        <v>Unmapped</v>
      </c>
      <c r="M676" s="33" t="str">
        <f aca="false">IF($B676="","",IFERROR(INDEX('Code Mapping'!$E$5:$E$1753,MATCH($B676,'Code Mapping'!$A$5:$A$1753,0)),"Unmapped"))</f>
        <v>Unmapped</v>
      </c>
      <c r="N676" s="33" t="str">
        <f aca="false">IF($F676="","",$F676)</f>
        <v>InflataCity 2025</v>
      </c>
    </row>
    <row r="677" customFormat="false" ht="15" hidden="false" customHeight="false" outlineLevel="0" collapsed="false">
      <c r="A677" s="33" t="n">
        <v>5529</v>
      </c>
      <c r="B677" s="33" t="s">
        <v>1972</v>
      </c>
      <c r="C677" s="33" t="s">
        <v>1973</v>
      </c>
      <c r="D677" s="33"/>
      <c r="E677" s="33" t="n">
        <v>96</v>
      </c>
      <c r="F677" s="33" t="s">
        <v>2154</v>
      </c>
      <c r="G677" s="33" t="s">
        <v>445</v>
      </c>
      <c r="H677" s="33" t="n">
        <v>2</v>
      </c>
      <c r="I677" s="33" t="n">
        <v>7</v>
      </c>
      <c r="J677" s="33" t="n">
        <v>7</v>
      </c>
      <c r="K677" s="32" t="n">
        <v>105</v>
      </c>
      <c r="L677" s="33" t="str">
        <f aca="false">IF($B677="","",IFERROR(INDEX('Code Mapping'!$D$5:$D$1753,MATCH($B677,'Code Mapping'!$A$5:$A$1753,0)),"Unmapped"))</f>
        <v>Unmapped</v>
      </c>
      <c r="M677" s="33" t="str">
        <f aca="false">IF($B677="","",IFERROR(INDEX('Code Mapping'!$E$5:$E$1753,MATCH($B677,'Code Mapping'!$A$5:$A$1753,0)),"Unmapped"))</f>
        <v>Unmapped</v>
      </c>
      <c r="N677" s="33" t="str">
        <f aca="false">IF($F677="","",$F677)</f>
        <v>InflataCity 2025</v>
      </c>
    </row>
    <row r="678" customFormat="false" ht="15" hidden="false" customHeight="false" outlineLevel="0" collapsed="false">
      <c r="A678" s="33" t="n">
        <v>6803</v>
      </c>
      <c r="B678" s="33" t="s">
        <v>191</v>
      </c>
      <c r="C678" s="33" t="s">
        <v>192</v>
      </c>
      <c r="D678" s="33"/>
      <c r="E678" s="33" t="n">
        <v>91</v>
      </c>
      <c r="F678" s="33" t="s">
        <v>36</v>
      </c>
      <c r="G678" s="33" t="s">
        <v>445</v>
      </c>
      <c r="H678" s="33" t="n">
        <v>5</v>
      </c>
      <c r="I678" s="33" t="n">
        <v>9</v>
      </c>
      <c r="J678" s="33" t="n">
        <v>9</v>
      </c>
      <c r="K678" s="32" t="n">
        <v>109.5</v>
      </c>
      <c r="L678" s="33" t="str">
        <f aca="false">IF($B678="","",IFERROR(INDEX('Code Mapping'!$D$5:$D$1753,MATCH($B678,'Code Mapping'!$A$5:$A$1753,0)),"Unmapped"))</f>
        <v>Qatar Airways</v>
      </c>
      <c r="M678" s="33" t="str">
        <f aca="false">IF($B678="","",IFERROR(INDEX('Code Mapping'!$E$5:$E$1753,MATCH($B678,'Code Mapping'!$A$5:$A$1753,0)),"Unmapped"))</f>
        <v>Corporate discount</v>
      </c>
      <c r="N678" s="33" t="str">
        <f aca="false">IF($F678="","",$F678)</f>
        <v>InflataPark</v>
      </c>
    </row>
    <row r="679" customFormat="false" ht="15" hidden="false" customHeight="false" outlineLevel="0" collapsed="false">
      <c r="A679" s="33" t="n">
        <v>5543</v>
      </c>
      <c r="B679" s="33" t="s">
        <v>1970</v>
      </c>
      <c r="C679" s="33"/>
      <c r="D679" s="33"/>
      <c r="E679" s="33" t="n">
        <v>96</v>
      </c>
      <c r="F679" s="33" t="s">
        <v>2154</v>
      </c>
      <c r="G679" s="33" t="s">
        <v>445</v>
      </c>
      <c r="H679" s="33" t="n">
        <v>200</v>
      </c>
      <c r="I679" s="33" t="n">
        <v>494</v>
      </c>
      <c r="J679" s="33" t="n">
        <v>494</v>
      </c>
      <c r="K679" s="32" t="n">
        <v>8295</v>
      </c>
      <c r="L679" s="33" t="str">
        <f aca="false">IF($B679="","",IFERROR(INDEX('Code Mapping'!$D$5:$D$1753,MATCH($B679,'Code Mapping'!$A$5:$A$1753,0)),"Unmapped"))</f>
        <v>Qatar Airways</v>
      </c>
      <c r="M679" s="33" t="str">
        <f aca="false">IF($B679="","",IFERROR(INDEX('Code Mapping'!$E$5:$E$1753,MATCH($B679,'Code Mapping'!$A$5:$A$1753,0)),"Unmapped"))</f>
        <v>Corporate discount</v>
      </c>
      <c r="N679" s="33" t="str">
        <f aca="false">IF($F679="","",$F679)</f>
        <v>InflataCity 2025</v>
      </c>
    </row>
    <row r="680" customFormat="false" ht="15" hidden="false" customHeight="false" outlineLevel="0" collapsed="false">
      <c r="A680" s="33" t="n">
        <v>6811</v>
      </c>
      <c r="B680" s="33" t="s">
        <v>238</v>
      </c>
      <c r="C680" s="33" t="s">
        <v>239</v>
      </c>
      <c r="D680" s="33"/>
      <c r="E680" s="33" t="n">
        <v>94</v>
      </c>
      <c r="F680" s="33" t="s">
        <v>2153</v>
      </c>
      <c r="G680" s="33" t="s">
        <v>445</v>
      </c>
      <c r="H680" s="33" t="n">
        <v>1</v>
      </c>
      <c r="I680" s="33" t="n">
        <v>1</v>
      </c>
      <c r="J680" s="33" t="n">
        <v>1</v>
      </c>
      <c r="K680" s="32" t="n">
        <v>33.75</v>
      </c>
      <c r="L680" s="33" t="str">
        <f aca="false">IF($B680="","",IFERROR(INDEX('Code Mapping'!$D$5:$D$1753,MATCH($B680,'Code Mapping'!$A$5:$A$1753,0)),"Unmapped"))</f>
        <v>Qatar Airways</v>
      </c>
      <c r="M680" s="33" t="str">
        <f aca="false">IF($B680="","",IFERROR(INDEX('Code Mapping'!$E$5:$E$1753,MATCH($B680,'Code Mapping'!$A$5:$A$1753,0)),"Unmapped"))</f>
        <v>Corporate discount</v>
      </c>
      <c r="N680" s="33" t="str">
        <f aca="false">IF($F680="","",$F680)</f>
        <v>Driving School</v>
      </c>
    </row>
    <row r="681" customFormat="false" ht="15" hidden="false" customHeight="false" outlineLevel="0" collapsed="false">
      <c r="A681" s="33" t="n">
        <v>5546</v>
      </c>
      <c r="B681" s="33" t="s">
        <v>1958</v>
      </c>
      <c r="C681" s="33"/>
      <c r="D681" s="33"/>
      <c r="E681" s="33" t="n">
        <v>96</v>
      </c>
      <c r="F681" s="33" t="s">
        <v>2154</v>
      </c>
      <c r="G681" s="33" t="s">
        <v>445</v>
      </c>
      <c r="H681" s="33" t="n">
        <v>1</v>
      </c>
      <c r="I681" s="33" t="n">
        <v>2</v>
      </c>
      <c r="J681" s="33" t="n">
        <v>2</v>
      </c>
      <c r="K681" s="32" t="n">
        <v>30</v>
      </c>
      <c r="L681" s="33" t="str">
        <f aca="false">IF($B681="","",IFERROR(INDEX('Code Mapping'!$D$5:$D$1753,MATCH($B681,'Code Mapping'!$A$5:$A$1753,0)),"Unmapped"))</f>
        <v>Unmapped</v>
      </c>
      <c r="M681" s="33" t="str">
        <f aca="false">IF($B681="","",IFERROR(INDEX('Code Mapping'!$E$5:$E$1753,MATCH($B681,'Code Mapping'!$A$5:$A$1753,0)),"Unmapped"))</f>
        <v>Unmapped</v>
      </c>
      <c r="N681" s="33" t="str">
        <f aca="false">IF($F681="","",$F681)</f>
        <v>InflataCity 2025</v>
      </c>
    </row>
    <row r="682" customFormat="false" ht="15" hidden="false" customHeight="false" outlineLevel="0" collapsed="false">
      <c r="A682" s="33" t="n">
        <v>6779</v>
      </c>
      <c r="B682" s="33" t="s">
        <v>2095</v>
      </c>
      <c r="C682" s="33" t="s">
        <v>2096</v>
      </c>
      <c r="D682" s="33"/>
      <c r="E682" s="33" t="n">
        <v>96</v>
      </c>
      <c r="F682" s="33" t="s">
        <v>2154</v>
      </c>
      <c r="G682" s="33" t="s">
        <v>445</v>
      </c>
      <c r="H682" s="33" t="n">
        <v>18</v>
      </c>
      <c r="I682" s="33" t="n">
        <v>44</v>
      </c>
      <c r="J682" s="33" t="n">
        <v>44</v>
      </c>
      <c r="K682" s="32" t="n">
        <v>730</v>
      </c>
      <c r="L682" s="33" t="str">
        <f aca="false">IF($B682="","",IFERROR(INDEX('Code Mapping'!$D$5:$D$1753,MATCH($B682,'Code Mapping'!$A$5:$A$1753,0)),"Unmapped"))</f>
        <v>Unmapped</v>
      </c>
      <c r="M682" s="33" t="str">
        <f aca="false">IF($B682="","",IFERROR(INDEX('Code Mapping'!$E$5:$E$1753,MATCH($B682,'Code Mapping'!$A$5:$A$1753,0)),"Unmapped"))</f>
        <v>Unmapped</v>
      </c>
      <c r="N682" s="33" t="str">
        <f aca="false">IF($F682="","",$F682)</f>
        <v>InflataCity 2025</v>
      </c>
    </row>
    <row r="683" customFormat="false" ht="15" hidden="false" customHeight="false" outlineLevel="0" collapsed="false">
      <c r="A683" s="33" t="n">
        <v>6780</v>
      </c>
      <c r="B683" s="33" t="s">
        <v>1948</v>
      </c>
      <c r="C683" s="33" t="s">
        <v>1949</v>
      </c>
      <c r="D683" s="33"/>
      <c r="E683" s="33" t="n">
        <v>94</v>
      </c>
      <c r="F683" s="33" t="s">
        <v>2153</v>
      </c>
      <c r="G683" s="33" t="s">
        <v>445</v>
      </c>
      <c r="H683" s="33" t="n">
        <v>1</v>
      </c>
      <c r="I683" s="33" t="n">
        <v>1</v>
      </c>
      <c r="J683" s="33" t="n">
        <v>1</v>
      </c>
      <c r="K683" s="32" t="n">
        <v>225</v>
      </c>
      <c r="L683" s="33" t="str">
        <f aca="false">IF($B683="","",IFERROR(INDEX('Code Mapping'!$D$5:$D$1753,MATCH($B683,'Code Mapping'!$A$5:$A$1753,0)),"Unmapped"))</f>
        <v>My Book</v>
      </c>
      <c r="M683" s="33" t="str">
        <f aca="false">IF($B683="","",IFERROR(INDEX('Code Mapping'!$E$5:$E$1753,MATCH($B683,'Code Mapping'!$A$5:$A$1753,0)),"Unmapped"))</f>
        <v>Aggregator BOGO</v>
      </c>
      <c r="N683" s="33" t="str">
        <f aca="false">IF($F683="","",$F683)</f>
        <v>Driving School</v>
      </c>
    </row>
    <row r="684" customFormat="false" ht="15" hidden="false" customHeight="false" outlineLevel="0" collapsed="false">
      <c r="A684" s="33" t="n">
        <v>6780</v>
      </c>
      <c r="B684" s="33" t="s">
        <v>1948</v>
      </c>
      <c r="C684" s="33" t="s">
        <v>1949</v>
      </c>
      <c r="D684" s="33"/>
      <c r="E684" s="33" t="n">
        <v>91</v>
      </c>
      <c r="F684" s="33" t="s">
        <v>36</v>
      </c>
      <c r="G684" s="33" t="s">
        <v>445</v>
      </c>
      <c r="H684" s="33" t="n">
        <v>2</v>
      </c>
      <c r="I684" s="33" t="n">
        <v>2</v>
      </c>
      <c r="J684" s="33" t="n">
        <v>2</v>
      </c>
      <c r="K684" s="32" t="n">
        <v>375</v>
      </c>
      <c r="L684" s="33" t="str">
        <f aca="false">IF($B684="","",IFERROR(INDEX('Code Mapping'!$D$5:$D$1753,MATCH($B684,'Code Mapping'!$A$5:$A$1753,0)),"Unmapped"))</f>
        <v>My Book</v>
      </c>
      <c r="M684" s="33" t="str">
        <f aca="false">IF($B684="","",IFERROR(INDEX('Code Mapping'!$E$5:$E$1753,MATCH($B684,'Code Mapping'!$A$5:$A$1753,0)),"Unmapped"))</f>
        <v>Aggregator BOGO</v>
      </c>
      <c r="N684" s="33" t="str">
        <f aca="false">IF($F684="","",$F684)</f>
        <v>InflataPark</v>
      </c>
    </row>
    <row r="685" customFormat="false" ht="15" hidden="false" customHeight="false" outlineLevel="0" collapsed="false">
      <c r="A685" s="33" t="n">
        <v>6798</v>
      </c>
      <c r="B685" s="33" t="s">
        <v>146</v>
      </c>
      <c r="C685" s="33" t="s">
        <v>147</v>
      </c>
      <c r="D685" s="33"/>
      <c r="E685" s="33" t="n">
        <v>91</v>
      </c>
      <c r="F685" s="33" t="s">
        <v>36</v>
      </c>
      <c r="G685" s="33" t="s">
        <v>445</v>
      </c>
      <c r="H685" s="33" t="n">
        <v>36</v>
      </c>
      <c r="I685" s="33" t="n">
        <v>36</v>
      </c>
      <c r="J685" s="33" t="n">
        <v>36</v>
      </c>
      <c r="K685" s="32" t="n">
        <v>5000</v>
      </c>
      <c r="L685" s="33" t="str">
        <f aca="false">IF($B685="","",IFERROR(INDEX('Code Mapping'!$D$5:$D$1753,MATCH($B685,'Code Mapping'!$A$5:$A$1753,0)),"Unmapped"))</f>
        <v>My Book</v>
      </c>
      <c r="M685" s="33" t="str">
        <f aca="false">IF($B685="","",IFERROR(INDEX('Code Mapping'!$E$5:$E$1753,MATCH($B685,'Code Mapping'!$A$5:$A$1753,0)),"Unmapped"))</f>
        <v>Aggregator BOGO</v>
      </c>
      <c r="N685" s="33" t="str">
        <f aca="false">IF($F685="","",$F685)</f>
        <v>InflataPark</v>
      </c>
    </row>
    <row r="686" customFormat="false" ht="15" hidden="false" customHeight="false" outlineLevel="0" collapsed="false">
      <c r="A686" s="33" t="n">
        <v>5540</v>
      </c>
      <c r="B686" s="33" t="s">
        <v>1940</v>
      </c>
      <c r="C686" s="33"/>
      <c r="D686" s="33"/>
      <c r="E686" s="33" t="n">
        <v>96</v>
      </c>
      <c r="F686" s="33" t="s">
        <v>2154</v>
      </c>
      <c r="G686" s="33" t="s">
        <v>445</v>
      </c>
      <c r="H686" s="33" t="n">
        <v>169</v>
      </c>
      <c r="I686" s="33" t="n">
        <v>415</v>
      </c>
      <c r="J686" s="33" t="n">
        <v>415</v>
      </c>
      <c r="K686" s="32" t="n">
        <v>7155</v>
      </c>
      <c r="L686" s="33" t="str">
        <f aca="false">IF($B686="","",IFERROR(INDEX('Code Mapping'!$D$5:$D$1753,MATCH($B686,'Code Mapping'!$A$5:$A$1753,0)),"Unmapped"))</f>
        <v>Unmapped</v>
      </c>
      <c r="M686" s="33" t="str">
        <f aca="false">IF($B686="","",IFERROR(INDEX('Code Mapping'!$E$5:$E$1753,MATCH($B686,'Code Mapping'!$A$5:$A$1753,0)),"Unmapped"))</f>
        <v>Unmapped</v>
      </c>
      <c r="N686" s="33" t="str">
        <f aca="false">IF($F686="","",$F686)</f>
        <v>InflataCity 2025</v>
      </c>
    </row>
    <row r="687" customFormat="false" ht="15" hidden="false" customHeight="false" outlineLevel="0" collapsed="false">
      <c r="A687" s="33" t="n">
        <v>5566</v>
      </c>
      <c r="B687" s="33" t="s">
        <v>1935</v>
      </c>
      <c r="C687" s="33"/>
      <c r="D687" s="33"/>
      <c r="E687" s="33" t="n">
        <v>91</v>
      </c>
      <c r="F687" s="33" t="s">
        <v>36</v>
      </c>
      <c r="G687" s="33" t="s">
        <v>445</v>
      </c>
      <c r="H687" s="33" t="n">
        <v>56</v>
      </c>
      <c r="I687" s="33" t="n">
        <v>125</v>
      </c>
      <c r="J687" s="33" t="n">
        <v>125</v>
      </c>
      <c r="K687" s="32" t="n">
        <v>10250</v>
      </c>
      <c r="L687" s="33" t="str">
        <f aca="false">IF($B687="","",IFERROR(INDEX('Code Mapping'!$D$5:$D$1753,MATCH($B687,'Code Mapping'!$A$5:$A$1753,0)),"Unmapped"))</f>
        <v>Unmapped</v>
      </c>
      <c r="M687" s="33" t="str">
        <f aca="false">IF($B687="","",IFERROR(INDEX('Code Mapping'!$E$5:$E$1753,MATCH($B687,'Code Mapping'!$A$5:$A$1753,0)),"Unmapped"))</f>
        <v>Unmapped</v>
      </c>
      <c r="N687" s="33" t="str">
        <f aca="false">IF($F687="","",$F687)</f>
        <v>InflataPark</v>
      </c>
    </row>
    <row r="688" customFormat="false" ht="15" hidden="false" customHeight="false" outlineLevel="0" collapsed="false">
      <c r="A688" s="33" t="n">
        <v>5550</v>
      </c>
      <c r="B688" s="33" t="s">
        <v>1872</v>
      </c>
      <c r="C688" s="33"/>
      <c r="D688" s="33"/>
      <c r="E688" s="33" t="n">
        <v>96</v>
      </c>
      <c r="F688" s="33" t="s">
        <v>2154</v>
      </c>
      <c r="G688" s="33" t="s">
        <v>445</v>
      </c>
      <c r="H688" s="33" t="n">
        <v>1</v>
      </c>
      <c r="I688" s="33" t="n">
        <v>3</v>
      </c>
      <c r="J688" s="33" t="n">
        <v>3</v>
      </c>
      <c r="K688" s="32" t="n">
        <v>45</v>
      </c>
      <c r="L688" s="33" t="str">
        <f aca="false">IF($B688="","",IFERROR(INDEX('Code Mapping'!$D$5:$D$1753,MATCH($B688,'Code Mapping'!$A$5:$A$1753,0)),"Unmapped"))</f>
        <v>Unmapped</v>
      </c>
      <c r="M688" s="33" t="str">
        <f aca="false">IF($B688="","",IFERROR(INDEX('Code Mapping'!$E$5:$E$1753,MATCH($B688,'Code Mapping'!$A$5:$A$1753,0)),"Unmapped"))</f>
        <v>Unmapped</v>
      </c>
      <c r="N688" s="33" t="str">
        <f aca="false">IF($F688="","",$F688)</f>
        <v>InflataCity 2025</v>
      </c>
    </row>
    <row r="689" customFormat="false" ht="15" hidden="false" customHeight="false" outlineLevel="0" collapsed="false">
      <c r="A689" s="33" t="n">
        <v>5838</v>
      </c>
      <c r="B689" s="33" t="s">
        <v>1516</v>
      </c>
      <c r="C689" s="33" t="s">
        <v>1028</v>
      </c>
      <c r="D689" s="33"/>
      <c r="E689" s="33" t="n">
        <v>96</v>
      </c>
      <c r="F689" s="33" t="s">
        <v>2154</v>
      </c>
      <c r="G689" s="33" t="s">
        <v>445</v>
      </c>
      <c r="H689" s="33" t="n">
        <v>1</v>
      </c>
      <c r="I689" s="33" t="n">
        <v>1</v>
      </c>
      <c r="J689" s="33" t="n">
        <v>1</v>
      </c>
      <c r="K689" s="32" t="n">
        <v>300</v>
      </c>
      <c r="L689" s="33" t="str">
        <f aca="false">IF($B689="","",IFERROR(INDEX('Code Mapping'!$D$5:$D$1753,MATCH($B689,'Code Mapping'!$A$5:$A$1753,0)),"Unmapped"))</f>
        <v>Unmapped</v>
      </c>
      <c r="M689" s="33" t="str">
        <f aca="false">IF($B689="","",IFERROR(INDEX('Code Mapping'!$E$5:$E$1753,MATCH($B689,'Code Mapping'!$A$5:$A$1753,0)),"Unmapped"))</f>
        <v>Unmapped</v>
      </c>
      <c r="N689" s="33" t="str">
        <f aca="false">IF($F689="","",$F689)</f>
        <v>InflataCity 2025</v>
      </c>
    </row>
    <row r="690" customFormat="false" ht="15" hidden="false" customHeight="false" outlineLevel="0" collapsed="false">
      <c r="A690" s="33" t="n">
        <v>6473</v>
      </c>
      <c r="B690" s="33" t="s">
        <v>1514</v>
      </c>
      <c r="C690" s="33" t="s">
        <v>1026</v>
      </c>
      <c r="D690" s="33"/>
      <c r="E690" s="33" t="n">
        <v>96</v>
      </c>
      <c r="F690" s="33" t="s">
        <v>2154</v>
      </c>
      <c r="G690" s="33" t="s">
        <v>445</v>
      </c>
      <c r="H690" s="33" t="n">
        <v>1</v>
      </c>
      <c r="I690" s="33" t="n">
        <v>1</v>
      </c>
      <c r="J690" s="33" t="n">
        <v>1</v>
      </c>
      <c r="K690" s="32" t="n">
        <v>75</v>
      </c>
      <c r="L690" s="33" t="str">
        <f aca="false">IF($B690="","",IFERROR(INDEX('Code Mapping'!$D$5:$D$1753,MATCH($B690,'Code Mapping'!$A$5:$A$1753,0)),"Unmapped"))</f>
        <v>Unmapped</v>
      </c>
      <c r="M690" s="33" t="str">
        <f aca="false">IF($B690="","",IFERROR(INDEX('Code Mapping'!$E$5:$E$1753,MATCH($B690,'Code Mapping'!$A$5:$A$1753,0)),"Unmapped"))</f>
        <v>Unmapped</v>
      </c>
      <c r="N690" s="33" t="str">
        <f aca="false">IF($F690="","",$F690)</f>
        <v>InflataCity 2025</v>
      </c>
    </row>
    <row r="691" customFormat="false" ht="15" hidden="false" customHeight="false" outlineLevel="0" collapsed="false">
      <c r="A691" s="33" t="n">
        <v>6527</v>
      </c>
      <c r="B691" s="33" t="s">
        <v>1456</v>
      </c>
      <c r="C691" s="33" t="s">
        <v>1026</v>
      </c>
      <c r="D691" s="33"/>
      <c r="E691" s="33" t="n">
        <v>96</v>
      </c>
      <c r="F691" s="33" t="s">
        <v>2154</v>
      </c>
      <c r="G691" s="33" t="s">
        <v>445</v>
      </c>
      <c r="H691" s="33" t="n">
        <v>2</v>
      </c>
      <c r="I691" s="33" t="n">
        <v>2</v>
      </c>
      <c r="J691" s="33" t="n">
        <v>2</v>
      </c>
      <c r="K691" s="32" t="n">
        <v>150</v>
      </c>
      <c r="L691" s="33" t="str">
        <f aca="false">IF($B691="","",IFERROR(INDEX('Code Mapping'!$D$5:$D$1753,MATCH($B691,'Code Mapping'!$A$5:$A$1753,0)),"Unmapped"))</f>
        <v>Unmapped</v>
      </c>
      <c r="M691" s="33" t="str">
        <f aca="false">IF($B691="","",IFERROR(INDEX('Code Mapping'!$E$5:$E$1753,MATCH($B691,'Code Mapping'!$A$5:$A$1753,0)),"Unmapped"))</f>
        <v>Unmapped</v>
      </c>
      <c r="N691" s="33" t="str">
        <f aca="false">IF($F691="","",$F691)</f>
        <v>InflataCity 2025</v>
      </c>
    </row>
    <row r="692" customFormat="false" ht="15" hidden="false" customHeight="false" outlineLevel="0" collapsed="false">
      <c r="A692" s="33" t="n">
        <v>6350</v>
      </c>
      <c r="B692" s="33" t="s">
        <v>1470</v>
      </c>
      <c r="C692" s="33" t="s">
        <v>1026</v>
      </c>
      <c r="D692" s="33"/>
      <c r="E692" s="33" t="n">
        <v>96</v>
      </c>
      <c r="F692" s="33" t="s">
        <v>2154</v>
      </c>
      <c r="G692" s="33" t="s">
        <v>445</v>
      </c>
      <c r="H692" s="33" t="n">
        <v>1</v>
      </c>
      <c r="I692" s="33" t="n">
        <v>1</v>
      </c>
      <c r="J692" s="33" t="n">
        <v>1</v>
      </c>
      <c r="K692" s="32" t="n">
        <v>75</v>
      </c>
      <c r="L692" s="33" t="str">
        <f aca="false">IF($B692="","",IFERROR(INDEX('Code Mapping'!$D$5:$D$1753,MATCH($B692,'Code Mapping'!$A$5:$A$1753,0)),"Unmapped"))</f>
        <v>Unmapped</v>
      </c>
      <c r="M692" s="33" t="str">
        <f aca="false">IF($B692="","",IFERROR(INDEX('Code Mapping'!$E$5:$E$1753,MATCH($B692,'Code Mapping'!$A$5:$A$1753,0)),"Unmapped"))</f>
        <v>Unmapped</v>
      </c>
      <c r="N692" s="33" t="str">
        <f aca="false">IF($F692="","",$F692)</f>
        <v>InflataCity 2025</v>
      </c>
    </row>
    <row r="693" customFormat="false" ht="15" hidden="false" customHeight="false" outlineLevel="0" collapsed="false">
      <c r="A693" s="33" t="n">
        <v>5794</v>
      </c>
      <c r="B693" s="33" t="s">
        <v>1482</v>
      </c>
      <c r="C693" s="33" t="s">
        <v>1028</v>
      </c>
      <c r="D693" s="33"/>
      <c r="E693" s="33" t="n">
        <v>96</v>
      </c>
      <c r="F693" s="33" t="s">
        <v>2154</v>
      </c>
      <c r="G693" s="33" t="s">
        <v>445</v>
      </c>
      <c r="H693" s="33" t="n">
        <v>1</v>
      </c>
      <c r="I693" s="33" t="n">
        <v>1</v>
      </c>
      <c r="J693" s="33" t="n">
        <v>1</v>
      </c>
      <c r="K693" s="32" t="n">
        <v>300</v>
      </c>
      <c r="L693" s="33" t="str">
        <f aca="false">IF($B693="","",IFERROR(INDEX('Code Mapping'!$D$5:$D$1753,MATCH($B693,'Code Mapping'!$A$5:$A$1753,0)),"Unmapped"))</f>
        <v>Unmapped</v>
      </c>
      <c r="M693" s="33" t="str">
        <f aca="false">IF($B693="","",IFERROR(INDEX('Code Mapping'!$E$5:$E$1753,MATCH($B693,'Code Mapping'!$A$5:$A$1753,0)),"Unmapped"))</f>
        <v>Unmapped</v>
      </c>
      <c r="N693" s="33" t="str">
        <f aca="false">IF($F693="","",$F693)</f>
        <v>InflataCity 2025</v>
      </c>
    </row>
    <row r="694" customFormat="false" ht="15" hidden="false" customHeight="false" outlineLevel="0" collapsed="false">
      <c r="A694" s="33" t="n">
        <v>6254</v>
      </c>
      <c r="B694" s="33" t="s">
        <v>1481</v>
      </c>
      <c r="C694" s="33" t="s">
        <v>1032</v>
      </c>
      <c r="D694" s="33"/>
      <c r="E694" s="33" t="n">
        <v>96</v>
      </c>
      <c r="F694" s="33" t="s">
        <v>2154</v>
      </c>
      <c r="G694" s="33" t="s">
        <v>445</v>
      </c>
      <c r="H694" s="33" t="n">
        <v>1</v>
      </c>
      <c r="I694" s="33" t="n">
        <v>1</v>
      </c>
      <c r="J694" s="33" t="n">
        <v>1</v>
      </c>
      <c r="K694" s="32" t="n">
        <v>350</v>
      </c>
      <c r="L694" s="33" t="str">
        <f aca="false">IF($B694="","",IFERROR(INDEX('Code Mapping'!$D$5:$D$1753,MATCH($B694,'Code Mapping'!$A$5:$A$1753,0)),"Unmapped"))</f>
        <v>Unmapped</v>
      </c>
      <c r="M694" s="33" t="str">
        <f aca="false">IF($B694="","",IFERROR(INDEX('Code Mapping'!$E$5:$E$1753,MATCH($B694,'Code Mapping'!$A$5:$A$1753,0)),"Unmapped"))</f>
        <v>Unmapped</v>
      </c>
      <c r="N694" s="33" t="str">
        <f aca="false">IF($F694="","",$F694)</f>
        <v>InflataCity 2025</v>
      </c>
    </row>
    <row r="695" customFormat="false" ht="15" hidden="false" customHeight="false" outlineLevel="0" collapsed="false">
      <c r="A695" s="33" t="n">
        <v>6586</v>
      </c>
      <c r="B695" s="33" t="s">
        <v>1480</v>
      </c>
      <c r="C695" s="33" t="s">
        <v>1026</v>
      </c>
      <c r="D695" s="33"/>
      <c r="E695" s="33" t="n">
        <v>96</v>
      </c>
      <c r="F695" s="33" t="s">
        <v>2154</v>
      </c>
      <c r="G695" s="33" t="s">
        <v>445</v>
      </c>
      <c r="H695" s="33" t="n">
        <v>1</v>
      </c>
      <c r="I695" s="33" t="n">
        <v>1</v>
      </c>
      <c r="J695" s="33" t="n">
        <v>1</v>
      </c>
      <c r="K695" s="32" t="n">
        <v>75</v>
      </c>
      <c r="L695" s="33" t="str">
        <f aca="false">IF($B695="","",IFERROR(INDEX('Code Mapping'!$D$5:$D$1753,MATCH($B695,'Code Mapping'!$A$5:$A$1753,0)),"Unmapped"))</f>
        <v>Unmapped</v>
      </c>
      <c r="M695" s="33" t="str">
        <f aca="false">IF($B695="","",IFERROR(INDEX('Code Mapping'!$E$5:$E$1753,MATCH($B695,'Code Mapping'!$A$5:$A$1753,0)),"Unmapped"))</f>
        <v>Unmapped</v>
      </c>
      <c r="N695" s="33" t="str">
        <f aca="false">IF($F695="","",$F695)</f>
        <v>InflataCity 2025</v>
      </c>
    </row>
    <row r="696" customFormat="false" ht="15" hidden="false" customHeight="false" outlineLevel="0" collapsed="false">
      <c r="A696" s="33" t="n">
        <v>5883</v>
      </c>
      <c r="B696" s="33" t="s">
        <v>1479</v>
      </c>
      <c r="C696" s="33" t="s">
        <v>1028</v>
      </c>
      <c r="D696" s="33"/>
      <c r="E696" s="33" t="n">
        <v>96</v>
      </c>
      <c r="F696" s="33" t="s">
        <v>2154</v>
      </c>
      <c r="G696" s="33" t="s">
        <v>445</v>
      </c>
      <c r="H696" s="33" t="n">
        <v>1</v>
      </c>
      <c r="I696" s="33" t="n">
        <v>1</v>
      </c>
      <c r="J696" s="33" t="n">
        <v>1</v>
      </c>
      <c r="K696" s="32" t="n">
        <v>300</v>
      </c>
      <c r="L696" s="33" t="str">
        <f aca="false">IF($B696="","",IFERROR(INDEX('Code Mapping'!$D$5:$D$1753,MATCH($B696,'Code Mapping'!$A$5:$A$1753,0)),"Unmapped"))</f>
        <v>Unmapped</v>
      </c>
      <c r="M696" s="33" t="str">
        <f aca="false">IF($B696="","",IFERROR(INDEX('Code Mapping'!$E$5:$E$1753,MATCH($B696,'Code Mapping'!$A$5:$A$1753,0)),"Unmapped"))</f>
        <v>Unmapped</v>
      </c>
      <c r="N696" s="33" t="str">
        <f aca="false">IF($F696="","",$F696)</f>
        <v>InflataCity 2025</v>
      </c>
    </row>
    <row r="697" customFormat="false" ht="15" hidden="false" customHeight="false" outlineLevel="0" collapsed="false">
      <c r="A697" s="33" t="n">
        <v>6161</v>
      </c>
      <c r="B697" s="33" t="s">
        <v>1478</v>
      </c>
      <c r="C697" s="33" t="s">
        <v>1032</v>
      </c>
      <c r="D697" s="33"/>
      <c r="E697" s="33" t="n">
        <v>96</v>
      </c>
      <c r="F697" s="33" t="s">
        <v>2154</v>
      </c>
      <c r="G697" s="33" t="s">
        <v>445</v>
      </c>
      <c r="H697" s="33" t="n">
        <v>1</v>
      </c>
      <c r="I697" s="33" t="n">
        <v>1</v>
      </c>
      <c r="J697" s="33" t="n">
        <v>1</v>
      </c>
      <c r="K697" s="32" t="n">
        <v>350</v>
      </c>
      <c r="L697" s="33" t="str">
        <f aca="false">IF($B697="","",IFERROR(INDEX('Code Mapping'!$D$5:$D$1753,MATCH($B697,'Code Mapping'!$A$5:$A$1753,0)),"Unmapped"))</f>
        <v>Unmapped</v>
      </c>
      <c r="M697" s="33" t="str">
        <f aca="false">IF($B697="","",IFERROR(INDEX('Code Mapping'!$E$5:$E$1753,MATCH($B697,'Code Mapping'!$A$5:$A$1753,0)),"Unmapped"))</f>
        <v>Unmapped</v>
      </c>
      <c r="N697" s="33" t="str">
        <f aca="false">IF($F697="","",$F697)</f>
        <v>InflataCity 2025</v>
      </c>
    </row>
    <row r="698" customFormat="false" ht="15" hidden="false" customHeight="false" outlineLevel="0" collapsed="false">
      <c r="A698" s="33" t="n">
        <v>6312</v>
      </c>
      <c r="B698" s="33" t="s">
        <v>1477</v>
      </c>
      <c r="C698" s="33" t="s">
        <v>1026</v>
      </c>
      <c r="D698" s="33"/>
      <c r="E698" s="33" t="n">
        <v>96</v>
      </c>
      <c r="F698" s="33" t="s">
        <v>2154</v>
      </c>
      <c r="G698" s="33" t="s">
        <v>445</v>
      </c>
      <c r="H698" s="33" t="n">
        <v>1</v>
      </c>
      <c r="I698" s="33" t="n">
        <v>1</v>
      </c>
      <c r="J698" s="33" t="n">
        <v>1</v>
      </c>
      <c r="K698" s="32" t="n">
        <v>75</v>
      </c>
      <c r="L698" s="33" t="str">
        <f aca="false">IF($B698="","",IFERROR(INDEX('Code Mapping'!$D$5:$D$1753,MATCH($B698,'Code Mapping'!$A$5:$A$1753,0)),"Unmapped"))</f>
        <v>Unmapped</v>
      </c>
      <c r="M698" s="33" t="str">
        <f aca="false">IF($B698="","",IFERROR(INDEX('Code Mapping'!$E$5:$E$1753,MATCH($B698,'Code Mapping'!$A$5:$A$1753,0)),"Unmapped"))</f>
        <v>Unmapped</v>
      </c>
      <c r="N698" s="33" t="str">
        <f aca="false">IF($F698="","",$F698)</f>
        <v>InflataCity 2025</v>
      </c>
    </row>
    <row r="699" customFormat="false" ht="15" hidden="false" customHeight="false" outlineLevel="0" collapsed="false">
      <c r="A699" s="33" t="n">
        <v>6530</v>
      </c>
      <c r="B699" s="33" t="s">
        <v>1476</v>
      </c>
      <c r="C699" s="33" t="s">
        <v>1026</v>
      </c>
      <c r="D699" s="33"/>
      <c r="E699" s="33" t="n">
        <v>96</v>
      </c>
      <c r="F699" s="33" t="s">
        <v>2154</v>
      </c>
      <c r="G699" s="33" t="s">
        <v>445</v>
      </c>
      <c r="H699" s="33" t="n">
        <v>1</v>
      </c>
      <c r="I699" s="33" t="n">
        <v>1</v>
      </c>
      <c r="J699" s="33" t="n">
        <v>1</v>
      </c>
      <c r="K699" s="32" t="n">
        <v>75</v>
      </c>
      <c r="L699" s="33" t="str">
        <f aca="false">IF($B699="","",IFERROR(INDEX('Code Mapping'!$D$5:$D$1753,MATCH($B699,'Code Mapping'!$A$5:$A$1753,0)),"Unmapped"))</f>
        <v>Unmapped</v>
      </c>
      <c r="M699" s="33" t="str">
        <f aca="false">IF($B699="","",IFERROR(INDEX('Code Mapping'!$E$5:$E$1753,MATCH($B699,'Code Mapping'!$A$5:$A$1753,0)),"Unmapped"))</f>
        <v>Unmapped</v>
      </c>
      <c r="N699" s="33" t="str">
        <f aca="false">IF($F699="","",$F699)</f>
        <v>InflataCity 2025</v>
      </c>
    </row>
    <row r="700" customFormat="false" ht="15" hidden="false" customHeight="false" outlineLevel="0" collapsed="false">
      <c r="A700" s="33" t="n">
        <v>6431</v>
      </c>
      <c r="B700" s="33" t="s">
        <v>1475</v>
      </c>
      <c r="C700" s="33" t="s">
        <v>1026</v>
      </c>
      <c r="D700" s="33"/>
      <c r="E700" s="33" t="n">
        <v>96</v>
      </c>
      <c r="F700" s="33" t="s">
        <v>2154</v>
      </c>
      <c r="G700" s="33" t="s">
        <v>445</v>
      </c>
      <c r="H700" s="33" t="n">
        <v>1</v>
      </c>
      <c r="I700" s="33" t="n">
        <v>1</v>
      </c>
      <c r="J700" s="33" t="n">
        <v>1</v>
      </c>
      <c r="K700" s="32" t="n">
        <v>75</v>
      </c>
      <c r="L700" s="33" t="str">
        <f aca="false">IF($B700="","",IFERROR(INDEX('Code Mapping'!$D$5:$D$1753,MATCH($B700,'Code Mapping'!$A$5:$A$1753,0)),"Unmapped"))</f>
        <v>Unmapped</v>
      </c>
      <c r="M700" s="33" t="str">
        <f aca="false">IF($B700="","",IFERROR(INDEX('Code Mapping'!$E$5:$E$1753,MATCH($B700,'Code Mapping'!$A$5:$A$1753,0)),"Unmapped"))</f>
        <v>Unmapped</v>
      </c>
      <c r="N700" s="33" t="str">
        <f aca="false">IF($F700="","",$F700)</f>
        <v>InflataCity 2025</v>
      </c>
    </row>
    <row r="701" customFormat="false" ht="15" hidden="false" customHeight="false" outlineLevel="0" collapsed="false">
      <c r="A701" s="33" t="n">
        <v>6744</v>
      </c>
      <c r="B701" s="33" t="s">
        <v>1474</v>
      </c>
      <c r="C701" s="33" t="s">
        <v>1026</v>
      </c>
      <c r="D701" s="33"/>
      <c r="E701" s="33" t="n">
        <v>96</v>
      </c>
      <c r="F701" s="33" t="s">
        <v>2154</v>
      </c>
      <c r="G701" s="33" t="s">
        <v>445</v>
      </c>
      <c r="H701" s="33" t="n">
        <v>1</v>
      </c>
      <c r="I701" s="33" t="n">
        <v>1</v>
      </c>
      <c r="J701" s="33" t="n">
        <v>1</v>
      </c>
      <c r="K701" s="32" t="n">
        <v>75</v>
      </c>
      <c r="L701" s="33" t="str">
        <f aca="false">IF($B701="","",IFERROR(INDEX('Code Mapping'!$D$5:$D$1753,MATCH($B701,'Code Mapping'!$A$5:$A$1753,0)),"Unmapped"))</f>
        <v>Unmapped</v>
      </c>
      <c r="M701" s="33" t="str">
        <f aca="false">IF($B701="","",IFERROR(INDEX('Code Mapping'!$E$5:$E$1753,MATCH($B701,'Code Mapping'!$A$5:$A$1753,0)),"Unmapped"))</f>
        <v>Unmapped</v>
      </c>
      <c r="N701" s="33" t="str">
        <f aca="false">IF($F701="","",$F701)</f>
        <v>InflataCity 2025</v>
      </c>
    </row>
    <row r="702" customFormat="false" ht="15" hidden="false" customHeight="false" outlineLevel="0" collapsed="false">
      <c r="A702" s="33" t="n">
        <v>6498</v>
      </c>
      <c r="B702" s="33" t="s">
        <v>1473</v>
      </c>
      <c r="C702" s="33" t="s">
        <v>1026</v>
      </c>
      <c r="D702" s="33"/>
      <c r="E702" s="33" t="n">
        <v>96</v>
      </c>
      <c r="F702" s="33" t="s">
        <v>2154</v>
      </c>
      <c r="G702" s="33" t="s">
        <v>445</v>
      </c>
      <c r="H702" s="33" t="n">
        <v>1</v>
      </c>
      <c r="I702" s="33" t="n">
        <v>1</v>
      </c>
      <c r="J702" s="33" t="n">
        <v>1</v>
      </c>
      <c r="K702" s="32" t="n">
        <v>75</v>
      </c>
      <c r="L702" s="33" t="str">
        <f aca="false">IF($B702="","",IFERROR(INDEX('Code Mapping'!$D$5:$D$1753,MATCH($B702,'Code Mapping'!$A$5:$A$1753,0)),"Unmapped"))</f>
        <v>Unmapped</v>
      </c>
      <c r="M702" s="33" t="str">
        <f aca="false">IF($B702="","",IFERROR(INDEX('Code Mapping'!$E$5:$E$1753,MATCH($B702,'Code Mapping'!$A$5:$A$1753,0)),"Unmapped"))</f>
        <v>Unmapped</v>
      </c>
      <c r="N702" s="33" t="str">
        <f aca="false">IF($F702="","",$F702)</f>
        <v>InflataCity 2025</v>
      </c>
    </row>
    <row r="703" customFormat="false" ht="15" hidden="false" customHeight="false" outlineLevel="0" collapsed="false">
      <c r="A703" s="33" t="n">
        <v>6573</v>
      </c>
      <c r="B703" s="33" t="s">
        <v>1472</v>
      </c>
      <c r="C703" s="33" t="s">
        <v>1026</v>
      </c>
      <c r="D703" s="33"/>
      <c r="E703" s="33" t="n">
        <v>96</v>
      </c>
      <c r="F703" s="33" t="s">
        <v>2154</v>
      </c>
      <c r="G703" s="33" t="s">
        <v>445</v>
      </c>
      <c r="H703" s="33" t="n">
        <v>1</v>
      </c>
      <c r="I703" s="33" t="n">
        <v>1</v>
      </c>
      <c r="J703" s="33" t="n">
        <v>1</v>
      </c>
      <c r="K703" s="32" t="n">
        <v>75</v>
      </c>
      <c r="L703" s="33" t="str">
        <f aca="false">IF($B703="","",IFERROR(INDEX('Code Mapping'!$D$5:$D$1753,MATCH($B703,'Code Mapping'!$A$5:$A$1753,0)),"Unmapped"))</f>
        <v>Unmapped</v>
      </c>
      <c r="M703" s="33" t="str">
        <f aca="false">IF($B703="","",IFERROR(INDEX('Code Mapping'!$E$5:$E$1753,MATCH($B703,'Code Mapping'!$A$5:$A$1753,0)),"Unmapped"))</f>
        <v>Unmapped</v>
      </c>
      <c r="N703" s="33" t="str">
        <f aca="false">IF($F703="","",$F703)</f>
        <v>InflataCity 2025</v>
      </c>
    </row>
    <row r="704" customFormat="false" ht="15" hidden="false" customHeight="false" outlineLevel="0" collapsed="false">
      <c r="A704" s="33" t="n">
        <v>6221</v>
      </c>
      <c r="B704" s="33" t="s">
        <v>1471</v>
      </c>
      <c r="C704" s="33" t="s">
        <v>1032</v>
      </c>
      <c r="D704" s="33"/>
      <c r="E704" s="33" t="n">
        <v>96</v>
      </c>
      <c r="F704" s="33" t="s">
        <v>2154</v>
      </c>
      <c r="G704" s="33" t="s">
        <v>445</v>
      </c>
      <c r="H704" s="33" t="n">
        <v>1</v>
      </c>
      <c r="I704" s="33" t="n">
        <v>1</v>
      </c>
      <c r="J704" s="33" t="n">
        <v>1</v>
      </c>
      <c r="K704" s="32" t="n">
        <v>350</v>
      </c>
      <c r="L704" s="33" t="str">
        <f aca="false">IF($B704="","",IFERROR(INDEX('Code Mapping'!$D$5:$D$1753,MATCH($B704,'Code Mapping'!$A$5:$A$1753,0)),"Unmapped"))</f>
        <v>Unmapped</v>
      </c>
      <c r="M704" s="33" t="str">
        <f aca="false">IF($B704="","",IFERROR(INDEX('Code Mapping'!$E$5:$E$1753,MATCH($B704,'Code Mapping'!$A$5:$A$1753,0)),"Unmapped"))</f>
        <v>Unmapped</v>
      </c>
      <c r="N704" s="33" t="str">
        <f aca="false">IF($F704="","",$F704)</f>
        <v>InflataCity 2025</v>
      </c>
    </row>
    <row r="705" customFormat="false" ht="15" hidden="false" customHeight="false" outlineLevel="0" collapsed="false">
      <c r="A705" s="33" t="n">
        <v>6585</v>
      </c>
      <c r="B705" s="33" t="s">
        <v>1469</v>
      </c>
      <c r="C705" s="33" t="s">
        <v>1026</v>
      </c>
      <c r="D705" s="33"/>
      <c r="E705" s="33" t="n">
        <v>96</v>
      </c>
      <c r="F705" s="33" t="s">
        <v>2154</v>
      </c>
      <c r="G705" s="33" t="s">
        <v>445</v>
      </c>
      <c r="H705" s="33" t="n">
        <v>1</v>
      </c>
      <c r="I705" s="33" t="n">
        <v>1</v>
      </c>
      <c r="J705" s="33" t="n">
        <v>1</v>
      </c>
      <c r="K705" s="32" t="n">
        <v>75</v>
      </c>
      <c r="L705" s="33" t="str">
        <f aca="false">IF($B705="","",IFERROR(INDEX('Code Mapping'!$D$5:$D$1753,MATCH($B705,'Code Mapping'!$A$5:$A$1753,0)),"Unmapped"))</f>
        <v>Unmapped</v>
      </c>
      <c r="M705" s="33" t="str">
        <f aca="false">IF($B705="","",IFERROR(INDEX('Code Mapping'!$E$5:$E$1753,MATCH($B705,'Code Mapping'!$A$5:$A$1753,0)),"Unmapped"))</f>
        <v>Unmapped</v>
      </c>
      <c r="N705" s="33" t="str">
        <f aca="false">IF($F705="","",$F705)</f>
        <v>InflataCity 2025</v>
      </c>
    </row>
    <row r="706" customFormat="false" ht="15" hidden="false" customHeight="false" outlineLevel="0" collapsed="false">
      <c r="A706" s="33" t="n">
        <v>5747</v>
      </c>
      <c r="B706" s="33" t="s">
        <v>1513</v>
      </c>
      <c r="C706" s="33" t="s">
        <v>1028</v>
      </c>
      <c r="D706" s="33"/>
      <c r="E706" s="33" t="n">
        <v>96</v>
      </c>
      <c r="F706" s="33" t="s">
        <v>2154</v>
      </c>
      <c r="G706" s="33" t="s">
        <v>445</v>
      </c>
      <c r="H706" s="33" t="n">
        <v>1</v>
      </c>
      <c r="I706" s="33" t="n">
        <v>1</v>
      </c>
      <c r="J706" s="33" t="n">
        <v>1</v>
      </c>
      <c r="K706" s="32" t="n">
        <v>300</v>
      </c>
      <c r="L706" s="33" t="str">
        <f aca="false">IF($B706="","",IFERROR(INDEX('Code Mapping'!$D$5:$D$1753,MATCH($B706,'Code Mapping'!$A$5:$A$1753,0)),"Unmapped"))</f>
        <v>Unmapped</v>
      </c>
      <c r="M706" s="33" t="str">
        <f aca="false">IF($B706="","",IFERROR(INDEX('Code Mapping'!$E$5:$E$1753,MATCH($B706,'Code Mapping'!$A$5:$A$1753,0)),"Unmapped"))</f>
        <v>Unmapped</v>
      </c>
      <c r="N706" s="33" t="str">
        <f aca="false">IF($F706="","",$F706)</f>
        <v>InflataCity 2025</v>
      </c>
    </row>
    <row r="707" customFormat="false" ht="15" hidden="false" customHeight="false" outlineLevel="0" collapsed="false">
      <c r="A707" s="33" t="n">
        <v>6653</v>
      </c>
      <c r="B707" s="33" t="s">
        <v>1468</v>
      </c>
      <c r="C707" s="33" t="s">
        <v>1026</v>
      </c>
      <c r="D707" s="33"/>
      <c r="E707" s="33" t="n">
        <v>96</v>
      </c>
      <c r="F707" s="33" t="s">
        <v>2154</v>
      </c>
      <c r="G707" s="33" t="s">
        <v>445</v>
      </c>
      <c r="H707" s="33" t="n">
        <v>1</v>
      </c>
      <c r="I707" s="33" t="n">
        <v>1</v>
      </c>
      <c r="J707" s="33" t="n">
        <v>1</v>
      </c>
      <c r="K707" s="32" t="n">
        <v>75</v>
      </c>
      <c r="L707" s="33" t="str">
        <f aca="false">IF($B707="","",IFERROR(INDEX('Code Mapping'!$D$5:$D$1753,MATCH($B707,'Code Mapping'!$A$5:$A$1753,0)),"Unmapped"))</f>
        <v>Unmapped</v>
      </c>
      <c r="M707" s="33" t="str">
        <f aca="false">IF($B707="","",IFERROR(INDEX('Code Mapping'!$E$5:$E$1753,MATCH($B707,'Code Mapping'!$A$5:$A$1753,0)),"Unmapped"))</f>
        <v>Unmapped</v>
      </c>
      <c r="N707" s="33" t="str">
        <f aca="false">IF($F707="","",$F707)</f>
        <v>InflataCity 2025</v>
      </c>
    </row>
    <row r="708" customFormat="false" ht="15" hidden="false" customHeight="false" outlineLevel="0" collapsed="false">
      <c r="A708" s="33" t="n">
        <v>6453</v>
      </c>
      <c r="B708" s="33" t="s">
        <v>1467</v>
      </c>
      <c r="C708" s="33" t="s">
        <v>1026</v>
      </c>
      <c r="D708" s="33"/>
      <c r="E708" s="33" t="n">
        <v>96</v>
      </c>
      <c r="F708" s="33" t="s">
        <v>2154</v>
      </c>
      <c r="G708" s="33" t="s">
        <v>445</v>
      </c>
      <c r="H708" s="33" t="n">
        <v>1</v>
      </c>
      <c r="I708" s="33" t="n">
        <v>1</v>
      </c>
      <c r="J708" s="33" t="n">
        <v>1</v>
      </c>
      <c r="K708" s="32" t="n">
        <v>75</v>
      </c>
      <c r="L708" s="33" t="str">
        <f aca="false">IF($B708="","",IFERROR(INDEX('Code Mapping'!$D$5:$D$1753,MATCH($B708,'Code Mapping'!$A$5:$A$1753,0)),"Unmapped"))</f>
        <v>Unmapped</v>
      </c>
      <c r="M708" s="33" t="str">
        <f aca="false">IF($B708="","",IFERROR(INDEX('Code Mapping'!$E$5:$E$1753,MATCH($B708,'Code Mapping'!$A$5:$A$1753,0)),"Unmapped"))</f>
        <v>Unmapped</v>
      </c>
      <c r="N708" s="33" t="str">
        <f aca="false">IF($F708="","",$F708)</f>
        <v>InflataCity 2025</v>
      </c>
    </row>
    <row r="709" customFormat="false" ht="15" hidden="false" customHeight="false" outlineLevel="0" collapsed="false">
      <c r="A709" s="33" t="n">
        <v>5742</v>
      </c>
      <c r="B709" s="33" t="s">
        <v>1466</v>
      </c>
      <c r="C709" s="33" t="s">
        <v>1028</v>
      </c>
      <c r="D709" s="33"/>
      <c r="E709" s="33" t="n">
        <v>96</v>
      </c>
      <c r="F709" s="33" t="s">
        <v>2154</v>
      </c>
      <c r="G709" s="33" t="s">
        <v>445</v>
      </c>
      <c r="H709" s="33" t="n">
        <v>1</v>
      </c>
      <c r="I709" s="33" t="n">
        <v>1</v>
      </c>
      <c r="J709" s="33" t="n">
        <v>1</v>
      </c>
      <c r="K709" s="32" t="n">
        <v>300</v>
      </c>
      <c r="L709" s="33" t="str">
        <f aca="false">IF($B709="","",IFERROR(INDEX('Code Mapping'!$D$5:$D$1753,MATCH($B709,'Code Mapping'!$A$5:$A$1753,0)),"Unmapped"))</f>
        <v>Unmapped</v>
      </c>
      <c r="M709" s="33" t="str">
        <f aca="false">IF($B709="","",IFERROR(INDEX('Code Mapping'!$E$5:$E$1753,MATCH($B709,'Code Mapping'!$A$5:$A$1753,0)),"Unmapped"))</f>
        <v>Unmapped</v>
      </c>
      <c r="N709" s="33" t="str">
        <f aca="false">IF($F709="","",$F709)</f>
        <v>InflataCity 2025</v>
      </c>
    </row>
    <row r="710" customFormat="false" ht="15" hidden="false" customHeight="false" outlineLevel="0" collapsed="false">
      <c r="A710" s="33" t="n">
        <v>6242</v>
      </c>
      <c r="B710" s="33" t="s">
        <v>1465</v>
      </c>
      <c r="C710" s="33" t="s">
        <v>1032</v>
      </c>
      <c r="D710" s="33"/>
      <c r="E710" s="33" t="n">
        <v>96</v>
      </c>
      <c r="F710" s="33" t="s">
        <v>2154</v>
      </c>
      <c r="G710" s="33" t="s">
        <v>445</v>
      </c>
      <c r="H710" s="33" t="n">
        <v>1</v>
      </c>
      <c r="I710" s="33" t="n">
        <v>1</v>
      </c>
      <c r="J710" s="33" t="n">
        <v>1</v>
      </c>
      <c r="K710" s="32" t="n">
        <v>350</v>
      </c>
      <c r="L710" s="33" t="str">
        <f aca="false">IF($B710="","",IFERROR(INDEX('Code Mapping'!$D$5:$D$1753,MATCH($B710,'Code Mapping'!$A$5:$A$1753,0)),"Unmapped"))</f>
        <v>Unmapped</v>
      </c>
      <c r="M710" s="33" t="str">
        <f aca="false">IF($B710="","",IFERROR(INDEX('Code Mapping'!$E$5:$E$1753,MATCH($B710,'Code Mapping'!$A$5:$A$1753,0)),"Unmapped"))</f>
        <v>Unmapped</v>
      </c>
      <c r="N710" s="33" t="str">
        <f aca="false">IF($F710="","",$F710)</f>
        <v>InflataCity 2025</v>
      </c>
    </row>
    <row r="711" customFormat="false" ht="15" hidden="false" customHeight="false" outlineLevel="0" collapsed="false">
      <c r="A711" s="33" t="n">
        <v>6280</v>
      </c>
      <c r="B711" s="33" t="s">
        <v>1464</v>
      </c>
      <c r="C711" s="33" t="s">
        <v>1026</v>
      </c>
      <c r="D711" s="33"/>
      <c r="E711" s="33" t="n">
        <v>96</v>
      </c>
      <c r="F711" s="33" t="s">
        <v>2154</v>
      </c>
      <c r="G711" s="33" t="s">
        <v>445</v>
      </c>
      <c r="H711" s="33" t="n">
        <v>1</v>
      </c>
      <c r="I711" s="33" t="n">
        <v>1</v>
      </c>
      <c r="J711" s="33" t="n">
        <v>1</v>
      </c>
      <c r="K711" s="32" t="n">
        <v>75</v>
      </c>
      <c r="L711" s="33" t="str">
        <f aca="false">IF($B711="","",IFERROR(INDEX('Code Mapping'!$D$5:$D$1753,MATCH($B711,'Code Mapping'!$A$5:$A$1753,0)),"Unmapped"))</f>
        <v>Unmapped</v>
      </c>
      <c r="M711" s="33" t="str">
        <f aca="false">IF($B711="","",IFERROR(INDEX('Code Mapping'!$E$5:$E$1753,MATCH($B711,'Code Mapping'!$A$5:$A$1753,0)),"Unmapped"))</f>
        <v>Unmapped</v>
      </c>
      <c r="N711" s="33" t="str">
        <f aca="false">IF($F711="","",$F711)</f>
        <v>InflataCity 2025</v>
      </c>
    </row>
    <row r="712" customFormat="false" ht="15" hidden="false" customHeight="false" outlineLevel="0" collapsed="false">
      <c r="A712" s="33" t="n">
        <v>5717</v>
      </c>
      <c r="B712" s="33" t="s">
        <v>1463</v>
      </c>
      <c r="C712" s="33" t="s">
        <v>1028</v>
      </c>
      <c r="D712" s="33"/>
      <c r="E712" s="33" t="n">
        <v>96</v>
      </c>
      <c r="F712" s="33" t="s">
        <v>2154</v>
      </c>
      <c r="G712" s="33" t="s">
        <v>445</v>
      </c>
      <c r="H712" s="33" t="n">
        <v>1</v>
      </c>
      <c r="I712" s="33" t="n">
        <v>1</v>
      </c>
      <c r="J712" s="33" t="n">
        <v>1</v>
      </c>
      <c r="K712" s="32" t="n">
        <v>300</v>
      </c>
      <c r="L712" s="33" t="str">
        <f aca="false">IF($B712="","",IFERROR(INDEX('Code Mapping'!$D$5:$D$1753,MATCH($B712,'Code Mapping'!$A$5:$A$1753,0)),"Unmapped"))</f>
        <v>Unmapped</v>
      </c>
      <c r="M712" s="33" t="str">
        <f aca="false">IF($B712="","",IFERROR(INDEX('Code Mapping'!$E$5:$E$1753,MATCH($B712,'Code Mapping'!$A$5:$A$1753,0)),"Unmapped"))</f>
        <v>Unmapped</v>
      </c>
      <c r="N712" s="33" t="str">
        <f aca="false">IF($F712="","",$F712)</f>
        <v>InflataCity 2025</v>
      </c>
    </row>
    <row r="713" customFormat="false" ht="15" hidden="false" customHeight="false" outlineLevel="0" collapsed="false">
      <c r="A713" s="33" t="n">
        <v>6274</v>
      </c>
      <c r="B713" s="33" t="s">
        <v>1462</v>
      </c>
      <c r="C713" s="33" t="s">
        <v>1026</v>
      </c>
      <c r="D713" s="33"/>
      <c r="E713" s="33" t="n">
        <v>96</v>
      </c>
      <c r="F713" s="33" t="s">
        <v>2154</v>
      </c>
      <c r="G713" s="33" t="s">
        <v>445</v>
      </c>
      <c r="H713" s="33" t="n">
        <v>1</v>
      </c>
      <c r="I713" s="33" t="n">
        <v>1</v>
      </c>
      <c r="J713" s="33" t="n">
        <v>1</v>
      </c>
      <c r="K713" s="32" t="n">
        <v>75</v>
      </c>
      <c r="L713" s="33" t="str">
        <f aca="false">IF($B713="","",IFERROR(INDEX('Code Mapping'!$D$5:$D$1753,MATCH($B713,'Code Mapping'!$A$5:$A$1753,0)),"Unmapped"))</f>
        <v>Unmapped</v>
      </c>
      <c r="M713" s="33" t="str">
        <f aca="false">IF($B713="","",IFERROR(INDEX('Code Mapping'!$E$5:$E$1753,MATCH($B713,'Code Mapping'!$A$5:$A$1753,0)),"Unmapped"))</f>
        <v>Unmapped</v>
      </c>
      <c r="N713" s="33" t="str">
        <f aca="false">IF($F713="","",$F713)</f>
        <v>InflataCity 2025</v>
      </c>
    </row>
    <row r="714" customFormat="false" ht="15" hidden="false" customHeight="false" outlineLevel="0" collapsed="false">
      <c r="A714" s="33" t="n">
        <v>5727</v>
      </c>
      <c r="B714" s="33" t="s">
        <v>1461</v>
      </c>
      <c r="C714" s="33" t="s">
        <v>1028</v>
      </c>
      <c r="D714" s="33"/>
      <c r="E714" s="33" t="n">
        <v>96</v>
      </c>
      <c r="F714" s="33" t="s">
        <v>2154</v>
      </c>
      <c r="G714" s="33" t="s">
        <v>445</v>
      </c>
      <c r="H714" s="33" t="n">
        <v>1</v>
      </c>
      <c r="I714" s="33" t="n">
        <v>1</v>
      </c>
      <c r="J714" s="33" t="n">
        <v>1</v>
      </c>
      <c r="K714" s="32" t="n">
        <v>300</v>
      </c>
      <c r="L714" s="33" t="str">
        <f aca="false">IF($B714="","",IFERROR(INDEX('Code Mapping'!$D$5:$D$1753,MATCH($B714,'Code Mapping'!$A$5:$A$1753,0)),"Unmapped"))</f>
        <v>Unmapped</v>
      </c>
      <c r="M714" s="33" t="str">
        <f aca="false">IF($B714="","",IFERROR(INDEX('Code Mapping'!$E$5:$E$1753,MATCH($B714,'Code Mapping'!$A$5:$A$1753,0)),"Unmapped"))</f>
        <v>Unmapped</v>
      </c>
      <c r="N714" s="33" t="str">
        <f aca="false">IF($F714="","",$F714)</f>
        <v>InflataCity 2025</v>
      </c>
    </row>
    <row r="715" customFormat="false" ht="15" hidden="false" customHeight="false" outlineLevel="0" collapsed="false">
      <c r="A715" s="33" t="n">
        <v>5789</v>
      </c>
      <c r="B715" s="33" t="s">
        <v>1460</v>
      </c>
      <c r="C715" s="33" t="s">
        <v>1028</v>
      </c>
      <c r="D715" s="33"/>
      <c r="E715" s="33" t="n">
        <v>96</v>
      </c>
      <c r="F715" s="33" t="s">
        <v>2154</v>
      </c>
      <c r="G715" s="33" t="s">
        <v>445</v>
      </c>
      <c r="H715" s="33" t="n">
        <v>1</v>
      </c>
      <c r="I715" s="33" t="n">
        <v>1</v>
      </c>
      <c r="J715" s="33" t="n">
        <v>1</v>
      </c>
      <c r="K715" s="32" t="n">
        <v>300</v>
      </c>
      <c r="L715" s="33" t="str">
        <f aca="false">IF($B715="","",IFERROR(INDEX('Code Mapping'!$D$5:$D$1753,MATCH($B715,'Code Mapping'!$A$5:$A$1753,0)),"Unmapped"))</f>
        <v>Unmapped</v>
      </c>
      <c r="M715" s="33" t="str">
        <f aca="false">IF($B715="","",IFERROR(INDEX('Code Mapping'!$E$5:$E$1753,MATCH($B715,'Code Mapping'!$A$5:$A$1753,0)),"Unmapped"))</f>
        <v>Unmapped</v>
      </c>
      <c r="N715" s="33" t="str">
        <f aca="false">IF($F715="","",$F715)</f>
        <v>InflataCity 2025</v>
      </c>
    </row>
    <row r="716" customFormat="false" ht="15" hidden="false" customHeight="false" outlineLevel="0" collapsed="false">
      <c r="A716" s="33" t="n">
        <v>6405</v>
      </c>
      <c r="B716" s="33" t="s">
        <v>1459</v>
      </c>
      <c r="C716" s="33" t="s">
        <v>1026</v>
      </c>
      <c r="D716" s="33"/>
      <c r="E716" s="33" t="n">
        <v>96</v>
      </c>
      <c r="F716" s="33" t="s">
        <v>2154</v>
      </c>
      <c r="G716" s="33" t="s">
        <v>445</v>
      </c>
      <c r="H716" s="33" t="n">
        <v>1</v>
      </c>
      <c r="I716" s="33" t="n">
        <v>1</v>
      </c>
      <c r="J716" s="33" t="n">
        <v>1</v>
      </c>
      <c r="K716" s="32" t="n">
        <v>75</v>
      </c>
      <c r="L716" s="33" t="str">
        <f aca="false">IF($B716="","",IFERROR(INDEX('Code Mapping'!$D$5:$D$1753,MATCH($B716,'Code Mapping'!$A$5:$A$1753,0)),"Unmapped"))</f>
        <v>Unmapped</v>
      </c>
      <c r="M716" s="33" t="str">
        <f aca="false">IF($B716="","",IFERROR(INDEX('Code Mapping'!$E$5:$E$1753,MATCH($B716,'Code Mapping'!$A$5:$A$1753,0)),"Unmapped"))</f>
        <v>Unmapped</v>
      </c>
      <c r="N716" s="33" t="str">
        <f aca="false">IF($F716="","",$F716)</f>
        <v>InflataCity 2025</v>
      </c>
    </row>
    <row r="717" customFormat="false" ht="15" hidden="false" customHeight="false" outlineLevel="0" collapsed="false">
      <c r="A717" s="33" t="n">
        <v>6326</v>
      </c>
      <c r="B717" s="33" t="s">
        <v>1458</v>
      </c>
      <c r="C717" s="33" t="s">
        <v>1026</v>
      </c>
      <c r="D717" s="33"/>
      <c r="E717" s="33" t="n">
        <v>96</v>
      </c>
      <c r="F717" s="33" t="s">
        <v>2154</v>
      </c>
      <c r="G717" s="33" t="s">
        <v>445</v>
      </c>
      <c r="H717" s="33" t="n">
        <v>1</v>
      </c>
      <c r="I717" s="33" t="n">
        <v>1</v>
      </c>
      <c r="J717" s="33" t="n">
        <v>1</v>
      </c>
      <c r="K717" s="32" t="n">
        <v>75</v>
      </c>
      <c r="L717" s="33" t="str">
        <f aca="false">IF($B717="","",IFERROR(INDEX('Code Mapping'!$D$5:$D$1753,MATCH($B717,'Code Mapping'!$A$5:$A$1753,0)),"Unmapped"))</f>
        <v>Unmapped</v>
      </c>
      <c r="M717" s="33" t="str">
        <f aca="false">IF($B717="","",IFERROR(INDEX('Code Mapping'!$E$5:$E$1753,MATCH($B717,'Code Mapping'!$A$5:$A$1753,0)),"Unmapped"))</f>
        <v>Unmapped</v>
      </c>
      <c r="N717" s="33" t="str">
        <f aca="false">IF($F717="","",$F717)</f>
        <v>InflataCity 2025</v>
      </c>
    </row>
    <row r="718" customFormat="false" ht="15" hidden="false" customHeight="false" outlineLevel="0" collapsed="false">
      <c r="A718" s="33" t="n">
        <v>5862</v>
      </c>
      <c r="B718" s="33" t="s">
        <v>1457</v>
      </c>
      <c r="C718" s="33" t="s">
        <v>1028</v>
      </c>
      <c r="D718" s="33"/>
      <c r="E718" s="33" t="n">
        <v>96</v>
      </c>
      <c r="F718" s="33" t="s">
        <v>2154</v>
      </c>
      <c r="G718" s="33" t="s">
        <v>445</v>
      </c>
      <c r="H718" s="33" t="n">
        <v>1</v>
      </c>
      <c r="I718" s="33" t="n">
        <v>1</v>
      </c>
      <c r="J718" s="33" t="n">
        <v>1</v>
      </c>
      <c r="K718" s="32" t="n">
        <v>300</v>
      </c>
      <c r="L718" s="33" t="str">
        <f aca="false">IF($B718="","",IFERROR(INDEX('Code Mapping'!$D$5:$D$1753,MATCH($B718,'Code Mapping'!$A$5:$A$1753,0)),"Unmapped"))</f>
        <v>Unmapped</v>
      </c>
      <c r="M718" s="33" t="str">
        <f aca="false">IF($B718="","",IFERROR(INDEX('Code Mapping'!$E$5:$E$1753,MATCH($B718,'Code Mapping'!$A$5:$A$1753,0)),"Unmapped"))</f>
        <v>Unmapped</v>
      </c>
      <c r="N718" s="33" t="str">
        <f aca="false">IF($F718="","",$F718)</f>
        <v>InflataCity 2025</v>
      </c>
    </row>
    <row r="719" customFormat="false" ht="15" hidden="false" customHeight="false" outlineLevel="0" collapsed="false">
      <c r="A719" s="33" t="n">
        <v>6497</v>
      </c>
      <c r="B719" s="33" t="s">
        <v>1483</v>
      </c>
      <c r="C719" s="33" t="s">
        <v>1026</v>
      </c>
      <c r="D719" s="33"/>
      <c r="E719" s="33" t="n">
        <v>96</v>
      </c>
      <c r="F719" s="33" t="s">
        <v>2154</v>
      </c>
      <c r="G719" s="33" t="s">
        <v>445</v>
      </c>
      <c r="H719" s="33" t="n">
        <v>1</v>
      </c>
      <c r="I719" s="33" t="n">
        <v>1</v>
      </c>
      <c r="J719" s="33" t="n">
        <v>1</v>
      </c>
      <c r="K719" s="32" t="n">
        <v>75</v>
      </c>
      <c r="L719" s="33" t="str">
        <f aca="false">IF($B719="","",IFERROR(INDEX('Code Mapping'!$D$5:$D$1753,MATCH($B719,'Code Mapping'!$A$5:$A$1753,0)),"Unmapped"))</f>
        <v>Unmapped</v>
      </c>
      <c r="M719" s="33" t="str">
        <f aca="false">IF($B719="","",IFERROR(INDEX('Code Mapping'!$E$5:$E$1753,MATCH($B719,'Code Mapping'!$A$5:$A$1753,0)),"Unmapped"))</f>
        <v>Unmapped</v>
      </c>
      <c r="N719" s="33" t="str">
        <f aca="false">IF($F719="","",$F719)</f>
        <v>InflataCity 2025</v>
      </c>
    </row>
    <row r="720" customFormat="false" ht="15" hidden="false" customHeight="false" outlineLevel="0" collapsed="false">
      <c r="A720" s="33" t="n">
        <v>6592</v>
      </c>
      <c r="B720" s="33" t="s">
        <v>1484</v>
      </c>
      <c r="C720" s="33" t="s">
        <v>1026</v>
      </c>
      <c r="D720" s="33"/>
      <c r="E720" s="33" t="n">
        <v>96</v>
      </c>
      <c r="F720" s="33" t="s">
        <v>2154</v>
      </c>
      <c r="G720" s="33" t="s">
        <v>445</v>
      </c>
      <c r="H720" s="33" t="n">
        <v>1</v>
      </c>
      <c r="I720" s="33" t="n">
        <v>1</v>
      </c>
      <c r="J720" s="33" t="n">
        <v>1</v>
      </c>
      <c r="K720" s="32" t="n">
        <v>75</v>
      </c>
      <c r="L720" s="33" t="str">
        <f aca="false">IF($B720="","",IFERROR(INDEX('Code Mapping'!$D$5:$D$1753,MATCH($B720,'Code Mapping'!$A$5:$A$1753,0)),"Unmapped"))</f>
        <v>Unmapped</v>
      </c>
      <c r="M720" s="33" t="str">
        <f aca="false">IF($B720="","",IFERROR(INDEX('Code Mapping'!$E$5:$E$1753,MATCH($B720,'Code Mapping'!$A$5:$A$1753,0)),"Unmapped"))</f>
        <v>Unmapped</v>
      </c>
      <c r="N720" s="33" t="str">
        <f aca="false">IF($F720="","",$F720)</f>
        <v>InflataCity 2025</v>
      </c>
    </row>
    <row r="721" customFormat="false" ht="15" hidden="false" customHeight="false" outlineLevel="0" collapsed="false">
      <c r="A721" s="33" t="n">
        <v>6541</v>
      </c>
      <c r="B721" s="33" t="s">
        <v>1485</v>
      </c>
      <c r="C721" s="33" t="s">
        <v>1026</v>
      </c>
      <c r="D721" s="33"/>
      <c r="E721" s="33" t="n">
        <v>96</v>
      </c>
      <c r="F721" s="33" t="s">
        <v>2154</v>
      </c>
      <c r="G721" s="33" t="s">
        <v>445</v>
      </c>
      <c r="H721" s="33" t="n">
        <v>1</v>
      </c>
      <c r="I721" s="33" t="n">
        <v>1</v>
      </c>
      <c r="J721" s="33" t="n">
        <v>1</v>
      </c>
      <c r="K721" s="32" t="n">
        <v>75</v>
      </c>
      <c r="L721" s="33" t="str">
        <f aca="false">IF($B721="","",IFERROR(INDEX('Code Mapping'!$D$5:$D$1753,MATCH($B721,'Code Mapping'!$A$5:$A$1753,0)),"Unmapped"))</f>
        <v>Unmapped</v>
      </c>
      <c r="M721" s="33" t="str">
        <f aca="false">IF($B721="","",IFERROR(INDEX('Code Mapping'!$E$5:$E$1753,MATCH($B721,'Code Mapping'!$A$5:$A$1753,0)),"Unmapped"))</f>
        <v>Unmapped</v>
      </c>
      <c r="N721" s="33" t="str">
        <f aca="false">IF($F721="","",$F721)</f>
        <v>InflataCity 2025</v>
      </c>
    </row>
    <row r="722" customFormat="false" ht="15" hidden="false" customHeight="false" outlineLevel="0" collapsed="false">
      <c r="A722" s="33" t="n">
        <v>6459</v>
      </c>
      <c r="B722" s="33" t="s">
        <v>1486</v>
      </c>
      <c r="C722" s="33" t="s">
        <v>1026</v>
      </c>
      <c r="D722" s="33"/>
      <c r="E722" s="33" t="n">
        <v>96</v>
      </c>
      <c r="F722" s="33" t="s">
        <v>2154</v>
      </c>
      <c r="G722" s="33" t="s">
        <v>445</v>
      </c>
      <c r="H722" s="33" t="n">
        <v>1</v>
      </c>
      <c r="I722" s="33" t="n">
        <v>1</v>
      </c>
      <c r="J722" s="33" t="n">
        <v>1</v>
      </c>
      <c r="K722" s="32" t="n">
        <v>75</v>
      </c>
      <c r="L722" s="33" t="str">
        <f aca="false">IF($B722="","",IFERROR(INDEX('Code Mapping'!$D$5:$D$1753,MATCH($B722,'Code Mapping'!$A$5:$A$1753,0)),"Unmapped"))</f>
        <v>Unmapped</v>
      </c>
      <c r="M722" s="33" t="str">
        <f aca="false">IF($B722="","",IFERROR(INDEX('Code Mapping'!$E$5:$E$1753,MATCH($B722,'Code Mapping'!$A$5:$A$1753,0)),"Unmapped"))</f>
        <v>Unmapped</v>
      </c>
      <c r="N722" s="33" t="str">
        <f aca="false">IF($F722="","",$F722)</f>
        <v>InflataCity 2025</v>
      </c>
    </row>
    <row r="723" customFormat="false" ht="15" hidden="false" customHeight="false" outlineLevel="0" collapsed="false">
      <c r="A723" s="33" t="n">
        <v>6701</v>
      </c>
      <c r="B723" s="33" t="s">
        <v>1512</v>
      </c>
      <c r="C723" s="33" t="s">
        <v>1026</v>
      </c>
      <c r="D723" s="33"/>
      <c r="E723" s="33" t="n">
        <v>96</v>
      </c>
      <c r="F723" s="33" t="s">
        <v>2154</v>
      </c>
      <c r="G723" s="33" t="s">
        <v>445</v>
      </c>
      <c r="H723" s="33" t="n">
        <v>1</v>
      </c>
      <c r="I723" s="33" t="n">
        <v>1</v>
      </c>
      <c r="J723" s="33" t="n">
        <v>1</v>
      </c>
      <c r="K723" s="32" t="n">
        <v>75</v>
      </c>
      <c r="L723" s="33" t="str">
        <f aca="false">IF($B723="","",IFERROR(INDEX('Code Mapping'!$D$5:$D$1753,MATCH($B723,'Code Mapping'!$A$5:$A$1753,0)),"Unmapped"))</f>
        <v>Unmapped</v>
      </c>
      <c r="M723" s="33" t="str">
        <f aca="false">IF($B723="","",IFERROR(INDEX('Code Mapping'!$E$5:$E$1753,MATCH($B723,'Code Mapping'!$A$5:$A$1753,0)),"Unmapped"))</f>
        <v>Unmapped</v>
      </c>
      <c r="N723" s="33" t="str">
        <f aca="false">IF($F723="","",$F723)</f>
        <v>InflataCity 2025</v>
      </c>
    </row>
    <row r="724" customFormat="false" ht="15" hidden="false" customHeight="false" outlineLevel="0" collapsed="false">
      <c r="A724" s="33" t="n">
        <v>5830</v>
      </c>
      <c r="B724" s="33" t="s">
        <v>1511</v>
      </c>
      <c r="C724" s="33" t="s">
        <v>1028</v>
      </c>
      <c r="D724" s="33"/>
      <c r="E724" s="33" t="n">
        <v>96</v>
      </c>
      <c r="F724" s="33" t="s">
        <v>2154</v>
      </c>
      <c r="G724" s="33" t="s">
        <v>445</v>
      </c>
      <c r="H724" s="33" t="n">
        <v>1</v>
      </c>
      <c r="I724" s="33" t="n">
        <v>1</v>
      </c>
      <c r="J724" s="33" t="n">
        <v>1</v>
      </c>
      <c r="K724" s="32" t="n">
        <v>300</v>
      </c>
      <c r="L724" s="33" t="str">
        <f aca="false">IF($B724="","",IFERROR(INDEX('Code Mapping'!$D$5:$D$1753,MATCH($B724,'Code Mapping'!$A$5:$A$1753,0)),"Unmapped"))</f>
        <v>Unmapped</v>
      </c>
      <c r="M724" s="33" t="str">
        <f aca="false">IF($B724="","",IFERROR(INDEX('Code Mapping'!$E$5:$E$1753,MATCH($B724,'Code Mapping'!$A$5:$A$1753,0)),"Unmapped"))</f>
        <v>Unmapped</v>
      </c>
      <c r="N724" s="33" t="str">
        <f aca="false">IF($F724="","",$F724)</f>
        <v>InflataCity 2025</v>
      </c>
    </row>
    <row r="725" customFormat="false" ht="15" hidden="false" customHeight="false" outlineLevel="0" collapsed="false">
      <c r="A725" s="33" t="n">
        <v>5783</v>
      </c>
      <c r="B725" s="33" t="s">
        <v>1510</v>
      </c>
      <c r="C725" s="33" t="s">
        <v>1028</v>
      </c>
      <c r="D725" s="33"/>
      <c r="E725" s="33" t="n">
        <v>96</v>
      </c>
      <c r="F725" s="33" t="s">
        <v>2154</v>
      </c>
      <c r="G725" s="33" t="s">
        <v>445</v>
      </c>
      <c r="H725" s="33" t="n">
        <v>1</v>
      </c>
      <c r="I725" s="33" t="n">
        <v>1</v>
      </c>
      <c r="J725" s="33" t="n">
        <v>1</v>
      </c>
      <c r="K725" s="32" t="n">
        <v>300</v>
      </c>
      <c r="L725" s="33" t="str">
        <f aca="false">IF($B725="","",IFERROR(INDEX('Code Mapping'!$D$5:$D$1753,MATCH($B725,'Code Mapping'!$A$5:$A$1753,0)),"Unmapped"))</f>
        <v>Unmapped</v>
      </c>
      <c r="M725" s="33" t="str">
        <f aca="false">IF($B725="","",IFERROR(INDEX('Code Mapping'!$E$5:$E$1753,MATCH($B725,'Code Mapping'!$A$5:$A$1753,0)),"Unmapped"))</f>
        <v>Unmapped</v>
      </c>
      <c r="N725" s="33" t="str">
        <f aca="false">IF($F725="","",$F725)</f>
        <v>InflataCity 2025</v>
      </c>
    </row>
    <row r="726" customFormat="false" ht="15" hidden="false" customHeight="false" outlineLevel="0" collapsed="false">
      <c r="A726" s="33" t="n">
        <v>6322</v>
      </c>
      <c r="B726" s="33" t="s">
        <v>1509</v>
      </c>
      <c r="C726" s="33" t="s">
        <v>1026</v>
      </c>
      <c r="D726" s="33"/>
      <c r="E726" s="33" t="n">
        <v>96</v>
      </c>
      <c r="F726" s="33" t="s">
        <v>2154</v>
      </c>
      <c r="G726" s="33" t="s">
        <v>445</v>
      </c>
      <c r="H726" s="33" t="n">
        <v>1</v>
      </c>
      <c r="I726" s="33" t="n">
        <v>1</v>
      </c>
      <c r="J726" s="33" t="n">
        <v>1</v>
      </c>
      <c r="K726" s="32" t="n">
        <v>75</v>
      </c>
      <c r="L726" s="33" t="str">
        <f aca="false">IF($B726="","",IFERROR(INDEX('Code Mapping'!$D$5:$D$1753,MATCH($B726,'Code Mapping'!$A$5:$A$1753,0)),"Unmapped"))</f>
        <v>Unmapped</v>
      </c>
      <c r="M726" s="33" t="str">
        <f aca="false">IF($B726="","",IFERROR(INDEX('Code Mapping'!$E$5:$E$1753,MATCH($B726,'Code Mapping'!$A$5:$A$1753,0)),"Unmapped"))</f>
        <v>Unmapped</v>
      </c>
      <c r="N726" s="33" t="str">
        <f aca="false">IF($F726="","",$F726)</f>
        <v>InflataCity 2025</v>
      </c>
    </row>
    <row r="727" customFormat="false" ht="15" hidden="false" customHeight="false" outlineLevel="0" collapsed="false">
      <c r="A727" s="33" t="n">
        <v>6446</v>
      </c>
      <c r="B727" s="33" t="s">
        <v>1508</v>
      </c>
      <c r="C727" s="33" t="s">
        <v>1026</v>
      </c>
      <c r="D727" s="33"/>
      <c r="E727" s="33" t="n">
        <v>96</v>
      </c>
      <c r="F727" s="33" t="s">
        <v>2154</v>
      </c>
      <c r="G727" s="33" t="s">
        <v>445</v>
      </c>
      <c r="H727" s="33" t="n">
        <v>1</v>
      </c>
      <c r="I727" s="33" t="n">
        <v>1</v>
      </c>
      <c r="J727" s="33" t="n">
        <v>1</v>
      </c>
      <c r="K727" s="32" t="n">
        <v>75</v>
      </c>
      <c r="L727" s="33" t="str">
        <f aca="false">IF($B727="","",IFERROR(INDEX('Code Mapping'!$D$5:$D$1753,MATCH($B727,'Code Mapping'!$A$5:$A$1753,0)),"Unmapped"))</f>
        <v>Unmapped</v>
      </c>
      <c r="M727" s="33" t="str">
        <f aca="false">IF($B727="","",IFERROR(INDEX('Code Mapping'!$E$5:$E$1753,MATCH($B727,'Code Mapping'!$A$5:$A$1753,0)),"Unmapped"))</f>
        <v>Unmapped</v>
      </c>
      <c r="N727" s="33" t="str">
        <f aca="false">IF($F727="","",$F727)</f>
        <v>InflataCity 2025</v>
      </c>
    </row>
    <row r="728" customFormat="false" ht="15" hidden="false" customHeight="false" outlineLevel="0" collapsed="false">
      <c r="A728" s="33" t="n">
        <v>6261</v>
      </c>
      <c r="B728" s="33" t="s">
        <v>1507</v>
      </c>
      <c r="C728" s="33" t="s">
        <v>1032</v>
      </c>
      <c r="D728" s="33"/>
      <c r="E728" s="33" t="n">
        <v>96</v>
      </c>
      <c r="F728" s="33" t="s">
        <v>2154</v>
      </c>
      <c r="G728" s="33" t="s">
        <v>445</v>
      </c>
      <c r="H728" s="33" t="n">
        <v>1</v>
      </c>
      <c r="I728" s="33" t="n">
        <v>1</v>
      </c>
      <c r="J728" s="33" t="n">
        <v>1</v>
      </c>
      <c r="K728" s="32" t="n">
        <v>350</v>
      </c>
      <c r="L728" s="33" t="str">
        <f aca="false">IF($B728="","",IFERROR(INDEX('Code Mapping'!$D$5:$D$1753,MATCH($B728,'Code Mapping'!$A$5:$A$1753,0)),"Unmapped"))</f>
        <v>Unmapped</v>
      </c>
      <c r="M728" s="33" t="str">
        <f aca="false">IF($B728="","",IFERROR(INDEX('Code Mapping'!$E$5:$E$1753,MATCH($B728,'Code Mapping'!$A$5:$A$1753,0)),"Unmapped"))</f>
        <v>Unmapped</v>
      </c>
      <c r="N728" s="33" t="str">
        <f aca="false">IF($F728="","",$F728)</f>
        <v>InflataCity 2025</v>
      </c>
    </row>
    <row r="729" customFormat="false" ht="15" hidden="false" customHeight="false" outlineLevel="0" collapsed="false">
      <c r="A729" s="33" t="n">
        <v>6518</v>
      </c>
      <c r="B729" s="33" t="s">
        <v>1506</v>
      </c>
      <c r="C729" s="33" t="s">
        <v>1026</v>
      </c>
      <c r="D729" s="33"/>
      <c r="E729" s="33" t="n">
        <v>96</v>
      </c>
      <c r="F729" s="33" t="s">
        <v>2154</v>
      </c>
      <c r="G729" s="33" t="s">
        <v>445</v>
      </c>
      <c r="H729" s="33" t="n">
        <v>1</v>
      </c>
      <c r="I729" s="33" t="n">
        <v>1</v>
      </c>
      <c r="J729" s="33" t="n">
        <v>1</v>
      </c>
      <c r="K729" s="32" t="n">
        <v>75</v>
      </c>
      <c r="L729" s="33" t="str">
        <f aca="false">IF($B729="","",IFERROR(INDEX('Code Mapping'!$D$5:$D$1753,MATCH($B729,'Code Mapping'!$A$5:$A$1753,0)),"Unmapped"))</f>
        <v>Unmapped</v>
      </c>
      <c r="M729" s="33" t="str">
        <f aca="false">IF($B729="","",IFERROR(INDEX('Code Mapping'!$E$5:$E$1753,MATCH($B729,'Code Mapping'!$A$5:$A$1753,0)),"Unmapped"))</f>
        <v>Unmapped</v>
      </c>
      <c r="N729" s="33" t="str">
        <f aca="false">IF($F729="","",$F729)</f>
        <v>InflataCity 2025</v>
      </c>
    </row>
    <row r="730" customFormat="false" ht="15" hidden="false" customHeight="false" outlineLevel="0" collapsed="false">
      <c r="A730" s="33" t="n">
        <v>6236</v>
      </c>
      <c r="B730" s="33" t="s">
        <v>1505</v>
      </c>
      <c r="C730" s="33" t="s">
        <v>1032</v>
      </c>
      <c r="D730" s="33"/>
      <c r="E730" s="33" t="n">
        <v>96</v>
      </c>
      <c r="F730" s="33" t="s">
        <v>2154</v>
      </c>
      <c r="G730" s="33" t="s">
        <v>445</v>
      </c>
      <c r="H730" s="33" t="n">
        <v>1</v>
      </c>
      <c r="I730" s="33" t="n">
        <v>1</v>
      </c>
      <c r="J730" s="33" t="n">
        <v>1</v>
      </c>
      <c r="K730" s="32" t="n">
        <v>350</v>
      </c>
      <c r="L730" s="33" t="str">
        <f aca="false">IF($B730="","",IFERROR(INDEX('Code Mapping'!$D$5:$D$1753,MATCH($B730,'Code Mapping'!$A$5:$A$1753,0)),"Unmapped"))</f>
        <v>Unmapped</v>
      </c>
      <c r="M730" s="33" t="str">
        <f aca="false">IF($B730="","",IFERROR(INDEX('Code Mapping'!$E$5:$E$1753,MATCH($B730,'Code Mapping'!$A$5:$A$1753,0)),"Unmapped"))</f>
        <v>Unmapped</v>
      </c>
      <c r="N730" s="33" t="str">
        <f aca="false">IF($F730="","",$F730)</f>
        <v>InflataCity 2025</v>
      </c>
    </row>
    <row r="731" customFormat="false" ht="15" hidden="false" customHeight="false" outlineLevel="0" collapsed="false">
      <c r="A731" s="33" t="n">
        <v>6262</v>
      </c>
      <c r="B731" s="33" t="s">
        <v>1504</v>
      </c>
      <c r="C731" s="33" t="s">
        <v>1032</v>
      </c>
      <c r="D731" s="33"/>
      <c r="E731" s="33" t="n">
        <v>96</v>
      </c>
      <c r="F731" s="33" t="s">
        <v>2154</v>
      </c>
      <c r="G731" s="33" t="s">
        <v>445</v>
      </c>
      <c r="H731" s="33" t="n">
        <v>1</v>
      </c>
      <c r="I731" s="33" t="n">
        <v>1</v>
      </c>
      <c r="J731" s="33" t="n">
        <v>1</v>
      </c>
      <c r="K731" s="32" t="n">
        <v>350</v>
      </c>
      <c r="L731" s="33" t="str">
        <f aca="false">IF($B731="","",IFERROR(INDEX('Code Mapping'!$D$5:$D$1753,MATCH($B731,'Code Mapping'!$A$5:$A$1753,0)),"Unmapped"))</f>
        <v>Unmapped</v>
      </c>
      <c r="M731" s="33" t="str">
        <f aca="false">IF($B731="","",IFERROR(INDEX('Code Mapping'!$E$5:$E$1753,MATCH($B731,'Code Mapping'!$A$5:$A$1753,0)),"Unmapped"))</f>
        <v>Unmapped</v>
      </c>
      <c r="N731" s="33" t="str">
        <f aca="false">IF($F731="","",$F731)</f>
        <v>InflataCity 2025</v>
      </c>
    </row>
    <row r="732" customFormat="false" ht="15" hidden="false" customHeight="false" outlineLevel="0" collapsed="false">
      <c r="A732" s="33" t="n">
        <v>6357</v>
      </c>
      <c r="B732" s="33" t="s">
        <v>1503</v>
      </c>
      <c r="C732" s="33" t="s">
        <v>1026</v>
      </c>
      <c r="D732" s="33"/>
      <c r="E732" s="33" t="n">
        <v>96</v>
      </c>
      <c r="F732" s="33" t="s">
        <v>2154</v>
      </c>
      <c r="G732" s="33" t="s">
        <v>445</v>
      </c>
      <c r="H732" s="33" t="n">
        <v>1</v>
      </c>
      <c r="I732" s="33" t="n">
        <v>1</v>
      </c>
      <c r="J732" s="33" t="n">
        <v>1</v>
      </c>
      <c r="K732" s="32" t="n">
        <v>75</v>
      </c>
      <c r="L732" s="33" t="str">
        <f aca="false">IF($B732="","",IFERROR(INDEX('Code Mapping'!$D$5:$D$1753,MATCH($B732,'Code Mapping'!$A$5:$A$1753,0)),"Unmapped"))</f>
        <v>Unmapped</v>
      </c>
      <c r="M732" s="33" t="str">
        <f aca="false">IF($B732="","",IFERROR(INDEX('Code Mapping'!$E$5:$E$1753,MATCH($B732,'Code Mapping'!$A$5:$A$1753,0)),"Unmapped"))</f>
        <v>Unmapped</v>
      </c>
      <c r="N732" s="33" t="str">
        <f aca="false">IF($F732="","",$F732)</f>
        <v>InflataCity 2025</v>
      </c>
    </row>
    <row r="733" customFormat="false" ht="15" hidden="false" customHeight="false" outlineLevel="0" collapsed="false">
      <c r="A733" s="33" t="n">
        <v>6276</v>
      </c>
      <c r="B733" s="33" t="s">
        <v>1502</v>
      </c>
      <c r="C733" s="33" t="s">
        <v>1026</v>
      </c>
      <c r="D733" s="33"/>
      <c r="E733" s="33" t="n">
        <v>96</v>
      </c>
      <c r="F733" s="33" t="s">
        <v>2154</v>
      </c>
      <c r="G733" s="33" t="s">
        <v>445</v>
      </c>
      <c r="H733" s="33" t="n">
        <v>1</v>
      </c>
      <c r="I733" s="33" t="n">
        <v>1</v>
      </c>
      <c r="J733" s="33" t="n">
        <v>1</v>
      </c>
      <c r="K733" s="32" t="n">
        <v>75</v>
      </c>
      <c r="L733" s="33" t="str">
        <f aca="false">IF($B733="","",IFERROR(INDEX('Code Mapping'!$D$5:$D$1753,MATCH($B733,'Code Mapping'!$A$5:$A$1753,0)),"Unmapped"))</f>
        <v>Unmapped</v>
      </c>
      <c r="M733" s="33" t="str">
        <f aca="false">IF($B733="","",IFERROR(INDEX('Code Mapping'!$E$5:$E$1753,MATCH($B733,'Code Mapping'!$A$5:$A$1753,0)),"Unmapped"))</f>
        <v>Unmapped</v>
      </c>
      <c r="N733" s="33" t="str">
        <f aca="false">IF($F733="","",$F733)</f>
        <v>InflataCity 2025</v>
      </c>
    </row>
    <row r="734" customFormat="false" ht="15" hidden="false" customHeight="false" outlineLevel="0" collapsed="false">
      <c r="A734" s="33" t="n">
        <v>6310</v>
      </c>
      <c r="B734" s="33" t="s">
        <v>1501</v>
      </c>
      <c r="C734" s="33" t="s">
        <v>1026</v>
      </c>
      <c r="D734" s="33"/>
      <c r="E734" s="33" t="n">
        <v>96</v>
      </c>
      <c r="F734" s="33" t="s">
        <v>2154</v>
      </c>
      <c r="G734" s="33" t="s">
        <v>445</v>
      </c>
      <c r="H734" s="33" t="n">
        <v>1</v>
      </c>
      <c r="I734" s="33" t="n">
        <v>1</v>
      </c>
      <c r="J734" s="33" t="n">
        <v>1</v>
      </c>
      <c r="K734" s="32" t="n">
        <v>75</v>
      </c>
      <c r="L734" s="33" t="str">
        <f aca="false">IF($B734="","",IFERROR(INDEX('Code Mapping'!$D$5:$D$1753,MATCH($B734,'Code Mapping'!$A$5:$A$1753,0)),"Unmapped"))</f>
        <v>Unmapped</v>
      </c>
      <c r="M734" s="33" t="str">
        <f aca="false">IF($B734="","",IFERROR(INDEX('Code Mapping'!$E$5:$E$1753,MATCH($B734,'Code Mapping'!$A$5:$A$1753,0)),"Unmapped"))</f>
        <v>Unmapped</v>
      </c>
      <c r="N734" s="33" t="str">
        <f aca="false">IF($F734="","",$F734)</f>
        <v>InflataCity 2025</v>
      </c>
    </row>
    <row r="735" customFormat="false" ht="15" hidden="false" customHeight="false" outlineLevel="0" collapsed="false">
      <c r="A735" s="33" t="n">
        <v>6579</v>
      </c>
      <c r="B735" s="33" t="s">
        <v>1500</v>
      </c>
      <c r="C735" s="33" t="s">
        <v>1026</v>
      </c>
      <c r="D735" s="33"/>
      <c r="E735" s="33" t="n">
        <v>96</v>
      </c>
      <c r="F735" s="33" t="s">
        <v>2154</v>
      </c>
      <c r="G735" s="33" t="s">
        <v>445</v>
      </c>
      <c r="H735" s="33" t="n">
        <v>1</v>
      </c>
      <c r="I735" s="33" t="n">
        <v>1</v>
      </c>
      <c r="J735" s="33" t="n">
        <v>1</v>
      </c>
      <c r="K735" s="32" t="n">
        <v>75</v>
      </c>
      <c r="L735" s="33" t="str">
        <f aca="false">IF($B735="","",IFERROR(INDEX('Code Mapping'!$D$5:$D$1753,MATCH($B735,'Code Mapping'!$A$5:$A$1753,0)),"Unmapped"))</f>
        <v>Unmapped</v>
      </c>
      <c r="M735" s="33" t="str">
        <f aca="false">IF($B735="","",IFERROR(INDEX('Code Mapping'!$E$5:$E$1753,MATCH($B735,'Code Mapping'!$A$5:$A$1753,0)),"Unmapped"))</f>
        <v>Unmapped</v>
      </c>
      <c r="N735" s="33" t="str">
        <f aca="false">IF($F735="","",$F735)</f>
        <v>InflataCity 2025</v>
      </c>
    </row>
    <row r="736" customFormat="false" ht="15" hidden="false" customHeight="false" outlineLevel="0" collapsed="false">
      <c r="A736" s="33" t="n">
        <v>6711</v>
      </c>
      <c r="B736" s="33" t="s">
        <v>1499</v>
      </c>
      <c r="C736" s="33" t="s">
        <v>1026</v>
      </c>
      <c r="D736" s="33"/>
      <c r="E736" s="33" t="n">
        <v>96</v>
      </c>
      <c r="F736" s="33" t="s">
        <v>2154</v>
      </c>
      <c r="G736" s="33" t="s">
        <v>445</v>
      </c>
      <c r="H736" s="33" t="n">
        <v>1</v>
      </c>
      <c r="I736" s="33" t="n">
        <v>1</v>
      </c>
      <c r="J736" s="33" t="n">
        <v>1</v>
      </c>
      <c r="K736" s="32" t="n">
        <v>75</v>
      </c>
      <c r="L736" s="33" t="str">
        <f aca="false">IF($B736="","",IFERROR(INDEX('Code Mapping'!$D$5:$D$1753,MATCH($B736,'Code Mapping'!$A$5:$A$1753,0)),"Unmapped"))</f>
        <v>Unmapped</v>
      </c>
      <c r="M736" s="33" t="str">
        <f aca="false">IF($B736="","",IFERROR(INDEX('Code Mapping'!$E$5:$E$1753,MATCH($B736,'Code Mapping'!$A$5:$A$1753,0)),"Unmapped"))</f>
        <v>Unmapped</v>
      </c>
      <c r="N736" s="33" t="str">
        <f aca="false">IF($F736="","",$F736)</f>
        <v>InflataCity 2025</v>
      </c>
    </row>
    <row r="737" customFormat="false" ht="15" hidden="false" customHeight="false" outlineLevel="0" collapsed="false">
      <c r="A737" s="33" t="n">
        <v>6545</v>
      </c>
      <c r="B737" s="33" t="s">
        <v>1498</v>
      </c>
      <c r="C737" s="33" t="s">
        <v>1026</v>
      </c>
      <c r="D737" s="33"/>
      <c r="E737" s="33" t="n">
        <v>96</v>
      </c>
      <c r="F737" s="33" t="s">
        <v>2154</v>
      </c>
      <c r="G737" s="33" t="s">
        <v>445</v>
      </c>
      <c r="H737" s="33" t="n">
        <v>1</v>
      </c>
      <c r="I737" s="33" t="n">
        <v>1</v>
      </c>
      <c r="J737" s="33" t="n">
        <v>1</v>
      </c>
      <c r="K737" s="32" t="n">
        <v>75</v>
      </c>
      <c r="L737" s="33" t="str">
        <f aca="false">IF($B737="","",IFERROR(INDEX('Code Mapping'!$D$5:$D$1753,MATCH($B737,'Code Mapping'!$A$5:$A$1753,0)),"Unmapped"))</f>
        <v>Unmapped</v>
      </c>
      <c r="M737" s="33" t="str">
        <f aca="false">IF($B737="","",IFERROR(INDEX('Code Mapping'!$E$5:$E$1753,MATCH($B737,'Code Mapping'!$A$5:$A$1753,0)),"Unmapped"))</f>
        <v>Unmapped</v>
      </c>
      <c r="N737" s="33" t="str">
        <f aca="false">IF($F737="","",$F737)</f>
        <v>InflataCity 2025</v>
      </c>
    </row>
    <row r="738" customFormat="false" ht="15" hidden="false" customHeight="false" outlineLevel="0" collapsed="false">
      <c r="A738" s="33" t="n">
        <v>6139</v>
      </c>
      <c r="B738" s="33" t="s">
        <v>1497</v>
      </c>
      <c r="C738" s="33" t="s">
        <v>1032</v>
      </c>
      <c r="D738" s="33"/>
      <c r="E738" s="33" t="n">
        <v>96</v>
      </c>
      <c r="F738" s="33" t="s">
        <v>2154</v>
      </c>
      <c r="G738" s="33" t="s">
        <v>445</v>
      </c>
      <c r="H738" s="33" t="n">
        <v>1</v>
      </c>
      <c r="I738" s="33" t="n">
        <v>1</v>
      </c>
      <c r="J738" s="33" t="n">
        <v>1</v>
      </c>
      <c r="K738" s="32" t="n">
        <v>350</v>
      </c>
      <c r="L738" s="33" t="str">
        <f aca="false">IF($B738="","",IFERROR(INDEX('Code Mapping'!$D$5:$D$1753,MATCH($B738,'Code Mapping'!$A$5:$A$1753,0)),"Unmapped"))</f>
        <v>Unmapped</v>
      </c>
      <c r="M738" s="33" t="str">
        <f aca="false">IF($B738="","",IFERROR(INDEX('Code Mapping'!$E$5:$E$1753,MATCH($B738,'Code Mapping'!$A$5:$A$1753,0)),"Unmapped"))</f>
        <v>Unmapped</v>
      </c>
      <c r="N738" s="33" t="str">
        <f aca="false">IF($F738="","",$F738)</f>
        <v>InflataCity 2025</v>
      </c>
    </row>
    <row r="739" customFormat="false" ht="15" hidden="false" customHeight="false" outlineLevel="0" collapsed="false">
      <c r="A739" s="33" t="n">
        <v>5828</v>
      </c>
      <c r="B739" s="33" t="s">
        <v>1496</v>
      </c>
      <c r="C739" s="33" t="s">
        <v>1028</v>
      </c>
      <c r="D739" s="33"/>
      <c r="E739" s="33" t="n">
        <v>96</v>
      </c>
      <c r="F739" s="33" t="s">
        <v>2154</v>
      </c>
      <c r="G739" s="33" t="s">
        <v>445</v>
      </c>
      <c r="H739" s="33" t="n">
        <v>1</v>
      </c>
      <c r="I739" s="33" t="n">
        <v>1</v>
      </c>
      <c r="J739" s="33" t="n">
        <v>1</v>
      </c>
      <c r="K739" s="32" t="n">
        <v>300</v>
      </c>
      <c r="L739" s="33" t="str">
        <f aca="false">IF($B739="","",IFERROR(INDEX('Code Mapping'!$D$5:$D$1753,MATCH($B739,'Code Mapping'!$A$5:$A$1753,0)),"Unmapped"))</f>
        <v>Unmapped</v>
      </c>
      <c r="M739" s="33" t="str">
        <f aca="false">IF($B739="","",IFERROR(INDEX('Code Mapping'!$E$5:$E$1753,MATCH($B739,'Code Mapping'!$A$5:$A$1753,0)),"Unmapped"))</f>
        <v>Unmapped</v>
      </c>
      <c r="N739" s="33" t="str">
        <f aca="false">IF($F739="","",$F739)</f>
        <v>InflataCity 2025</v>
      </c>
    </row>
    <row r="740" customFormat="false" ht="15" hidden="false" customHeight="false" outlineLevel="0" collapsed="false">
      <c r="A740" s="33" t="n">
        <v>6361</v>
      </c>
      <c r="B740" s="33" t="s">
        <v>1494</v>
      </c>
      <c r="C740" s="33" t="s">
        <v>1026</v>
      </c>
      <c r="D740" s="33"/>
      <c r="E740" s="33" t="n">
        <v>96</v>
      </c>
      <c r="F740" s="33" t="s">
        <v>2154</v>
      </c>
      <c r="G740" s="33" t="s">
        <v>445</v>
      </c>
      <c r="H740" s="33" t="n">
        <v>1</v>
      </c>
      <c r="I740" s="33" t="n">
        <v>1</v>
      </c>
      <c r="J740" s="33" t="n">
        <v>1</v>
      </c>
      <c r="K740" s="32" t="n">
        <v>75</v>
      </c>
      <c r="L740" s="33" t="str">
        <f aca="false">IF($B740="","",IFERROR(INDEX('Code Mapping'!$D$5:$D$1753,MATCH($B740,'Code Mapping'!$A$5:$A$1753,0)),"Unmapped"))</f>
        <v>Unmapped</v>
      </c>
      <c r="M740" s="33" t="str">
        <f aca="false">IF($B740="","",IFERROR(INDEX('Code Mapping'!$E$5:$E$1753,MATCH($B740,'Code Mapping'!$A$5:$A$1753,0)),"Unmapped"))</f>
        <v>Unmapped</v>
      </c>
      <c r="N740" s="33" t="str">
        <f aca="false">IF($F740="","",$F740)</f>
        <v>InflataCity 2025</v>
      </c>
    </row>
    <row r="741" customFormat="false" ht="15" hidden="false" customHeight="false" outlineLevel="0" collapsed="false">
      <c r="A741" s="33" t="n">
        <v>6306</v>
      </c>
      <c r="B741" s="33" t="s">
        <v>1493</v>
      </c>
      <c r="C741" s="33" t="s">
        <v>1026</v>
      </c>
      <c r="D741" s="33"/>
      <c r="E741" s="33" t="n">
        <v>96</v>
      </c>
      <c r="F741" s="33" t="s">
        <v>2154</v>
      </c>
      <c r="G741" s="33" t="s">
        <v>445</v>
      </c>
      <c r="H741" s="33" t="n">
        <v>1</v>
      </c>
      <c r="I741" s="33" t="n">
        <v>1</v>
      </c>
      <c r="J741" s="33" t="n">
        <v>1</v>
      </c>
      <c r="K741" s="32" t="n">
        <v>75</v>
      </c>
      <c r="L741" s="33" t="str">
        <f aca="false">IF($B741="","",IFERROR(INDEX('Code Mapping'!$D$5:$D$1753,MATCH($B741,'Code Mapping'!$A$5:$A$1753,0)),"Unmapped"))</f>
        <v>Unmapped</v>
      </c>
      <c r="M741" s="33" t="str">
        <f aca="false">IF($B741="","",IFERROR(INDEX('Code Mapping'!$E$5:$E$1753,MATCH($B741,'Code Mapping'!$A$5:$A$1753,0)),"Unmapped"))</f>
        <v>Unmapped</v>
      </c>
      <c r="N741" s="33" t="str">
        <f aca="false">IF($F741="","",$F741)</f>
        <v>InflataCity 2025</v>
      </c>
    </row>
    <row r="742" customFormat="false" ht="15" hidden="false" customHeight="false" outlineLevel="0" collapsed="false">
      <c r="A742" s="33" t="n">
        <v>5782</v>
      </c>
      <c r="B742" s="33" t="s">
        <v>1492</v>
      </c>
      <c r="C742" s="33" t="s">
        <v>1028</v>
      </c>
      <c r="D742" s="33"/>
      <c r="E742" s="33" t="n">
        <v>96</v>
      </c>
      <c r="F742" s="33" t="s">
        <v>2154</v>
      </c>
      <c r="G742" s="33" t="s">
        <v>445</v>
      </c>
      <c r="H742" s="33" t="n">
        <v>1</v>
      </c>
      <c r="I742" s="33" t="n">
        <v>1</v>
      </c>
      <c r="J742" s="33" t="n">
        <v>1</v>
      </c>
      <c r="K742" s="32" t="n">
        <v>300</v>
      </c>
      <c r="L742" s="33" t="str">
        <f aca="false">IF($B742="","",IFERROR(INDEX('Code Mapping'!$D$5:$D$1753,MATCH($B742,'Code Mapping'!$A$5:$A$1753,0)),"Unmapped"))</f>
        <v>Unmapped</v>
      </c>
      <c r="M742" s="33" t="str">
        <f aca="false">IF($B742="","",IFERROR(INDEX('Code Mapping'!$E$5:$E$1753,MATCH($B742,'Code Mapping'!$A$5:$A$1753,0)),"Unmapped"))</f>
        <v>Unmapped</v>
      </c>
      <c r="N742" s="33" t="str">
        <f aca="false">IF($F742="","",$F742)</f>
        <v>InflataCity 2025</v>
      </c>
    </row>
    <row r="743" customFormat="false" ht="15" hidden="false" customHeight="false" outlineLevel="0" collapsed="false">
      <c r="A743" s="33" t="n">
        <v>6587</v>
      </c>
      <c r="B743" s="33" t="s">
        <v>1491</v>
      </c>
      <c r="C743" s="33" t="s">
        <v>1026</v>
      </c>
      <c r="D743" s="33"/>
      <c r="E743" s="33" t="n">
        <v>96</v>
      </c>
      <c r="F743" s="33" t="s">
        <v>2154</v>
      </c>
      <c r="G743" s="33" t="s">
        <v>445</v>
      </c>
      <c r="H743" s="33" t="n">
        <v>1</v>
      </c>
      <c r="I743" s="33" t="n">
        <v>1</v>
      </c>
      <c r="J743" s="33" t="n">
        <v>1</v>
      </c>
      <c r="K743" s="32" t="n">
        <v>75</v>
      </c>
      <c r="L743" s="33" t="str">
        <f aca="false">IF($B743="","",IFERROR(INDEX('Code Mapping'!$D$5:$D$1753,MATCH($B743,'Code Mapping'!$A$5:$A$1753,0)),"Unmapped"))</f>
        <v>Unmapped</v>
      </c>
      <c r="M743" s="33" t="str">
        <f aca="false">IF($B743="","",IFERROR(INDEX('Code Mapping'!$E$5:$E$1753,MATCH($B743,'Code Mapping'!$A$5:$A$1753,0)),"Unmapped"))</f>
        <v>Unmapped</v>
      </c>
      <c r="N743" s="33" t="str">
        <f aca="false">IF($F743="","",$F743)</f>
        <v>InflataCity 2025</v>
      </c>
    </row>
    <row r="744" customFormat="false" ht="15" hidden="false" customHeight="false" outlineLevel="0" collapsed="false">
      <c r="A744" s="33" t="n">
        <v>6641</v>
      </c>
      <c r="B744" s="33" t="s">
        <v>1490</v>
      </c>
      <c r="C744" s="33" t="s">
        <v>1026</v>
      </c>
      <c r="D744" s="33"/>
      <c r="E744" s="33" t="n">
        <v>96</v>
      </c>
      <c r="F744" s="33" t="s">
        <v>2154</v>
      </c>
      <c r="G744" s="33" t="s">
        <v>445</v>
      </c>
      <c r="H744" s="33" t="n">
        <v>1</v>
      </c>
      <c r="I744" s="33" t="n">
        <v>1</v>
      </c>
      <c r="J744" s="33" t="n">
        <v>1</v>
      </c>
      <c r="K744" s="32" t="n">
        <v>75</v>
      </c>
      <c r="L744" s="33" t="str">
        <f aca="false">IF($B744="","",IFERROR(INDEX('Code Mapping'!$D$5:$D$1753,MATCH($B744,'Code Mapping'!$A$5:$A$1753,0)),"Unmapped"))</f>
        <v>Unmapped</v>
      </c>
      <c r="M744" s="33" t="str">
        <f aca="false">IF($B744="","",IFERROR(INDEX('Code Mapping'!$E$5:$E$1753,MATCH($B744,'Code Mapping'!$A$5:$A$1753,0)),"Unmapped"))</f>
        <v>Unmapped</v>
      </c>
      <c r="N744" s="33" t="str">
        <f aca="false">IF($F744="","",$F744)</f>
        <v>InflataCity 2025</v>
      </c>
    </row>
    <row r="745" customFormat="false" ht="15" hidden="false" customHeight="false" outlineLevel="0" collapsed="false">
      <c r="A745" s="33" t="n">
        <v>5816</v>
      </c>
      <c r="B745" s="33" t="s">
        <v>1489</v>
      </c>
      <c r="C745" s="33" t="s">
        <v>1028</v>
      </c>
      <c r="D745" s="33"/>
      <c r="E745" s="33" t="n">
        <v>96</v>
      </c>
      <c r="F745" s="33" t="s">
        <v>2154</v>
      </c>
      <c r="G745" s="33" t="s">
        <v>445</v>
      </c>
      <c r="H745" s="33" t="n">
        <v>1</v>
      </c>
      <c r="I745" s="33" t="n">
        <v>1</v>
      </c>
      <c r="J745" s="33" t="n">
        <v>1</v>
      </c>
      <c r="K745" s="32" t="n">
        <v>300</v>
      </c>
      <c r="L745" s="33" t="str">
        <f aca="false">IF($B745="","",IFERROR(INDEX('Code Mapping'!$D$5:$D$1753,MATCH($B745,'Code Mapping'!$A$5:$A$1753,0)),"Unmapped"))</f>
        <v>Unmapped</v>
      </c>
      <c r="M745" s="33" t="str">
        <f aca="false">IF($B745="","",IFERROR(INDEX('Code Mapping'!$E$5:$E$1753,MATCH($B745,'Code Mapping'!$A$5:$A$1753,0)),"Unmapped"))</f>
        <v>Unmapped</v>
      </c>
      <c r="N745" s="33" t="str">
        <f aca="false">IF($F745="","",$F745)</f>
        <v>InflataCity 2025</v>
      </c>
    </row>
    <row r="746" customFormat="false" ht="15" hidden="false" customHeight="false" outlineLevel="0" collapsed="false">
      <c r="A746" s="33" t="n">
        <v>5728</v>
      </c>
      <c r="B746" s="33" t="s">
        <v>1488</v>
      </c>
      <c r="C746" s="33" t="s">
        <v>1028</v>
      </c>
      <c r="D746" s="33"/>
      <c r="E746" s="33" t="n">
        <v>96</v>
      </c>
      <c r="F746" s="33" t="s">
        <v>2154</v>
      </c>
      <c r="G746" s="33" t="s">
        <v>445</v>
      </c>
      <c r="H746" s="33" t="n">
        <v>1</v>
      </c>
      <c r="I746" s="33" t="n">
        <v>1</v>
      </c>
      <c r="J746" s="33" t="n">
        <v>1</v>
      </c>
      <c r="K746" s="32" t="n">
        <v>300</v>
      </c>
      <c r="L746" s="33" t="str">
        <f aca="false">IF($B746="","",IFERROR(INDEX('Code Mapping'!$D$5:$D$1753,MATCH($B746,'Code Mapping'!$A$5:$A$1753,0)),"Unmapped"))</f>
        <v>Unmapped</v>
      </c>
      <c r="M746" s="33" t="str">
        <f aca="false">IF($B746="","",IFERROR(INDEX('Code Mapping'!$E$5:$E$1753,MATCH($B746,'Code Mapping'!$A$5:$A$1753,0)),"Unmapped"))</f>
        <v>Unmapped</v>
      </c>
      <c r="N746" s="33" t="str">
        <f aca="false">IF($F746="","",$F746)</f>
        <v>InflataCity 2025</v>
      </c>
    </row>
    <row r="747" customFormat="false" ht="15" hidden="false" customHeight="false" outlineLevel="0" collapsed="false">
      <c r="A747" s="33" t="n">
        <v>6477</v>
      </c>
      <c r="B747" s="33" t="s">
        <v>1487</v>
      </c>
      <c r="C747" s="33" t="s">
        <v>1026</v>
      </c>
      <c r="D747" s="33"/>
      <c r="E747" s="33" t="n">
        <v>96</v>
      </c>
      <c r="F747" s="33" t="s">
        <v>2154</v>
      </c>
      <c r="G747" s="33" t="s">
        <v>445</v>
      </c>
      <c r="H747" s="33" t="n">
        <v>1</v>
      </c>
      <c r="I747" s="33" t="n">
        <v>1</v>
      </c>
      <c r="J747" s="33" t="n">
        <v>1</v>
      </c>
      <c r="K747" s="32" t="n">
        <v>75</v>
      </c>
      <c r="L747" s="33" t="str">
        <f aca="false">IF($B747="","",IFERROR(INDEX('Code Mapping'!$D$5:$D$1753,MATCH($B747,'Code Mapping'!$A$5:$A$1753,0)),"Unmapped"))</f>
        <v>Unmapped</v>
      </c>
      <c r="M747" s="33" t="str">
        <f aca="false">IF($B747="","",IFERROR(INDEX('Code Mapping'!$E$5:$E$1753,MATCH($B747,'Code Mapping'!$A$5:$A$1753,0)),"Unmapped"))</f>
        <v>Unmapped</v>
      </c>
      <c r="N747" s="33" t="str">
        <f aca="false">IF($F747="","",$F747)</f>
        <v>InflataCity 2025</v>
      </c>
    </row>
    <row r="748" customFormat="false" ht="15" hidden="false" customHeight="false" outlineLevel="0" collapsed="false">
      <c r="A748" s="33" t="n">
        <v>6597</v>
      </c>
      <c r="B748" s="33" t="s">
        <v>1313</v>
      </c>
      <c r="C748" s="33" t="s">
        <v>1026</v>
      </c>
      <c r="D748" s="33"/>
      <c r="E748" s="33" t="n">
        <v>96</v>
      </c>
      <c r="F748" s="33" t="s">
        <v>2154</v>
      </c>
      <c r="G748" s="33" t="s">
        <v>445</v>
      </c>
      <c r="H748" s="33" t="n">
        <v>1</v>
      </c>
      <c r="I748" s="33" t="n">
        <v>1</v>
      </c>
      <c r="J748" s="33" t="n">
        <v>1</v>
      </c>
      <c r="K748" s="32" t="n">
        <v>75</v>
      </c>
      <c r="L748" s="33" t="str">
        <f aca="false">IF($B748="","",IFERROR(INDEX('Code Mapping'!$D$5:$D$1753,MATCH($B748,'Code Mapping'!$A$5:$A$1753,0)),"Unmapped"))</f>
        <v>Unmapped</v>
      </c>
      <c r="M748" s="33" t="str">
        <f aca="false">IF($B748="","",IFERROR(INDEX('Code Mapping'!$E$5:$E$1753,MATCH($B748,'Code Mapping'!$A$5:$A$1753,0)),"Unmapped"))</f>
        <v>Unmapped</v>
      </c>
      <c r="N748" s="33" t="str">
        <f aca="false">IF($F748="","",$F748)</f>
        <v>InflataCity 2025</v>
      </c>
    </row>
    <row r="749" customFormat="false" ht="15" hidden="false" customHeight="false" outlineLevel="0" collapsed="false">
      <c r="A749" s="33" t="n">
        <v>6337</v>
      </c>
      <c r="B749" s="33" t="s">
        <v>1025</v>
      </c>
      <c r="C749" s="33" t="s">
        <v>1026</v>
      </c>
      <c r="D749" s="33"/>
      <c r="E749" s="33" t="n">
        <v>96</v>
      </c>
      <c r="F749" s="33" t="s">
        <v>2154</v>
      </c>
      <c r="G749" s="33" t="s">
        <v>445</v>
      </c>
      <c r="H749" s="33" t="n">
        <v>1</v>
      </c>
      <c r="I749" s="33" t="n">
        <v>1</v>
      </c>
      <c r="J749" s="33" t="n">
        <v>1</v>
      </c>
      <c r="K749" s="32" t="n">
        <v>75</v>
      </c>
      <c r="L749" s="33" t="str">
        <f aca="false">IF($B749="","",IFERROR(INDEX('Code Mapping'!$D$5:$D$1753,MATCH($B749,'Code Mapping'!$A$5:$A$1753,0)),"Unmapped"))</f>
        <v>Unmapped</v>
      </c>
      <c r="M749" s="33" t="str">
        <f aca="false">IF($B749="","",IFERROR(INDEX('Code Mapping'!$E$5:$E$1753,MATCH($B749,'Code Mapping'!$A$5:$A$1753,0)),"Unmapped"))</f>
        <v>Unmapped</v>
      </c>
      <c r="N749" s="33" t="str">
        <f aca="false">IF($F749="","",$F749)</f>
        <v>InflataCity 2025</v>
      </c>
    </row>
    <row r="750" customFormat="false" ht="15" hidden="false" customHeight="false" outlineLevel="0" collapsed="false">
      <c r="A750" s="33" t="n">
        <v>6503</v>
      </c>
      <c r="B750" s="33" t="s">
        <v>1311</v>
      </c>
      <c r="C750" s="33" t="s">
        <v>1026</v>
      </c>
      <c r="D750" s="33"/>
      <c r="E750" s="33" t="n">
        <v>96</v>
      </c>
      <c r="F750" s="33" t="s">
        <v>2154</v>
      </c>
      <c r="G750" s="33" t="s">
        <v>445</v>
      </c>
      <c r="H750" s="33" t="n">
        <v>1</v>
      </c>
      <c r="I750" s="33" t="n">
        <v>1</v>
      </c>
      <c r="J750" s="33" t="n">
        <v>1</v>
      </c>
      <c r="K750" s="32" t="n">
        <v>75</v>
      </c>
      <c r="L750" s="33" t="str">
        <f aca="false">IF($B750="","",IFERROR(INDEX('Code Mapping'!$D$5:$D$1753,MATCH($B750,'Code Mapping'!$A$5:$A$1753,0)),"Unmapped"))</f>
        <v>Unmapped</v>
      </c>
      <c r="M750" s="33" t="str">
        <f aca="false">IF($B750="","",IFERROR(INDEX('Code Mapping'!$E$5:$E$1753,MATCH($B750,'Code Mapping'!$A$5:$A$1753,0)),"Unmapped"))</f>
        <v>Unmapped</v>
      </c>
      <c r="N750" s="33" t="str">
        <f aca="false">IF($F750="","",$F750)</f>
        <v>InflataCity 2025</v>
      </c>
    </row>
    <row r="751" customFormat="false" ht="15" hidden="false" customHeight="false" outlineLevel="0" collapsed="false">
      <c r="A751" s="33" t="n">
        <v>6535</v>
      </c>
      <c r="B751" s="33" t="s">
        <v>1082</v>
      </c>
      <c r="C751" s="33" t="s">
        <v>1026</v>
      </c>
      <c r="D751" s="33"/>
      <c r="E751" s="33" t="n">
        <v>96</v>
      </c>
      <c r="F751" s="33" t="s">
        <v>2154</v>
      </c>
      <c r="G751" s="33" t="s">
        <v>445</v>
      </c>
      <c r="H751" s="33" t="n">
        <v>1</v>
      </c>
      <c r="I751" s="33" t="n">
        <v>1</v>
      </c>
      <c r="J751" s="33" t="n">
        <v>1</v>
      </c>
      <c r="K751" s="32" t="n">
        <v>75</v>
      </c>
      <c r="L751" s="33" t="str">
        <f aca="false">IF($B751="","",IFERROR(INDEX('Code Mapping'!$D$5:$D$1753,MATCH($B751,'Code Mapping'!$A$5:$A$1753,0)),"Unmapped"))</f>
        <v>Unmapped</v>
      </c>
      <c r="M751" s="33" t="str">
        <f aca="false">IF($B751="","",IFERROR(INDEX('Code Mapping'!$E$5:$E$1753,MATCH($B751,'Code Mapping'!$A$5:$A$1753,0)),"Unmapped"))</f>
        <v>Unmapped</v>
      </c>
      <c r="N751" s="33" t="str">
        <f aca="false">IF($F751="","",$F751)</f>
        <v>InflataCity 2025</v>
      </c>
    </row>
    <row r="752" customFormat="false" ht="15" hidden="false" customHeight="false" outlineLevel="0" collapsed="false">
      <c r="A752" s="33" t="n">
        <v>5831</v>
      </c>
      <c r="B752" s="33" t="s">
        <v>1310</v>
      </c>
      <c r="C752" s="33" t="s">
        <v>1028</v>
      </c>
      <c r="D752" s="33"/>
      <c r="E752" s="33" t="n">
        <v>96</v>
      </c>
      <c r="F752" s="33" t="s">
        <v>2154</v>
      </c>
      <c r="G752" s="33" t="s">
        <v>445</v>
      </c>
      <c r="H752" s="33" t="n">
        <v>1</v>
      </c>
      <c r="I752" s="33" t="n">
        <v>1</v>
      </c>
      <c r="J752" s="33" t="n">
        <v>1</v>
      </c>
      <c r="K752" s="32" t="n">
        <v>300</v>
      </c>
      <c r="L752" s="33" t="str">
        <f aca="false">IF($B752="","",IFERROR(INDEX('Code Mapping'!$D$5:$D$1753,MATCH($B752,'Code Mapping'!$A$5:$A$1753,0)),"Unmapped"))</f>
        <v>Unmapped</v>
      </c>
      <c r="M752" s="33" t="str">
        <f aca="false">IF($B752="","",IFERROR(INDEX('Code Mapping'!$E$5:$E$1753,MATCH($B752,'Code Mapping'!$A$5:$A$1753,0)),"Unmapped"))</f>
        <v>Unmapped</v>
      </c>
      <c r="N752" s="33" t="str">
        <f aca="false">IF($F752="","",$F752)</f>
        <v>InflataCity 2025</v>
      </c>
    </row>
    <row r="753" customFormat="false" ht="15" hidden="false" customHeight="false" outlineLevel="0" collapsed="false">
      <c r="A753" s="33" t="n">
        <v>5858</v>
      </c>
      <c r="B753" s="33" t="s">
        <v>1094</v>
      </c>
      <c r="C753" s="33" t="s">
        <v>1028</v>
      </c>
      <c r="D753" s="33"/>
      <c r="E753" s="33" t="n">
        <v>96</v>
      </c>
      <c r="F753" s="33" t="s">
        <v>2154</v>
      </c>
      <c r="G753" s="33" t="s">
        <v>445</v>
      </c>
      <c r="H753" s="33" t="n">
        <v>1</v>
      </c>
      <c r="I753" s="33" t="n">
        <v>1</v>
      </c>
      <c r="J753" s="33" t="n">
        <v>1</v>
      </c>
      <c r="K753" s="32" t="n">
        <v>300</v>
      </c>
      <c r="L753" s="33" t="str">
        <f aca="false">IF($B753="","",IFERROR(INDEX('Code Mapping'!$D$5:$D$1753,MATCH($B753,'Code Mapping'!$A$5:$A$1753,0)),"Unmapped"))</f>
        <v>Unmapped</v>
      </c>
      <c r="M753" s="33" t="str">
        <f aca="false">IF($B753="","",IFERROR(INDEX('Code Mapping'!$E$5:$E$1753,MATCH($B753,'Code Mapping'!$A$5:$A$1753,0)),"Unmapped"))</f>
        <v>Unmapped</v>
      </c>
      <c r="N753" s="33" t="str">
        <f aca="false">IF($F753="","",$F753)</f>
        <v>InflataCity 2025</v>
      </c>
    </row>
    <row r="754" customFormat="false" ht="15" hidden="false" customHeight="false" outlineLevel="0" collapsed="false">
      <c r="A754" s="33" t="n">
        <v>6693</v>
      </c>
      <c r="B754" s="33" t="s">
        <v>1092</v>
      </c>
      <c r="C754" s="33" t="s">
        <v>1026</v>
      </c>
      <c r="D754" s="33"/>
      <c r="E754" s="33" t="n">
        <v>96</v>
      </c>
      <c r="F754" s="33" t="s">
        <v>2154</v>
      </c>
      <c r="G754" s="33" t="s">
        <v>445</v>
      </c>
      <c r="H754" s="33" t="n">
        <v>1</v>
      </c>
      <c r="I754" s="33" t="n">
        <v>1</v>
      </c>
      <c r="J754" s="33" t="n">
        <v>1</v>
      </c>
      <c r="K754" s="32" t="n">
        <v>75</v>
      </c>
      <c r="L754" s="33" t="str">
        <f aca="false">IF($B754="","",IFERROR(INDEX('Code Mapping'!$D$5:$D$1753,MATCH($B754,'Code Mapping'!$A$5:$A$1753,0)),"Unmapped"))</f>
        <v>Unmapped</v>
      </c>
      <c r="M754" s="33" t="str">
        <f aca="false">IF($B754="","",IFERROR(INDEX('Code Mapping'!$E$5:$E$1753,MATCH($B754,'Code Mapping'!$A$5:$A$1753,0)),"Unmapped"))</f>
        <v>Unmapped</v>
      </c>
      <c r="N754" s="33" t="str">
        <f aca="false">IF($F754="","",$F754)</f>
        <v>InflataCity 2025</v>
      </c>
    </row>
    <row r="755" customFormat="false" ht="15" hidden="false" customHeight="false" outlineLevel="0" collapsed="false">
      <c r="A755" s="33" t="n">
        <v>6651</v>
      </c>
      <c r="B755" s="33" t="s">
        <v>1091</v>
      </c>
      <c r="C755" s="33" t="s">
        <v>1026</v>
      </c>
      <c r="D755" s="33"/>
      <c r="E755" s="33" t="n">
        <v>96</v>
      </c>
      <c r="F755" s="33" t="s">
        <v>2154</v>
      </c>
      <c r="G755" s="33" t="s">
        <v>445</v>
      </c>
      <c r="H755" s="33" t="n">
        <v>1</v>
      </c>
      <c r="I755" s="33" t="n">
        <v>1</v>
      </c>
      <c r="J755" s="33" t="n">
        <v>1</v>
      </c>
      <c r="K755" s="32" t="n">
        <v>75</v>
      </c>
      <c r="L755" s="33" t="str">
        <f aca="false">IF($B755="","",IFERROR(INDEX('Code Mapping'!$D$5:$D$1753,MATCH($B755,'Code Mapping'!$A$5:$A$1753,0)),"Unmapped"))</f>
        <v>Unmapped</v>
      </c>
      <c r="M755" s="33" t="str">
        <f aca="false">IF($B755="","",IFERROR(INDEX('Code Mapping'!$E$5:$E$1753,MATCH($B755,'Code Mapping'!$A$5:$A$1753,0)),"Unmapped"))</f>
        <v>Unmapped</v>
      </c>
      <c r="N755" s="33" t="str">
        <f aca="false">IF($F755="","",$F755)</f>
        <v>InflataCity 2025</v>
      </c>
    </row>
    <row r="756" customFormat="false" ht="15" hidden="false" customHeight="false" outlineLevel="0" collapsed="false">
      <c r="A756" s="33" t="n">
        <v>6577</v>
      </c>
      <c r="B756" s="33" t="s">
        <v>1090</v>
      </c>
      <c r="C756" s="33" t="s">
        <v>1026</v>
      </c>
      <c r="D756" s="33"/>
      <c r="E756" s="33" t="n">
        <v>96</v>
      </c>
      <c r="F756" s="33" t="s">
        <v>2154</v>
      </c>
      <c r="G756" s="33" t="s">
        <v>445</v>
      </c>
      <c r="H756" s="33" t="n">
        <v>1</v>
      </c>
      <c r="I756" s="33" t="n">
        <v>1</v>
      </c>
      <c r="J756" s="33" t="n">
        <v>1</v>
      </c>
      <c r="K756" s="32" t="n">
        <v>75</v>
      </c>
      <c r="L756" s="33" t="str">
        <f aca="false">IF($B756="","",IFERROR(INDEX('Code Mapping'!$D$5:$D$1753,MATCH($B756,'Code Mapping'!$A$5:$A$1753,0)),"Unmapped"))</f>
        <v>Unmapped</v>
      </c>
      <c r="M756" s="33" t="str">
        <f aca="false">IF($B756="","",IFERROR(INDEX('Code Mapping'!$E$5:$E$1753,MATCH($B756,'Code Mapping'!$A$5:$A$1753,0)),"Unmapped"))</f>
        <v>Unmapped</v>
      </c>
      <c r="N756" s="33" t="str">
        <f aca="false">IF($F756="","",$F756)</f>
        <v>InflataCity 2025</v>
      </c>
    </row>
    <row r="757" customFormat="false" ht="15" hidden="false" customHeight="false" outlineLevel="0" collapsed="false">
      <c r="A757" s="33" t="n">
        <v>5825</v>
      </c>
      <c r="B757" s="33" t="s">
        <v>1089</v>
      </c>
      <c r="C757" s="33" t="s">
        <v>1028</v>
      </c>
      <c r="D757" s="33"/>
      <c r="E757" s="33" t="n">
        <v>96</v>
      </c>
      <c r="F757" s="33" t="s">
        <v>2154</v>
      </c>
      <c r="G757" s="33" t="s">
        <v>445</v>
      </c>
      <c r="H757" s="33" t="n">
        <v>1</v>
      </c>
      <c r="I757" s="33" t="n">
        <v>1</v>
      </c>
      <c r="J757" s="33" t="n">
        <v>1</v>
      </c>
      <c r="K757" s="32" t="n">
        <v>300</v>
      </c>
      <c r="L757" s="33" t="str">
        <f aca="false">IF($B757="","",IFERROR(INDEX('Code Mapping'!$D$5:$D$1753,MATCH($B757,'Code Mapping'!$A$5:$A$1753,0)),"Unmapped"))</f>
        <v>Unmapped</v>
      </c>
      <c r="M757" s="33" t="str">
        <f aca="false">IF($B757="","",IFERROR(INDEX('Code Mapping'!$E$5:$E$1753,MATCH($B757,'Code Mapping'!$A$5:$A$1753,0)),"Unmapped"))</f>
        <v>Unmapped</v>
      </c>
      <c r="N757" s="33" t="str">
        <f aca="false">IF($F757="","",$F757)</f>
        <v>InflataCity 2025</v>
      </c>
    </row>
    <row r="758" customFormat="false" ht="15" hidden="false" customHeight="false" outlineLevel="0" collapsed="false">
      <c r="A758" s="33" t="n">
        <v>5781</v>
      </c>
      <c r="B758" s="33" t="s">
        <v>1088</v>
      </c>
      <c r="C758" s="33" t="s">
        <v>1028</v>
      </c>
      <c r="D758" s="33"/>
      <c r="E758" s="33" t="n">
        <v>96</v>
      </c>
      <c r="F758" s="33" t="s">
        <v>2154</v>
      </c>
      <c r="G758" s="33" t="s">
        <v>445</v>
      </c>
      <c r="H758" s="33" t="n">
        <v>1</v>
      </c>
      <c r="I758" s="33" t="n">
        <v>1</v>
      </c>
      <c r="J758" s="33" t="n">
        <v>1</v>
      </c>
      <c r="K758" s="32" t="n">
        <v>300</v>
      </c>
      <c r="L758" s="33" t="str">
        <f aca="false">IF($B758="","",IFERROR(INDEX('Code Mapping'!$D$5:$D$1753,MATCH($B758,'Code Mapping'!$A$5:$A$1753,0)),"Unmapped"))</f>
        <v>Unmapped</v>
      </c>
      <c r="M758" s="33" t="str">
        <f aca="false">IF($B758="","",IFERROR(INDEX('Code Mapping'!$E$5:$E$1753,MATCH($B758,'Code Mapping'!$A$5:$A$1753,0)),"Unmapped"))</f>
        <v>Unmapped</v>
      </c>
      <c r="N758" s="33" t="str">
        <f aca="false">IF($F758="","",$F758)</f>
        <v>InflataCity 2025</v>
      </c>
    </row>
    <row r="759" customFormat="false" ht="15" hidden="false" customHeight="false" outlineLevel="0" collapsed="false">
      <c r="A759" s="33" t="n">
        <v>5741</v>
      </c>
      <c r="B759" s="33" t="s">
        <v>1087</v>
      </c>
      <c r="C759" s="33" t="s">
        <v>1028</v>
      </c>
      <c r="D759" s="33"/>
      <c r="E759" s="33" t="n">
        <v>96</v>
      </c>
      <c r="F759" s="33" t="s">
        <v>2154</v>
      </c>
      <c r="G759" s="33" t="s">
        <v>445</v>
      </c>
      <c r="H759" s="33" t="n">
        <v>1</v>
      </c>
      <c r="I759" s="33" t="n">
        <v>1</v>
      </c>
      <c r="J759" s="33" t="n">
        <v>1</v>
      </c>
      <c r="K759" s="32" t="n">
        <v>300</v>
      </c>
      <c r="L759" s="33" t="str">
        <f aca="false">IF($B759="","",IFERROR(INDEX('Code Mapping'!$D$5:$D$1753,MATCH($B759,'Code Mapping'!$A$5:$A$1753,0)),"Unmapped"))</f>
        <v>Unmapped</v>
      </c>
      <c r="M759" s="33" t="str">
        <f aca="false">IF($B759="","",IFERROR(INDEX('Code Mapping'!$E$5:$E$1753,MATCH($B759,'Code Mapping'!$A$5:$A$1753,0)),"Unmapped"))</f>
        <v>Unmapped</v>
      </c>
      <c r="N759" s="33" t="str">
        <f aca="false">IF($F759="","",$F759)</f>
        <v>InflataCity 2025</v>
      </c>
    </row>
    <row r="760" customFormat="false" ht="15" hidden="false" customHeight="false" outlineLevel="0" collapsed="false">
      <c r="A760" s="33" t="n">
        <v>6225</v>
      </c>
      <c r="B760" s="33" t="s">
        <v>1086</v>
      </c>
      <c r="C760" s="33" t="s">
        <v>1032</v>
      </c>
      <c r="D760" s="33"/>
      <c r="E760" s="33" t="n">
        <v>96</v>
      </c>
      <c r="F760" s="33" t="s">
        <v>2154</v>
      </c>
      <c r="G760" s="33" t="s">
        <v>445</v>
      </c>
      <c r="H760" s="33" t="n">
        <v>1</v>
      </c>
      <c r="I760" s="33" t="n">
        <v>1</v>
      </c>
      <c r="J760" s="33" t="n">
        <v>1</v>
      </c>
      <c r="K760" s="32" t="n">
        <v>350</v>
      </c>
      <c r="L760" s="33" t="str">
        <f aca="false">IF($B760="","",IFERROR(INDEX('Code Mapping'!$D$5:$D$1753,MATCH($B760,'Code Mapping'!$A$5:$A$1753,0)),"Unmapped"))</f>
        <v>Unmapped</v>
      </c>
      <c r="M760" s="33" t="str">
        <f aca="false">IF($B760="","",IFERROR(INDEX('Code Mapping'!$E$5:$E$1753,MATCH($B760,'Code Mapping'!$A$5:$A$1753,0)),"Unmapped"))</f>
        <v>Unmapped</v>
      </c>
      <c r="N760" s="33" t="str">
        <f aca="false">IF($F760="","",$F760)</f>
        <v>InflataCity 2025</v>
      </c>
    </row>
    <row r="761" customFormat="false" ht="15" hidden="false" customHeight="false" outlineLevel="0" collapsed="false">
      <c r="A761" s="33" t="n">
        <v>5800</v>
      </c>
      <c r="B761" s="33" t="s">
        <v>1085</v>
      </c>
      <c r="C761" s="33" t="s">
        <v>1028</v>
      </c>
      <c r="D761" s="33"/>
      <c r="E761" s="33" t="n">
        <v>96</v>
      </c>
      <c r="F761" s="33" t="s">
        <v>2154</v>
      </c>
      <c r="G761" s="33" t="s">
        <v>445</v>
      </c>
      <c r="H761" s="33" t="n">
        <v>1</v>
      </c>
      <c r="I761" s="33" t="n">
        <v>1</v>
      </c>
      <c r="J761" s="33" t="n">
        <v>1</v>
      </c>
      <c r="K761" s="32" t="n">
        <v>300</v>
      </c>
      <c r="L761" s="33" t="str">
        <f aca="false">IF($B761="","",IFERROR(INDEX('Code Mapping'!$D$5:$D$1753,MATCH($B761,'Code Mapping'!$A$5:$A$1753,0)),"Unmapped"))</f>
        <v>Unmapped</v>
      </c>
      <c r="M761" s="33" t="str">
        <f aca="false">IF($B761="","",IFERROR(INDEX('Code Mapping'!$E$5:$E$1753,MATCH($B761,'Code Mapping'!$A$5:$A$1753,0)),"Unmapped"))</f>
        <v>Unmapped</v>
      </c>
      <c r="N761" s="33" t="str">
        <f aca="false">IF($F761="","",$F761)</f>
        <v>InflataCity 2025</v>
      </c>
    </row>
    <row r="762" customFormat="false" ht="15" hidden="false" customHeight="false" outlineLevel="0" collapsed="false">
      <c r="A762" s="33" t="n">
        <v>6539</v>
      </c>
      <c r="B762" s="33" t="s">
        <v>1084</v>
      </c>
      <c r="C762" s="33" t="s">
        <v>1026</v>
      </c>
      <c r="D762" s="33"/>
      <c r="E762" s="33" t="n">
        <v>96</v>
      </c>
      <c r="F762" s="33" t="s">
        <v>2154</v>
      </c>
      <c r="G762" s="33" t="s">
        <v>445</v>
      </c>
      <c r="H762" s="33" t="n">
        <v>1</v>
      </c>
      <c r="I762" s="33" t="n">
        <v>1</v>
      </c>
      <c r="J762" s="33" t="n">
        <v>1</v>
      </c>
      <c r="K762" s="32" t="n">
        <v>75</v>
      </c>
      <c r="L762" s="33" t="str">
        <f aca="false">IF($B762="","",IFERROR(INDEX('Code Mapping'!$D$5:$D$1753,MATCH($B762,'Code Mapping'!$A$5:$A$1753,0)),"Unmapped"))</f>
        <v>Unmapped</v>
      </c>
      <c r="M762" s="33" t="str">
        <f aca="false">IF($B762="","",IFERROR(INDEX('Code Mapping'!$E$5:$E$1753,MATCH($B762,'Code Mapping'!$A$5:$A$1753,0)),"Unmapped"))</f>
        <v>Unmapped</v>
      </c>
      <c r="N762" s="33" t="str">
        <f aca="false">IF($F762="","",$F762)</f>
        <v>InflataCity 2025</v>
      </c>
    </row>
    <row r="763" customFormat="false" ht="15" hidden="false" customHeight="false" outlineLevel="0" collapsed="false">
      <c r="A763" s="33" t="n">
        <v>6623</v>
      </c>
      <c r="B763" s="33" t="s">
        <v>1083</v>
      </c>
      <c r="C763" s="33" t="s">
        <v>1026</v>
      </c>
      <c r="D763" s="33"/>
      <c r="E763" s="33" t="n">
        <v>96</v>
      </c>
      <c r="F763" s="33" t="s">
        <v>2154</v>
      </c>
      <c r="G763" s="33" t="s">
        <v>445</v>
      </c>
      <c r="H763" s="33" t="n">
        <v>1</v>
      </c>
      <c r="I763" s="33" t="n">
        <v>1</v>
      </c>
      <c r="J763" s="33" t="n">
        <v>1</v>
      </c>
      <c r="K763" s="32" t="n">
        <v>75</v>
      </c>
      <c r="L763" s="33" t="str">
        <f aca="false">IF($B763="","",IFERROR(INDEX('Code Mapping'!$D$5:$D$1753,MATCH($B763,'Code Mapping'!$A$5:$A$1753,0)),"Unmapped"))</f>
        <v>Unmapped</v>
      </c>
      <c r="M763" s="33" t="str">
        <f aca="false">IF($B763="","",IFERROR(INDEX('Code Mapping'!$E$5:$E$1753,MATCH($B763,'Code Mapping'!$A$5:$A$1753,0)),"Unmapped"))</f>
        <v>Unmapped</v>
      </c>
      <c r="N763" s="33" t="str">
        <f aca="false">IF($F763="","",$F763)</f>
        <v>InflataCity 2025</v>
      </c>
    </row>
    <row r="764" customFormat="false" ht="15" hidden="false" customHeight="false" outlineLevel="0" collapsed="false">
      <c r="A764" s="33" t="n">
        <v>6300</v>
      </c>
      <c r="B764" s="33" t="s">
        <v>1081</v>
      </c>
      <c r="C764" s="33" t="s">
        <v>1026</v>
      </c>
      <c r="D764" s="33"/>
      <c r="E764" s="33" t="n">
        <v>96</v>
      </c>
      <c r="F764" s="33" t="s">
        <v>2154</v>
      </c>
      <c r="G764" s="33" t="s">
        <v>445</v>
      </c>
      <c r="H764" s="33" t="n">
        <v>1</v>
      </c>
      <c r="I764" s="33" t="n">
        <v>1</v>
      </c>
      <c r="J764" s="33" t="n">
        <v>1</v>
      </c>
      <c r="K764" s="32" t="n">
        <v>75</v>
      </c>
      <c r="L764" s="33" t="str">
        <f aca="false">IF($B764="","",IFERROR(INDEX('Code Mapping'!$D$5:$D$1753,MATCH($B764,'Code Mapping'!$A$5:$A$1753,0)),"Unmapped"))</f>
        <v>Unmapped</v>
      </c>
      <c r="M764" s="33" t="str">
        <f aca="false">IF($B764="","",IFERROR(INDEX('Code Mapping'!$E$5:$E$1753,MATCH($B764,'Code Mapping'!$A$5:$A$1753,0)),"Unmapped"))</f>
        <v>Unmapped</v>
      </c>
      <c r="N764" s="33" t="str">
        <f aca="false">IF($F764="","",$F764)</f>
        <v>InflataCity 2025</v>
      </c>
    </row>
    <row r="765" customFormat="false" ht="15" hidden="false" customHeight="false" outlineLevel="0" collapsed="false">
      <c r="A765" s="33" t="n">
        <v>6468</v>
      </c>
      <c r="B765" s="33" t="s">
        <v>1067</v>
      </c>
      <c r="C765" s="33" t="s">
        <v>1026</v>
      </c>
      <c r="D765" s="33"/>
      <c r="E765" s="33" t="n">
        <v>96</v>
      </c>
      <c r="F765" s="33" t="s">
        <v>2154</v>
      </c>
      <c r="G765" s="33" t="s">
        <v>445</v>
      </c>
      <c r="H765" s="33" t="n">
        <v>1</v>
      </c>
      <c r="I765" s="33" t="n">
        <v>1</v>
      </c>
      <c r="J765" s="33" t="n">
        <v>1</v>
      </c>
      <c r="K765" s="32" t="n">
        <v>75</v>
      </c>
      <c r="L765" s="33" t="str">
        <f aca="false">IF($B765="","",IFERROR(INDEX('Code Mapping'!$D$5:$D$1753,MATCH($B765,'Code Mapping'!$A$5:$A$1753,0)),"Unmapped"))</f>
        <v>Unmapped</v>
      </c>
      <c r="M765" s="33" t="str">
        <f aca="false">IF($B765="","",IFERROR(INDEX('Code Mapping'!$E$5:$E$1753,MATCH($B765,'Code Mapping'!$A$5:$A$1753,0)),"Unmapped"))</f>
        <v>Unmapped</v>
      </c>
      <c r="N765" s="33" t="str">
        <f aca="false">IF($F765="","",$F765)</f>
        <v>InflataCity 2025</v>
      </c>
    </row>
    <row r="766" customFormat="false" ht="15" hidden="false" customHeight="false" outlineLevel="0" collapsed="false">
      <c r="A766" s="33" t="n">
        <v>6232</v>
      </c>
      <c r="B766" s="33" t="s">
        <v>1080</v>
      </c>
      <c r="C766" s="33" t="s">
        <v>1032</v>
      </c>
      <c r="D766" s="33"/>
      <c r="E766" s="33" t="n">
        <v>96</v>
      </c>
      <c r="F766" s="33" t="s">
        <v>2154</v>
      </c>
      <c r="G766" s="33" t="s">
        <v>445</v>
      </c>
      <c r="H766" s="33" t="n">
        <v>1</v>
      </c>
      <c r="I766" s="33" t="n">
        <v>1</v>
      </c>
      <c r="J766" s="33" t="n">
        <v>1</v>
      </c>
      <c r="K766" s="32" t="n">
        <v>350</v>
      </c>
      <c r="L766" s="33" t="str">
        <f aca="false">IF($B766="","",IFERROR(INDEX('Code Mapping'!$D$5:$D$1753,MATCH($B766,'Code Mapping'!$A$5:$A$1753,0)),"Unmapped"))</f>
        <v>Unmapped</v>
      </c>
      <c r="M766" s="33" t="str">
        <f aca="false">IF($B766="","",IFERROR(INDEX('Code Mapping'!$E$5:$E$1753,MATCH($B766,'Code Mapping'!$A$5:$A$1753,0)),"Unmapped"))</f>
        <v>Unmapped</v>
      </c>
      <c r="N766" s="33" t="str">
        <f aca="false">IF($F766="","",$F766)</f>
        <v>InflataCity 2025</v>
      </c>
    </row>
    <row r="767" customFormat="false" ht="15" hidden="false" customHeight="false" outlineLevel="0" collapsed="false">
      <c r="A767" s="33" t="n">
        <v>6212</v>
      </c>
      <c r="B767" s="33" t="s">
        <v>1079</v>
      </c>
      <c r="C767" s="33" t="s">
        <v>1032</v>
      </c>
      <c r="D767" s="33"/>
      <c r="E767" s="33" t="n">
        <v>96</v>
      </c>
      <c r="F767" s="33" t="s">
        <v>2154</v>
      </c>
      <c r="G767" s="33" t="s">
        <v>445</v>
      </c>
      <c r="H767" s="33" t="n">
        <v>1</v>
      </c>
      <c r="I767" s="33" t="n">
        <v>1</v>
      </c>
      <c r="J767" s="33" t="n">
        <v>1</v>
      </c>
      <c r="K767" s="32" t="n">
        <v>350</v>
      </c>
      <c r="L767" s="33" t="str">
        <f aca="false">IF($B767="","",IFERROR(INDEX('Code Mapping'!$D$5:$D$1753,MATCH($B767,'Code Mapping'!$A$5:$A$1753,0)),"Unmapped"))</f>
        <v>Unmapped</v>
      </c>
      <c r="M767" s="33" t="str">
        <f aca="false">IF($B767="","",IFERROR(INDEX('Code Mapping'!$E$5:$E$1753,MATCH($B767,'Code Mapping'!$A$5:$A$1753,0)),"Unmapped"))</f>
        <v>Unmapped</v>
      </c>
      <c r="N767" s="33" t="str">
        <f aca="false">IF($F767="","",$F767)</f>
        <v>InflataCity 2025</v>
      </c>
    </row>
    <row r="768" customFormat="false" ht="15" hidden="false" customHeight="false" outlineLevel="0" collapsed="false">
      <c r="A768" s="33" t="n">
        <v>6320</v>
      </c>
      <c r="B768" s="33" t="s">
        <v>1078</v>
      </c>
      <c r="C768" s="33" t="s">
        <v>1026</v>
      </c>
      <c r="D768" s="33"/>
      <c r="E768" s="33" t="n">
        <v>96</v>
      </c>
      <c r="F768" s="33" t="s">
        <v>2154</v>
      </c>
      <c r="G768" s="33" t="s">
        <v>445</v>
      </c>
      <c r="H768" s="33" t="n">
        <v>1</v>
      </c>
      <c r="I768" s="33" t="n">
        <v>1</v>
      </c>
      <c r="J768" s="33" t="n">
        <v>1</v>
      </c>
      <c r="K768" s="32" t="n">
        <v>75</v>
      </c>
      <c r="L768" s="33" t="str">
        <f aca="false">IF($B768="","",IFERROR(INDEX('Code Mapping'!$D$5:$D$1753,MATCH($B768,'Code Mapping'!$A$5:$A$1753,0)),"Unmapped"))</f>
        <v>Unmapped</v>
      </c>
      <c r="M768" s="33" t="str">
        <f aca="false">IF($B768="","",IFERROR(INDEX('Code Mapping'!$E$5:$E$1753,MATCH($B768,'Code Mapping'!$A$5:$A$1753,0)),"Unmapped"))</f>
        <v>Unmapped</v>
      </c>
      <c r="N768" s="33" t="str">
        <f aca="false">IF($F768="","",$F768)</f>
        <v>InflataCity 2025</v>
      </c>
    </row>
    <row r="769" customFormat="false" ht="15" hidden="false" customHeight="false" outlineLevel="0" collapsed="false">
      <c r="A769" s="33" t="n">
        <v>6309</v>
      </c>
      <c r="B769" s="33" t="s">
        <v>1077</v>
      </c>
      <c r="C769" s="33" t="s">
        <v>1026</v>
      </c>
      <c r="D769" s="33"/>
      <c r="E769" s="33" t="n">
        <v>96</v>
      </c>
      <c r="F769" s="33" t="s">
        <v>2154</v>
      </c>
      <c r="G769" s="33" t="s">
        <v>445</v>
      </c>
      <c r="H769" s="33" t="n">
        <v>1</v>
      </c>
      <c r="I769" s="33" t="n">
        <v>1</v>
      </c>
      <c r="J769" s="33" t="n">
        <v>1</v>
      </c>
      <c r="K769" s="32" t="n">
        <v>75</v>
      </c>
      <c r="L769" s="33" t="str">
        <f aca="false">IF($B769="","",IFERROR(INDEX('Code Mapping'!$D$5:$D$1753,MATCH($B769,'Code Mapping'!$A$5:$A$1753,0)),"Unmapped"))</f>
        <v>Unmapped</v>
      </c>
      <c r="M769" s="33" t="str">
        <f aca="false">IF($B769="","",IFERROR(INDEX('Code Mapping'!$E$5:$E$1753,MATCH($B769,'Code Mapping'!$A$5:$A$1753,0)),"Unmapped"))</f>
        <v>Unmapped</v>
      </c>
      <c r="N769" s="33" t="str">
        <f aca="false">IF($F769="","",$F769)</f>
        <v>InflataCity 2025</v>
      </c>
    </row>
    <row r="770" customFormat="false" ht="15" hidden="false" customHeight="false" outlineLevel="0" collapsed="false">
      <c r="A770" s="33" t="n">
        <v>6476</v>
      </c>
      <c r="B770" s="33" t="s">
        <v>1076</v>
      </c>
      <c r="C770" s="33" t="s">
        <v>1026</v>
      </c>
      <c r="D770" s="33"/>
      <c r="E770" s="33" t="n">
        <v>96</v>
      </c>
      <c r="F770" s="33" t="s">
        <v>2154</v>
      </c>
      <c r="G770" s="33" t="s">
        <v>445</v>
      </c>
      <c r="H770" s="33" t="n">
        <v>1</v>
      </c>
      <c r="I770" s="33" t="n">
        <v>1</v>
      </c>
      <c r="J770" s="33" t="n">
        <v>1</v>
      </c>
      <c r="K770" s="32" t="n">
        <v>75</v>
      </c>
      <c r="L770" s="33" t="str">
        <f aca="false">IF($B770="","",IFERROR(INDEX('Code Mapping'!$D$5:$D$1753,MATCH($B770,'Code Mapping'!$A$5:$A$1753,0)),"Unmapped"))</f>
        <v>Unmapped</v>
      </c>
      <c r="M770" s="33" t="str">
        <f aca="false">IF($B770="","",IFERROR(INDEX('Code Mapping'!$E$5:$E$1753,MATCH($B770,'Code Mapping'!$A$5:$A$1753,0)),"Unmapped"))</f>
        <v>Unmapped</v>
      </c>
      <c r="N770" s="33" t="str">
        <f aca="false">IF($F770="","",$F770)</f>
        <v>InflataCity 2025</v>
      </c>
    </row>
    <row r="771" customFormat="false" ht="15" hidden="false" customHeight="false" outlineLevel="0" collapsed="false">
      <c r="A771" s="33" t="n">
        <v>6154</v>
      </c>
      <c r="B771" s="33" t="s">
        <v>1075</v>
      </c>
      <c r="C771" s="33" t="s">
        <v>1032</v>
      </c>
      <c r="D771" s="33"/>
      <c r="E771" s="33" t="n">
        <v>96</v>
      </c>
      <c r="F771" s="33" t="s">
        <v>2154</v>
      </c>
      <c r="G771" s="33" t="s">
        <v>445</v>
      </c>
      <c r="H771" s="33" t="n">
        <v>1</v>
      </c>
      <c r="I771" s="33" t="n">
        <v>1</v>
      </c>
      <c r="J771" s="33" t="n">
        <v>1</v>
      </c>
      <c r="K771" s="32" t="n">
        <v>350</v>
      </c>
      <c r="L771" s="33" t="str">
        <f aca="false">IF($B771="","",IFERROR(INDEX('Code Mapping'!$D$5:$D$1753,MATCH($B771,'Code Mapping'!$A$5:$A$1753,0)),"Unmapped"))</f>
        <v>Unmapped</v>
      </c>
      <c r="M771" s="33" t="str">
        <f aca="false">IF($B771="","",IFERROR(INDEX('Code Mapping'!$E$5:$E$1753,MATCH($B771,'Code Mapping'!$A$5:$A$1753,0)),"Unmapped"))</f>
        <v>Unmapped</v>
      </c>
      <c r="N771" s="33" t="str">
        <f aca="false">IF($F771="","",$F771)</f>
        <v>InflataCity 2025</v>
      </c>
    </row>
    <row r="772" customFormat="false" ht="15" hidden="false" customHeight="false" outlineLevel="0" collapsed="false">
      <c r="A772" s="33" t="n">
        <v>6654</v>
      </c>
      <c r="B772" s="33" t="s">
        <v>1074</v>
      </c>
      <c r="C772" s="33" t="s">
        <v>1026</v>
      </c>
      <c r="D772" s="33"/>
      <c r="E772" s="33" t="n">
        <v>96</v>
      </c>
      <c r="F772" s="33" t="s">
        <v>2154</v>
      </c>
      <c r="G772" s="33" t="s">
        <v>445</v>
      </c>
      <c r="H772" s="33" t="n">
        <v>1</v>
      </c>
      <c r="I772" s="33" t="n">
        <v>1</v>
      </c>
      <c r="J772" s="33" t="n">
        <v>1</v>
      </c>
      <c r="K772" s="32" t="n">
        <v>75</v>
      </c>
      <c r="L772" s="33" t="str">
        <f aca="false">IF($B772="","",IFERROR(INDEX('Code Mapping'!$D$5:$D$1753,MATCH($B772,'Code Mapping'!$A$5:$A$1753,0)),"Unmapped"))</f>
        <v>Unmapped</v>
      </c>
      <c r="M772" s="33" t="str">
        <f aca="false">IF($B772="","",IFERROR(INDEX('Code Mapping'!$E$5:$E$1753,MATCH($B772,'Code Mapping'!$A$5:$A$1753,0)),"Unmapped"))</f>
        <v>Unmapped</v>
      </c>
      <c r="N772" s="33" t="str">
        <f aca="false">IF($F772="","",$F772)</f>
        <v>InflataCity 2025</v>
      </c>
    </row>
    <row r="773" customFormat="false" ht="15" hidden="false" customHeight="false" outlineLevel="0" collapsed="false">
      <c r="A773" s="33" t="n">
        <v>6249</v>
      </c>
      <c r="B773" s="33" t="s">
        <v>1073</v>
      </c>
      <c r="C773" s="33" t="s">
        <v>1032</v>
      </c>
      <c r="D773" s="33"/>
      <c r="E773" s="33" t="n">
        <v>96</v>
      </c>
      <c r="F773" s="33" t="s">
        <v>2154</v>
      </c>
      <c r="G773" s="33" t="s">
        <v>445</v>
      </c>
      <c r="H773" s="33" t="n">
        <v>1</v>
      </c>
      <c r="I773" s="33" t="n">
        <v>1</v>
      </c>
      <c r="J773" s="33" t="n">
        <v>1</v>
      </c>
      <c r="K773" s="32" t="n">
        <v>350</v>
      </c>
      <c r="L773" s="33" t="str">
        <f aca="false">IF($B773="","",IFERROR(INDEX('Code Mapping'!$D$5:$D$1753,MATCH($B773,'Code Mapping'!$A$5:$A$1753,0)),"Unmapped"))</f>
        <v>Unmapped</v>
      </c>
      <c r="M773" s="33" t="str">
        <f aca="false">IF($B773="","",IFERROR(INDEX('Code Mapping'!$E$5:$E$1753,MATCH($B773,'Code Mapping'!$A$5:$A$1753,0)),"Unmapped"))</f>
        <v>Unmapped</v>
      </c>
      <c r="N773" s="33" t="str">
        <f aca="false">IF($F773="","",$F773)</f>
        <v>InflataCity 2025</v>
      </c>
    </row>
    <row r="774" customFormat="false" ht="15" hidden="false" customHeight="false" outlineLevel="0" collapsed="false">
      <c r="A774" s="33" t="n">
        <v>5820</v>
      </c>
      <c r="B774" s="33" t="s">
        <v>1072</v>
      </c>
      <c r="C774" s="33" t="s">
        <v>1028</v>
      </c>
      <c r="D774" s="33"/>
      <c r="E774" s="33" t="n">
        <v>96</v>
      </c>
      <c r="F774" s="33" t="s">
        <v>2154</v>
      </c>
      <c r="G774" s="33" t="s">
        <v>445</v>
      </c>
      <c r="H774" s="33" t="n">
        <v>1</v>
      </c>
      <c r="I774" s="33" t="n">
        <v>1</v>
      </c>
      <c r="J774" s="33" t="n">
        <v>1</v>
      </c>
      <c r="K774" s="32" t="n">
        <v>300</v>
      </c>
      <c r="L774" s="33" t="str">
        <f aca="false">IF($B774="","",IFERROR(INDEX('Code Mapping'!$D$5:$D$1753,MATCH($B774,'Code Mapping'!$A$5:$A$1753,0)),"Unmapped"))</f>
        <v>Unmapped</v>
      </c>
      <c r="M774" s="33" t="str">
        <f aca="false">IF($B774="","",IFERROR(INDEX('Code Mapping'!$E$5:$E$1753,MATCH($B774,'Code Mapping'!$A$5:$A$1753,0)),"Unmapped"))</f>
        <v>Unmapped</v>
      </c>
      <c r="N774" s="33" t="str">
        <f aca="false">IF($F774="","",$F774)</f>
        <v>InflataCity 2025</v>
      </c>
    </row>
    <row r="775" customFormat="false" ht="15" hidden="false" customHeight="false" outlineLevel="0" collapsed="false">
      <c r="A775" s="33" t="n">
        <v>5751</v>
      </c>
      <c r="B775" s="33" t="s">
        <v>1071</v>
      </c>
      <c r="C775" s="33" t="s">
        <v>1028</v>
      </c>
      <c r="D775" s="33"/>
      <c r="E775" s="33" t="n">
        <v>96</v>
      </c>
      <c r="F775" s="33" t="s">
        <v>2154</v>
      </c>
      <c r="G775" s="33" t="s">
        <v>445</v>
      </c>
      <c r="H775" s="33" t="n">
        <v>1</v>
      </c>
      <c r="I775" s="33" t="n">
        <v>1</v>
      </c>
      <c r="J775" s="33" t="n">
        <v>1</v>
      </c>
      <c r="K775" s="32" t="n">
        <v>300</v>
      </c>
      <c r="L775" s="33" t="str">
        <f aca="false">IF($B775="","",IFERROR(INDEX('Code Mapping'!$D$5:$D$1753,MATCH($B775,'Code Mapping'!$A$5:$A$1753,0)),"Unmapped"))</f>
        <v>Unmapped</v>
      </c>
      <c r="M775" s="33" t="str">
        <f aca="false">IF($B775="","",IFERROR(INDEX('Code Mapping'!$E$5:$E$1753,MATCH($B775,'Code Mapping'!$A$5:$A$1753,0)),"Unmapped"))</f>
        <v>Unmapped</v>
      </c>
      <c r="N775" s="33" t="str">
        <f aca="false">IF($F775="","",$F775)</f>
        <v>InflataCity 2025</v>
      </c>
    </row>
    <row r="776" customFormat="false" ht="15" hidden="false" customHeight="false" outlineLevel="0" collapsed="false">
      <c r="A776" s="33" t="n">
        <v>6411</v>
      </c>
      <c r="B776" s="33" t="s">
        <v>1070</v>
      </c>
      <c r="C776" s="33" t="s">
        <v>1026</v>
      </c>
      <c r="D776" s="33"/>
      <c r="E776" s="33" t="n">
        <v>96</v>
      </c>
      <c r="F776" s="33" t="s">
        <v>2154</v>
      </c>
      <c r="G776" s="33" t="s">
        <v>445</v>
      </c>
      <c r="H776" s="33" t="n">
        <v>1</v>
      </c>
      <c r="I776" s="33" t="n">
        <v>1</v>
      </c>
      <c r="J776" s="33" t="n">
        <v>1</v>
      </c>
      <c r="K776" s="32" t="n">
        <v>75</v>
      </c>
      <c r="L776" s="33" t="str">
        <f aca="false">IF($B776="","",IFERROR(INDEX('Code Mapping'!$D$5:$D$1753,MATCH($B776,'Code Mapping'!$A$5:$A$1753,0)),"Unmapped"))</f>
        <v>Unmapped</v>
      </c>
      <c r="M776" s="33" t="str">
        <f aca="false">IF($B776="","",IFERROR(INDEX('Code Mapping'!$E$5:$E$1753,MATCH($B776,'Code Mapping'!$A$5:$A$1753,0)),"Unmapped"))</f>
        <v>Unmapped</v>
      </c>
      <c r="N776" s="33" t="str">
        <f aca="false">IF($F776="","",$F776)</f>
        <v>InflataCity 2025</v>
      </c>
    </row>
    <row r="777" customFormat="false" ht="15" hidden="false" customHeight="false" outlineLevel="0" collapsed="false">
      <c r="A777" s="33" t="n">
        <v>6258</v>
      </c>
      <c r="B777" s="33" t="s">
        <v>1069</v>
      </c>
      <c r="C777" s="33" t="s">
        <v>1032</v>
      </c>
      <c r="D777" s="33"/>
      <c r="E777" s="33" t="n">
        <v>96</v>
      </c>
      <c r="F777" s="33" t="s">
        <v>2154</v>
      </c>
      <c r="G777" s="33" t="s">
        <v>445</v>
      </c>
      <c r="H777" s="33" t="n">
        <v>1</v>
      </c>
      <c r="I777" s="33" t="n">
        <v>1</v>
      </c>
      <c r="J777" s="33" t="n">
        <v>1</v>
      </c>
      <c r="K777" s="32" t="n">
        <v>350</v>
      </c>
      <c r="L777" s="33" t="str">
        <f aca="false">IF($B777="","",IFERROR(INDEX('Code Mapping'!$D$5:$D$1753,MATCH($B777,'Code Mapping'!$A$5:$A$1753,0)),"Unmapped"))</f>
        <v>Unmapped</v>
      </c>
      <c r="M777" s="33" t="str">
        <f aca="false">IF($B777="","",IFERROR(INDEX('Code Mapping'!$E$5:$E$1753,MATCH($B777,'Code Mapping'!$A$5:$A$1753,0)),"Unmapped"))</f>
        <v>Unmapped</v>
      </c>
      <c r="N777" s="33" t="str">
        <f aca="false">IF($F777="","",$F777)</f>
        <v>InflataCity 2025</v>
      </c>
    </row>
    <row r="778" customFormat="false" ht="15" hidden="false" customHeight="false" outlineLevel="0" collapsed="false">
      <c r="A778" s="33" t="n">
        <v>6354</v>
      </c>
      <c r="B778" s="33" t="s">
        <v>1096</v>
      </c>
      <c r="C778" s="33" t="s">
        <v>1026</v>
      </c>
      <c r="D778" s="33"/>
      <c r="E778" s="33" t="n">
        <v>96</v>
      </c>
      <c r="F778" s="33" t="s">
        <v>2154</v>
      </c>
      <c r="G778" s="33" t="s">
        <v>445</v>
      </c>
      <c r="H778" s="33" t="n">
        <v>1</v>
      </c>
      <c r="I778" s="33" t="n">
        <v>1</v>
      </c>
      <c r="J778" s="33" t="n">
        <v>1</v>
      </c>
      <c r="K778" s="32" t="n">
        <v>75</v>
      </c>
      <c r="L778" s="33" t="str">
        <f aca="false">IF($B778="","",IFERROR(INDEX('Code Mapping'!$D$5:$D$1753,MATCH($B778,'Code Mapping'!$A$5:$A$1753,0)),"Unmapped"))</f>
        <v>Unmapped</v>
      </c>
      <c r="M778" s="33" t="str">
        <f aca="false">IF($B778="","",IFERROR(INDEX('Code Mapping'!$E$5:$E$1753,MATCH($B778,'Code Mapping'!$A$5:$A$1753,0)),"Unmapped"))</f>
        <v>Unmapped</v>
      </c>
      <c r="N778" s="33" t="str">
        <f aca="false">IF($F778="","",$F778)</f>
        <v>InflataCity 2025</v>
      </c>
    </row>
    <row r="779" customFormat="false" ht="15" hidden="false" customHeight="false" outlineLevel="0" collapsed="false">
      <c r="A779" s="33" t="n">
        <v>5829</v>
      </c>
      <c r="B779" s="33" t="s">
        <v>1097</v>
      </c>
      <c r="C779" s="33" t="s">
        <v>1028</v>
      </c>
      <c r="D779" s="33"/>
      <c r="E779" s="33" t="n">
        <v>96</v>
      </c>
      <c r="F779" s="33" t="s">
        <v>2154</v>
      </c>
      <c r="G779" s="33" t="s">
        <v>445</v>
      </c>
      <c r="H779" s="33" t="n">
        <v>1</v>
      </c>
      <c r="I779" s="33" t="n">
        <v>1</v>
      </c>
      <c r="J779" s="33" t="n">
        <v>1</v>
      </c>
      <c r="K779" s="32" t="n">
        <v>300</v>
      </c>
      <c r="L779" s="33" t="str">
        <f aca="false">IF($B779="","",IFERROR(INDEX('Code Mapping'!$D$5:$D$1753,MATCH($B779,'Code Mapping'!$A$5:$A$1753,0)),"Unmapped"))</f>
        <v>Unmapped</v>
      </c>
      <c r="M779" s="33" t="str">
        <f aca="false">IF($B779="","",IFERROR(INDEX('Code Mapping'!$E$5:$E$1753,MATCH($B779,'Code Mapping'!$A$5:$A$1753,0)),"Unmapped"))</f>
        <v>Unmapped</v>
      </c>
      <c r="N779" s="33" t="str">
        <f aca="false">IF($F779="","",$F779)</f>
        <v>InflataCity 2025</v>
      </c>
    </row>
    <row r="780" customFormat="false" ht="15" hidden="false" customHeight="false" outlineLevel="0" collapsed="false">
      <c r="A780" s="33" t="n">
        <v>6745</v>
      </c>
      <c r="B780" s="33" t="s">
        <v>1098</v>
      </c>
      <c r="C780" s="33" t="s">
        <v>1026</v>
      </c>
      <c r="D780" s="33"/>
      <c r="E780" s="33" t="n">
        <v>96</v>
      </c>
      <c r="F780" s="33" t="s">
        <v>2154</v>
      </c>
      <c r="G780" s="33" t="s">
        <v>445</v>
      </c>
      <c r="H780" s="33" t="n">
        <v>1</v>
      </c>
      <c r="I780" s="33" t="n">
        <v>1</v>
      </c>
      <c r="J780" s="33" t="n">
        <v>1</v>
      </c>
      <c r="K780" s="32" t="n">
        <v>75</v>
      </c>
      <c r="L780" s="33" t="str">
        <f aca="false">IF($B780="","",IFERROR(INDEX('Code Mapping'!$D$5:$D$1753,MATCH($B780,'Code Mapping'!$A$5:$A$1753,0)),"Unmapped"))</f>
        <v>Unmapped</v>
      </c>
      <c r="M780" s="33" t="str">
        <f aca="false">IF($B780="","",IFERROR(INDEX('Code Mapping'!$E$5:$E$1753,MATCH($B780,'Code Mapping'!$A$5:$A$1753,0)),"Unmapped"))</f>
        <v>Unmapped</v>
      </c>
      <c r="N780" s="33" t="str">
        <f aca="false">IF($F780="","",$F780)</f>
        <v>InflataCity 2025</v>
      </c>
    </row>
    <row r="781" customFormat="false" ht="15" hidden="false" customHeight="false" outlineLevel="0" collapsed="false">
      <c r="A781" s="33" t="n">
        <v>5869</v>
      </c>
      <c r="B781" s="33" t="s">
        <v>1099</v>
      </c>
      <c r="C781" s="33" t="s">
        <v>1028</v>
      </c>
      <c r="D781" s="33"/>
      <c r="E781" s="33" t="n">
        <v>96</v>
      </c>
      <c r="F781" s="33" t="s">
        <v>2154</v>
      </c>
      <c r="G781" s="33" t="s">
        <v>445</v>
      </c>
      <c r="H781" s="33" t="n">
        <v>1</v>
      </c>
      <c r="I781" s="33" t="n">
        <v>1</v>
      </c>
      <c r="J781" s="33" t="n">
        <v>1</v>
      </c>
      <c r="K781" s="32" t="n">
        <v>300</v>
      </c>
      <c r="L781" s="33" t="str">
        <f aca="false">IF($B781="","",IFERROR(INDEX('Code Mapping'!$D$5:$D$1753,MATCH($B781,'Code Mapping'!$A$5:$A$1753,0)),"Unmapped"))</f>
        <v>Unmapped</v>
      </c>
      <c r="M781" s="33" t="str">
        <f aca="false">IF($B781="","",IFERROR(INDEX('Code Mapping'!$E$5:$E$1753,MATCH($B781,'Code Mapping'!$A$5:$A$1753,0)),"Unmapped"))</f>
        <v>Unmapped</v>
      </c>
      <c r="N781" s="33" t="str">
        <f aca="false">IF($F781="","",$F781)</f>
        <v>InflataCity 2025</v>
      </c>
    </row>
    <row r="782" customFormat="false" ht="15" hidden="false" customHeight="false" outlineLevel="0" collapsed="false">
      <c r="A782" s="33" t="n">
        <v>5599</v>
      </c>
      <c r="B782" s="33" t="s">
        <v>1124</v>
      </c>
      <c r="C782" s="33" t="s">
        <v>1028</v>
      </c>
      <c r="D782" s="33"/>
      <c r="E782" s="33" t="n">
        <v>96</v>
      </c>
      <c r="F782" s="33" t="s">
        <v>2154</v>
      </c>
      <c r="G782" s="33" t="s">
        <v>445</v>
      </c>
      <c r="H782" s="33" t="n">
        <v>1</v>
      </c>
      <c r="I782" s="33" t="n">
        <v>1</v>
      </c>
      <c r="J782" s="33" t="n">
        <v>1</v>
      </c>
      <c r="K782" s="32" t="n">
        <v>300</v>
      </c>
      <c r="L782" s="33" t="str">
        <f aca="false">IF($B782="","",IFERROR(INDEX('Code Mapping'!$D$5:$D$1753,MATCH($B782,'Code Mapping'!$A$5:$A$1753,0)),"Unmapped"))</f>
        <v>Unmapped</v>
      </c>
      <c r="M782" s="33" t="str">
        <f aca="false">IF($B782="","",IFERROR(INDEX('Code Mapping'!$E$5:$E$1753,MATCH($B782,'Code Mapping'!$A$5:$A$1753,0)),"Unmapped"))</f>
        <v>Unmapped</v>
      </c>
      <c r="N782" s="33" t="str">
        <f aca="false">IF($F782="","",$F782)</f>
        <v>InflataCity 2025</v>
      </c>
    </row>
    <row r="783" customFormat="false" ht="15" hidden="false" customHeight="false" outlineLevel="0" collapsed="false">
      <c r="A783" s="33" t="n">
        <v>6216</v>
      </c>
      <c r="B783" s="33" t="s">
        <v>1123</v>
      </c>
      <c r="C783" s="33" t="s">
        <v>1032</v>
      </c>
      <c r="D783" s="33"/>
      <c r="E783" s="33" t="n">
        <v>96</v>
      </c>
      <c r="F783" s="33" t="s">
        <v>2154</v>
      </c>
      <c r="G783" s="33" t="s">
        <v>445</v>
      </c>
      <c r="H783" s="33" t="n">
        <v>1</v>
      </c>
      <c r="I783" s="33" t="n">
        <v>1</v>
      </c>
      <c r="J783" s="33" t="n">
        <v>1</v>
      </c>
      <c r="K783" s="32" t="n">
        <v>350</v>
      </c>
      <c r="L783" s="33" t="str">
        <f aca="false">IF($B783="","",IFERROR(INDEX('Code Mapping'!$D$5:$D$1753,MATCH($B783,'Code Mapping'!$A$5:$A$1753,0)),"Unmapped"))</f>
        <v>Unmapped</v>
      </c>
      <c r="M783" s="33" t="str">
        <f aca="false">IF($B783="","",IFERROR(INDEX('Code Mapping'!$E$5:$E$1753,MATCH($B783,'Code Mapping'!$A$5:$A$1753,0)),"Unmapped"))</f>
        <v>Unmapped</v>
      </c>
      <c r="N783" s="33" t="str">
        <f aca="false">IF($F783="","",$F783)</f>
        <v>InflataCity 2025</v>
      </c>
    </row>
    <row r="784" customFormat="false" ht="15" hidden="false" customHeight="false" outlineLevel="0" collapsed="false">
      <c r="A784" s="33" t="n">
        <v>6257</v>
      </c>
      <c r="B784" s="33" t="s">
        <v>1122</v>
      </c>
      <c r="C784" s="33" t="s">
        <v>1032</v>
      </c>
      <c r="D784" s="33"/>
      <c r="E784" s="33" t="n">
        <v>96</v>
      </c>
      <c r="F784" s="33" t="s">
        <v>2154</v>
      </c>
      <c r="G784" s="33" t="s">
        <v>445</v>
      </c>
      <c r="H784" s="33" t="n">
        <v>1</v>
      </c>
      <c r="I784" s="33" t="n">
        <v>1</v>
      </c>
      <c r="J784" s="33" t="n">
        <v>1</v>
      </c>
      <c r="K784" s="32" t="n">
        <v>350</v>
      </c>
      <c r="L784" s="33" t="str">
        <f aca="false">IF($B784="","",IFERROR(INDEX('Code Mapping'!$D$5:$D$1753,MATCH($B784,'Code Mapping'!$A$5:$A$1753,0)),"Unmapped"))</f>
        <v>Unmapped</v>
      </c>
      <c r="M784" s="33" t="str">
        <f aca="false">IF($B784="","",IFERROR(INDEX('Code Mapping'!$E$5:$E$1753,MATCH($B784,'Code Mapping'!$A$5:$A$1753,0)),"Unmapped"))</f>
        <v>Unmapped</v>
      </c>
      <c r="N784" s="33" t="str">
        <f aca="false">IF($F784="","",$F784)</f>
        <v>InflataCity 2025</v>
      </c>
    </row>
    <row r="785" customFormat="false" ht="15" hidden="false" customHeight="false" outlineLevel="0" collapsed="false">
      <c r="A785" s="33" t="n">
        <v>6302</v>
      </c>
      <c r="B785" s="33" t="s">
        <v>1121</v>
      </c>
      <c r="C785" s="33" t="s">
        <v>1026</v>
      </c>
      <c r="D785" s="33"/>
      <c r="E785" s="33" t="n">
        <v>96</v>
      </c>
      <c r="F785" s="33" t="s">
        <v>2154</v>
      </c>
      <c r="G785" s="33" t="s">
        <v>445</v>
      </c>
      <c r="H785" s="33" t="n">
        <v>1</v>
      </c>
      <c r="I785" s="33" t="n">
        <v>1</v>
      </c>
      <c r="J785" s="33" t="n">
        <v>1</v>
      </c>
      <c r="K785" s="32" t="n">
        <v>75</v>
      </c>
      <c r="L785" s="33" t="str">
        <f aca="false">IF($B785="","",IFERROR(INDEX('Code Mapping'!$D$5:$D$1753,MATCH($B785,'Code Mapping'!$A$5:$A$1753,0)),"Unmapped"))</f>
        <v>Unmapped</v>
      </c>
      <c r="M785" s="33" t="str">
        <f aca="false">IF($B785="","",IFERROR(INDEX('Code Mapping'!$E$5:$E$1753,MATCH($B785,'Code Mapping'!$A$5:$A$1753,0)),"Unmapped"))</f>
        <v>Unmapped</v>
      </c>
      <c r="N785" s="33" t="str">
        <f aca="false">IF($F785="","",$F785)</f>
        <v>InflataCity 2025</v>
      </c>
    </row>
    <row r="786" customFormat="false" ht="15" hidden="false" customHeight="false" outlineLevel="0" collapsed="false">
      <c r="A786" s="33" t="n">
        <v>6304</v>
      </c>
      <c r="B786" s="33" t="s">
        <v>1120</v>
      </c>
      <c r="C786" s="33" t="s">
        <v>1026</v>
      </c>
      <c r="D786" s="33"/>
      <c r="E786" s="33" t="n">
        <v>96</v>
      </c>
      <c r="F786" s="33" t="s">
        <v>2154</v>
      </c>
      <c r="G786" s="33" t="s">
        <v>445</v>
      </c>
      <c r="H786" s="33" t="n">
        <v>1</v>
      </c>
      <c r="I786" s="33" t="n">
        <v>1</v>
      </c>
      <c r="J786" s="33" t="n">
        <v>1</v>
      </c>
      <c r="K786" s="32" t="n">
        <v>75</v>
      </c>
      <c r="L786" s="33" t="str">
        <f aca="false">IF($B786="","",IFERROR(INDEX('Code Mapping'!$D$5:$D$1753,MATCH($B786,'Code Mapping'!$A$5:$A$1753,0)),"Unmapped"))</f>
        <v>Unmapped</v>
      </c>
      <c r="M786" s="33" t="str">
        <f aca="false">IF($B786="","",IFERROR(INDEX('Code Mapping'!$E$5:$E$1753,MATCH($B786,'Code Mapping'!$A$5:$A$1753,0)),"Unmapped"))</f>
        <v>Unmapped</v>
      </c>
      <c r="N786" s="33" t="str">
        <f aca="false">IF($F786="","",$F786)</f>
        <v>InflataCity 2025</v>
      </c>
    </row>
    <row r="787" customFormat="false" ht="15" hidden="false" customHeight="false" outlineLevel="0" collapsed="false">
      <c r="A787" s="33" t="n">
        <v>5884</v>
      </c>
      <c r="B787" s="33" t="s">
        <v>1119</v>
      </c>
      <c r="C787" s="33" t="s">
        <v>1028</v>
      </c>
      <c r="D787" s="33"/>
      <c r="E787" s="33" t="n">
        <v>96</v>
      </c>
      <c r="F787" s="33" t="s">
        <v>2154</v>
      </c>
      <c r="G787" s="33" t="s">
        <v>445</v>
      </c>
      <c r="H787" s="33" t="n">
        <v>1</v>
      </c>
      <c r="I787" s="33" t="n">
        <v>1</v>
      </c>
      <c r="J787" s="33" t="n">
        <v>1</v>
      </c>
      <c r="K787" s="32" t="n">
        <v>300</v>
      </c>
      <c r="L787" s="33" t="str">
        <f aca="false">IF($B787="","",IFERROR(INDEX('Code Mapping'!$D$5:$D$1753,MATCH($B787,'Code Mapping'!$A$5:$A$1753,0)),"Unmapped"))</f>
        <v>Unmapped</v>
      </c>
      <c r="M787" s="33" t="str">
        <f aca="false">IF($B787="","",IFERROR(INDEX('Code Mapping'!$E$5:$E$1753,MATCH($B787,'Code Mapping'!$A$5:$A$1753,0)),"Unmapped"))</f>
        <v>Unmapped</v>
      </c>
      <c r="N787" s="33" t="str">
        <f aca="false">IF($F787="","",$F787)</f>
        <v>InflataCity 2025</v>
      </c>
    </row>
    <row r="788" customFormat="false" ht="15" hidden="false" customHeight="false" outlineLevel="0" collapsed="false">
      <c r="A788" s="33" t="n">
        <v>6696</v>
      </c>
      <c r="B788" s="33" t="s">
        <v>1118</v>
      </c>
      <c r="C788" s="33" t="s">
        <v>1026</v>
      </c>
      <c r="D788" s="33"/>
      <c r="E788" s="33" t="n">
        <v>96</v>
      </c>
      <c r="F788" s="33" t="s">
        <v>2154</v>
      </c>
      <c r="G788" s="33" t="s">
        <v>445</v>
      </c>
      <c r="H788" s="33" t="n">
        <v>1</v>
      </c>
      <c r="I788" s="33" t="n">
        <v>1</v>
      </c>
      <c r="J788" s="33" t="n">
        <v>1</v>
      </c>
      <c r="K788" s="32" t="n">
        <v>75</v>
      </c>
      <c r="L788" s="33" t="str">
        <f aca="false">IF($B788="","",IFERROR(INDEX('Code Mapping'!$D$5:$D$1753,MATCH($B788,'Code Mapping'!$A$5:$A$1753,0)),"Unmapped"))</f>
        <v>Unmapped</v>
      </c>
      <c r="M788" s="33" t="str">
        <f aca="false">IF($B788="","",IFERROR(INDEX('Code Mapping'!$E$5:$E$1753,MATCH($B788,'Code Mapping'!$A$5:$A$1753,0)),"Unmapped"))</f>
        <v>Unmapped</v>
      </c>
      <c r="N788" s="33" t="str">
        <f aca="false">IF($F788="","",$F788)</f>
        <v>InflataCity 2025</v>
      </c>
    </row>
    <row r="789" customFormat="false" ht="15" hidden="false" customHeight="false" outlineLevel="0" collapsed="false">
      <c r="A789" s="33" t="n">
        <v>6700</v>
      </c>
      <c r="B789" s="33" t="s">
        <v>1117</v>
      </c>
      <c r="C789" s="33" t="s">
        <v>1026</v>
      </c>
      <c r="D789" s="33"/>
      <c r="E789" s="33" t="n">
        <v>96</v>
      </c>
      <c r="F789" s="33" t="s">
        <v>2154</v>
      </c>
      <c r="G789" s="33" t="s">
        <v>445</v>
      </c>
      <c r="H789" s="33" t="n">
        <v>1</v>
      </c>
      <c r="I789" s="33" t="n">
        <v>1</v>
      </c>
      <c r="J789" s="33" t="n">
        <v>1</v>
      </c>
      <c r="K789" s="32" t="n">
        <v>75</v>
      </c>
      <c r="L789" s="33" t="str">
        <f aca="false">IF($B789="","",IFERROR(INDEX('Code Mapping'!$D$5:$D$1753,MATCH($B789,'Code Mapping'!$A$5:$A$1753,0)),"Unmapped"))</f>
        <v>Unmapped</v>
      </c>
      <c r="M789" s="33" t="str">
        <f aca="false">IF($B789="","",IFERROR(INDEX('Code Mapping'!$E$5:$E$1753,MATCH($B789,'Code Mapping'!$A$5:$A$1753,0)),"Unmapped"))</f>
        <v>Unmapped</v>
      </c>
      <c r="N789" s="33" t="str">
        <f aca="false">IF($F789="","",$F789)</f>
        <v>InflataCity 2025</v>
      </c>
    </row>
    <row r="790" customFormat="false" ht="15" hidden="false" customHeight="false" outlineLevel="0" collapsed="false">
      <c r="A790" s="33" t="n">
        <v>6478</v>
      </c>
      <c r="B790" s="33" t="s">
        <v>1116</v>
      </c>
      <c r="C790" s="33" t="s">
        <v>1026</v>
      </c>
      <c r="D790" s="33"/>
      <c r="E790" s="33" t="n">
        <v>96</v>
      </c>
      <c r="F790" s="33" t="s">
        <v>2154</v>
      </c>
      <c r="G790" s="33" t="s">
        <v>445</v>
      </c>
      <c r="H790" s="33" t="n">
        <v>1</v>
      </c>
      <c r="I790" s="33" t="n">
        <v>1</v>
      </c>
      <c r="J790" s="33" t="n">
        <v>1</v>
      </c>
      <c r="K790" s="32" t="n">
        <v>75</v>
      </c>
      <c r="L790" s="33" t="str">
        <f aca="false">IF($B790="","",IFERROR(INDEX('Code Mapping'!$D$5:$D$1753,MATCH($B790,'Code Mapping'!$A$5:$A$1753,0)),"Unmapped"))</f>
        <v>Unmapped</v>
      </c>
      <c r="M790" s="33" t="str">
        <f aca="false">IF($B790="","",IFERROR(INDEX('Code Mapping'!$E$5:$E$1753,MATCH($B790,'Code Mapping'!$A$5:$A$1753,0)),"Unmapped"))</f>
        <v>Unmapped</v>
      </c>
      <c r="N790" s="33" t="str">
        <f aca="false">IF($F790="","",$F790)</f>
        <v>InflataCity 2025</v>
      </c>
    </row>
    <row r="791" customFormat="false" ht="15" hidden="false" customHeight="false" outlineLevel="0" collapsed="false">
      <c r="A791" s="33" t="n">
        <v>6142</v>
      </c>
      <c r="B791" s="33" t="s">
        <v>1115</v>
      </c>
      <c r="C791" s="33" t="s">
        <v>1032</v>
      </c>
      <c r="D791" s="33"/>
      <c r="E791" s="33" t="n">
        <v>96</v>
      </c>
      <c r="F791" s="33" t="s">
        <v>2154</v>
      </c>
      <c r="G791" s="33" t="s">
        <v>445</v>
      </c>
      <c r="H791" s="33" t="n">
        <v>1</v>
      </c>
      <c r="I791" s="33" t="n">
        <v>1</v>
      </c>
      <c r="J791" s="33" t="n">
        <v>1</v>
      </c>
      <c r="K791" s="32" t="n">
        <v>350</v>
      </c>
      <c r="L791" s="33" t="str">
        <f aca="false">IF($B791="","",IFERROR(INDEX('Code Mapping'!$D$5:$D$1753,MATCH($B791,'Code Mapping'!$A$5:$A$1753,0)),"Unmapped"))</f>
        <v>Unmapped</v>
      </c>
      <c r="M791" s="33" t="str">
        <f aca="false">IF($B791="","",IFERROR(INDEX('Code Mapping'!$E$5:$E$1753,MATCH($B791,'Code Mapping'!$A$5:$A$1753,0)),"Unmapped"))</f>
        <v>Unmapped</v>
      </c>
      <c r="N791" s="33" t="str">
        <f aca="false">IF($F791="","",$F791)</f>
        <v>InflataCity 2025</v>
      </c>
    </row>
    <row r="792" customFormat="false" ht="15" hidden="false" customHeight="false" outlineLevel="0" collapsed="false">
      <c r="A792" s="33" t="n">
        <v>6414</v>
      </c>
      <c r="B792" s="33" t="s">
        <v>1114</v>
      </c>
      <c r="C792" s="33" t="s">
        <v>1026</v>
      </c>
      <c r="D792" s="33"/>
      <c r="E792" s="33" t="n">
        <v>96</v>
      </c>
      <c r="F792" s="33" t="s">
        <v>2154</v>
      </c>
      <c r="G792" s="33" t="s">
        <v>445</v>
      </c>
      <c r="H792" s="33" t="n">
        <v>1</v>
      </c>
      <c r="I792" s="33" t="n">
        <v>1</v>
      </c>
      <c r="J792" s="33" t="n">
        <v>1</v>
      </c>
      <c r="K792" s="32" t="n">
        <v>75</v>
      </c>
      <c r="L792" s="33" t="str">
        <f aca="false">IF($B792="","",IFERROR(INDEX('Code Mapping'!$D$5:$D$1753,MATCH($B792,'Code Mapping'!$A$5:$A$1753,0)),"Unmapped"))</f>
        <v>Unmapped</v>
      </c>
      <c r="M792" s="33" t="str">
        <f aca="false">IF($B792="","",IFERROR(INDEX('Code Mapping'!$E$5:$E$1753,MATCH($B792,'Code Mapping'!$A$5:$A$1753,0)),"Unmapped"))</f>
        <v>Unmapped</v>
      </c>
      <c r="N792" s="33" t="str">
        <f aca="false">IF($F792="","",$F792)</f>
        <v>InflataCity 2025</v>
      </c>
    </row>
    <row r="793" customFormat="false" ht="15" hidden="false" customHeight="false" outlineLevel="0" collapsed="false">
      <c r="A793" s="33" t="n">
        <v>6360</v>
      </c>
      <c r="B793" s="33" t="s">
        <v>1113</v>
      </c>
      <c r="C793" s="33" t="s">
        <v>1026</v>
      </c>
      <c r="D793" s="33"/>
      <c r="E793" s="33" t="n">
        <v>96</v>
      </c>
      <c r="F793" s="33" t="s">
        <v>2154</v>
      </c>
      <c r="G793" s="33" t="s">
        <v>445</v>
      </c>
      <c r="H793" s="33" t="n">
        <v>1</v>
      </c>
      <c r="I793" s="33" t="n">
        <v>1</v>
      </c>
      <c r="J793" s="33" t="n">
        <v>1</v>
      </c>
      <c r="K793" s="32" t="n">
        <v>75</v>
      </c>
      <c r="L793" s="33" t="str">
        <f aca="false">IF($B793="","",IFERROR(INDEX('Code Mapping'!$D$5:$D$1753,MATCH($B793,'Code Mapping'!$A$5:$A$1753,0)),"Unmapped"))</f>
        <v>Unmapped</v>
      </c>
      <c r="M793" s="33" t="str">
        <f aca="false">IF($B793="","",IFERROR(INDEX('Code Mapping'!$E$5:$E$1753,MATCH($B793,'Code Mapping'!$A$5:$A$1753,0)),"Unmapped"))</f>
        <v>Unmapped</v>
      </c>
      <c r="N793" s="33" t="str">
        <f aca="false">IF($F793="","",$F793)</f>
        <v>InflataCity 2025</v>
      </c>
    </row>
    <row r="794" customFormat="false" ht="15" hidden="false" customHeight="false" outlineLevel="0" collapsed="false">
      <c r="A794" s="33" t="n">
        <v>6162</v>
      </c>
      <c r="B794" s="33" t="s">
        <v>1112</v>
      </c>
      <c r="C794" s="33" t="s">
        <v>1032</v>
      </c>
      <c r="D794" s="33"/>
      <c r="E794" s="33" t="n">
        <v>96</v>
      </c>
      <c r="F794" s="33" t="s">
        <v>2154</v>
      </c>
      <c r="G794" s="33" t="s">
        <v>445</v>
      </c>
      <c r="H794" s="33" t="n">
        <v>1</v>
      </c>
      <c r="I794" s="33" t="n">
        <v>1</v>
      </c>
      <c r="J794" s="33" t="n">
        <v>1</v>
      </c>
      <c r="K794" s="32" t="n">
        <v>350</v>
      </c>
      <c r="L794" s="33" t="str">
        <f aca="false">IF($B794="","",IFERROR(INDEX('Code Mapping'!$D$5:$D$1753,MATCH($B794,'Code Mapping'!$A$5:$A$1753,0)),"Unmapped"))</f>
        <v>Unmapped</v>
      </c>
      <c r="M794" s="33" t="str">
        <f aca="false">IF($B794="","",IFERROR(INDEX('Code Mapping'!$E$5:$E$1753,MATCH($B794,'Code Mapping'!$A$5:$A$1753,0)),"Unmapped"))</f>
        <v>Unmapped</v>
      </c>
      <c r="N794" s="33" t="str">
        <f aca="false">IF($F794="","",$F794)</f>
        <v>InflataCity 2025</v>
      </c>
    </row>
    <row r="795" customFormat="false" ht="15" hidden="false" customHeight="false" outlineLevel="0" collapsed="false">
      <c r="A795" s="33" t="n">
        <v>6226</v>
      </c>
      <c r="B795" s="33" t="s">
        <v>1111</v>
      </c>
      <c r="C795" s="33" t="s">
        <v>1032</v>
      </c>
      <c r="D795" s="33"/>
      <c r="E795" s="33" t="n">
        <v>96</v>
      </c>
      <c r="F795" s="33" t="s">
        <v>2154</v>
      </c>
      <c r="G795" s="33" t="s">
        <v>445</v>
      </c>
      <c r="H795" s="33" t="n">
        <v>1</v>
      </c>
      <c r="I795" s="33" t="n">
        <v>1</v>
      </c>
      <c r="J795" s="33" t="n">
        <v>1</v>
      </c>
      <c r="K795" s="32" t="n">
        <v>350</v>
      </c>
      <c r="L795" s="33" t="str">
        <f aca="false">IF($B795="","",IFERROR(INDEX('Code Mapping'!$D$5:$D$1753,MATCH($B795,'Code Mapping'!$A$5:$A$1753,0)),"Unmapped"))</f>
        <v>Unmapped</v>
      </c>
      <c r="M795" s="33" t="str">
        <f aca="false">IF($B795="","",IFERROR(INDEX('Code Mapping'!$E$5:$E$1753,MATCH($B795,'Code Mapping'!$A$5:$A$1753,0)),"Unmapped"))</f>
        <v>Unmapped</v>
      </c>
      <c r="N795" s="33" t="str">
        <f aca="false">IF($F795="","",$F795)</f>
        <v>InflataCity 2025</v>
      </c>
    </row>
    <row r="796" customFormat="false" ht="15" hidden="false" customHeight="false" outlineLevel="0" collapsed="false">
      <c r="A796" s="33" t="n">
        <v>6496</v>
      </c>
      <c r="B796" s="33" t="s">
        <v>1110</v>
      </c>
      <c r="C796" s="33" t="s">
        <v>1026</v>
      </c>
      <c r="D796" s="33"/>
      <c r="E796" s="33" t="n">
        <v>96</v>
      </c>
      <c r="F796" s="33" t="s">
        <v>2154</v>
      </c>
      <c r="G796" s="33" t="s">
        <v>445</v>
      </c>
      <c r="H796" s="33" t="n">
        <v>1</v>
      </c>
      <c r="I796" s="33" t="n">
        <v>1</v>
      </c>
      <c r="J796" s="33" t="n">
        <v>1</v>
      </c>
      <c r="K796" s="32" t="n">
        <v>75</v>
      </c>
      <c r="L796" s="33" t="str">
        <f aca="false">IF($B796="","",IFERROR(INDEX('Code Mapping'!$D$5:$D$1753,MATCH($B796,'Code Mapping'!$A$5:$A$1753,0)),"Unmapped"))</f>
        <v>Unmapped</v>
      </c>
      <c r="M796" s="33" t="str">
        <f aca="false">IF($B796="","",IFERROR(INDEX('Code Mapping'!$E$5:$E$1753,MATCH($B796,'Code Mapping'!$A$5:$A$1753,0)),"Unmapped"))</f>
        <v>Unmapped</v>
      </c>
      <c r="N796" s="33" t="str">
        <f aca="false">IF($F796="","",$F796)</f>
        <v>InflataCity 2025</v>
      </c>
    </row>
    <row r="797" customFormat="false" ht="15" hidden="false" customHeight="false" outlineLevel="0" collapsed="false">
      <c r="A797" s="33" t="n">
        <v>6467</v>
      </c>
      <c r="B797" s="33" t="s">
        <v>1109</v>
      </c>
      <c r="C797" s="33" t="s">
        <v>1026</v>
      </c>
      <c r="D797" s="33"/>
      <c r="E797" s="33" t="n">
        <v>96</v>
      </c>
      <c r="F797" s="33" t="s">
        <v>2154</v>
      </c>
      <c r="G797" s="33" t="s">
        <v>445</v>
      </c>
      <c r="H797" s="33" t="n">
        <v>1</v>
      </c>
      <c r="I797" s="33" t="n">
        <v>1</v>
      </c>
      <c r="J797" s="33" t="n">
        <v>1</v>
      </c>
      <c r="K797" s="32" t="n">
        <v>75</v>
      </c>
      <c r="L797" s="33" t="str">
        <f aca="false">IF($B797="","",IFERROR(INDEX('Code Mapping'!$D$5:$D$1753,MATCH($B797,'Code Mapping'!$A$5:$A$1753,0)),"Unmapped"))</f>
        <v>Unmapped</v>
      </c>
      <c r="M797" s="33" t="str">
        <f aca="false">IF($B797="","",IFERROR(INDEX('Code Mapping'!$E$5:$E$1753,MATCH($B797,'Code Mapping'!$A$5:$A$1753,0)),"Unmapped"))</f>
        <v>Unmapped</v>
      </c>
      <c r="N797" s="33" t="str">
        <f aca="false">IF($F797="","",$F797)</f>
        <v>InflataCity 2025</v>
      </c>
    </row>
    <row r="798" customFormat="false" ht="15" hidden="false" customHeight="false" outlineLevel="0" collapsed="false">
      <c r="A798" s="33" t="n">
        <v>5745</v>
      </c>
      <c r="B798" s="33" t="s">
        <v>1108</v>
      </c>
      <c r="C798" s="33" t="s">
        <v>1028</v>
      </c>
      <c r="D798" s="33"/>
      <c r="E798" s="33" t="n">
        <v>96</v>
      </c>
      <c r="F798" s="33" t="s">
        <v>2154</v>
      </c>
      <c r="G798" s="33" t="s">
        <v>445</v>
      </c>
      <c r="H798" s="33" t="n">
        <v>1</v>
      </c>
      <c r="I798" s="33" t="n">
        <v>1</v>
      </c>
      <c r="J798" s="33" t="n">
        <v>1</v>
      </c>
      <c r="K798" s="32" t="n">
        <v>300</v>
      </c>
      <c r="L798" s="33" t="str">
        <f aca="false">IF($B798="","",IFERROR(INDEX('Code Mapping'!$D$5:$D$1753,MATCH($B798,'Code Mapping'!$A$5:$A$1753,0)),"Unmapped"))</f>
        <v>Unmapped</v>
      </c>
      <c r="M798" s="33" t="str">
        <f aca="false">IF($B798="","",IFERROR(INDEX('Code Mapping'!$E$5:$E$1753,MATCH($B798,'Code Mapping'!$A$5:$A$1753,0)),"Unmapped"))</f>
        <v>Unmapped</v>
      </c>
      <c r="N798" s="33" t="str">
        <f aca="false">IF($F798="","",$F798)</f>
        <v>InflataCity 2025</v>
      </c>
    </row>
    <row r="799" customFormat="false" ht="15" hidden="false" customHeight="false" outlineLevel="0" collapsed="false">
      <c r="A799" s="33" t="n">
        <v>5772</v>
      </c>
      <c r="B799" s="33" t="s">
        <v>1107</v>
      </c>
      <c r="C799" s="33" t="s">
        <v>1028</v>
      </c>
      <c r="D799" s="33"/>
      <c r="E799" s="33" t="n">
        <v>96</v>
      </c>
      <c r="F799" s="33" t="s">
        <v>2154</v>
      </c>
      <c r="G799" s="33" t="s">
        <v>445</v>
      </c>
      <c r="H799" s="33" t="n">
        <v>1</v>
      </c>
      <c r="I799" s="33" t="n">
        <v>1</v>
      </c>
      <c r="J799" s="33" t="n">
        <v>1</v>
      </c>
      <c r="K799" s="32" t="n">
        <v>300</v>
      </c>
      <c r="L799" s="33" t="str">
        <f aca="false">IF($B799="","",IFERROR(INDEX('Code Mapping'!$D$5:$D$1753,MATCH($B799,'Code Mapping'!$A$5:$A$1753,0)),"Unmapped"))</f>
        <v>Unmapped</v>
      </c>
      <c r="M799" s="33" t="str">
        <f aca="false">IF($B799="","",IFERROR(INDEX('Code Mapping'!$E$5:$E$1753,MATCH($B799,'Code Mapping'!$A$5:$A$1753,0)),"Unmapped"))</f>
        <v>Unmapped</v>
      </c>
      <c r="N799" s="33" t="str">
        <f aca="false">IF($F799="","",$F799)</f>
        <v>InflataCity 2025</v>
      </c>
    </row>
    <row r="800" customFormat="false" ht="15" hidden="false" customHeight="false" outlineLevel="0" collapsed="false">
      <c r="A800" s="33" t="n">
        <v>6157</v>
      </c>
      <c r="B800" s="33" t="s">
        <v>1106</v>
      </c>
      <c r="C800" s="33" t="s">
        <v>1032</v>
      </c>
      <c r="D800" s="33"/>
      <c r="E800" s="33" t="n">
        <v>96</v>
      </c>
      <c r="F800" s="33" t="s">
        <v>2154</v>
      </c>
      <c r="G800" s="33" t="s">
        <v>445</v>
      </c>
      <c r="H800" s="33" t="n">
        <v>1</v>
      </c>
      <c r="I800" s="33" t="n">
        <v>1</v>
      </c>
      <c r="J800" s="33" t="n">
        <v>1</v>
      </c>
      <c r="K800" s="32" t="n">
        <v>350</v>
      </c>
      <c r="L800" s="33" t="str">
        <f aca="false">IF($B800="","",IFERROR(INDEX('Code Mapping'!$D$5:$D$1753,MATCH($B800,'Code Mapping'!$A$5:$A$1753,0)),"Unmapped"))</f>
        <v>Unmapped</v>
      </c>
      <c r="M800" s="33" t="str">
        <f aca="false">IF($B800="","",IFERROR(INDEX('Code Mapping'!$E$5:$E$1753,MATCH($B800,'Code Mapping'!$A$5:$A$1753,0)),"Unmapped"))</f>
        <v>Unmapped</v>
      </c>
      <c r="N800" s="33" t="str">
        <f aca="false">IF($F800="","",$F800)</f>
        <v>InflataCity 2025</v>
      </c>
    </row>
    <row r="801" customFormat="false" ht="15" hidden="false" customHeight="false" outlineLevel="0" collapsed="false">
      <c r="A801" s="33" t="n">
        <v>6207</v>
      </c>
      <c r="B801" s="33" t="s">
        <v>1105</v>
      </c>
      <c r="C801" s="33" t="s">
        <v>1032</v>
      </c>
      <c r="D801" s="33"/>
      <c r="E801" s="33" t="n">
        <v>96</v>
      </c>
      <c r="F801" s="33" t="s">
        <v>2154</v>
      </c>
      <c r="G801" s="33" t="s">
        <v>445</v>
      </c>
      <c r="H801" s="33" t="n">
        <v>1</v>
      </c>
      <c r="I801" s="33" t="n">
        <v>1</v>
      </c>
      <c r="J801" s="33" t="n">
        <v>1</v>
      </c>
      <c r="K801" s="32" t="n">
        <v>350</v>
      </c>
      <c r="L801" s="33" t="str">
        <f aca="false">IF($B801="","",IFERROR(INDEX('Code Mapping'!$D$5:$D$1753,MATCH($B801,'Code Mapping'!$A$5:$A$1753,0)),"Unmapped"))</f>
        <v>Unmapped</v>
      </c>
      <c r="M801" s="33" t="str">
        <f aca="false">IF($B801="","",IFERROR(INDEX('Code Mapping'!$E$5:$E$1753,MATCH($B801,'Code Mapping'!$A$5:$A$1753,0)),"Unmapped"))</f>
        <v>Unmapped</v>
      </c>
      <c r="N801" s="33" t="str">
        <f aca="false">IF($F801="","",$F801)</f>
        <v>InflataCity 2025</v>
      </c>
    </row>
    <row r="802" customFormat="false" ht="15" hidden="false" customHeight="false" outlineLevel="0" collapsed="false">
      <c r="A802" s="33" t="n">
        <v>6149</v>
      </c>
      <c r="B802" s="33" t="s">
        <v>1104</v>
      </c>
      <c r="C802" s="33" t="s">
        <v>1032</v>
      </c>
      <c r="D802" s="33"/>
      <c r="E802" s="33" t="n">
        <v>96</v>
      </c>
      <c r="F802" s="33" t="s">
        <v>2154</v>
      </c>
      <c r="G802" s="33" t="s">
        <v>445</v>
      </c>
      <c r="H802" s="33" t="n">
        <v>1</v>
      </c>
      <c r="I802" s="33" t="n">
        <v>1</v>
      </c>
      <c r="J802" s="33" t="n">
        <v>1</v>
      </c>
      <c r="K802" s="32" t="n">
        <v>350</v>
      </c>
      <c r="L802" s="33" t="str">
        <f aca="false">IF($B802="","",IFERROR(INDEX('Code Mapping'!$D$5:$D$1753,MATCH($B802,'Code Mapping'!$A$5:$A$1753,0)),"Unmapped"))</f>
        <v>Unmapped</v>
      </c>
      <c r="M802" s="33" t="str">
        <f aca="false">IF($B802="","",IFERROR(INDEX('Code Mapping'!$E$5:$E$1753,MATCH($B802,'Code Mapping'!$A$5:$A$1753,0)),"Unmapped"))</f>
        <v>Unmapped</v>
      </c>
      <c r="N802" s="33" t="str">
        <f aca="false">IF($F802="","",$F802)</f>
        <v>InflataCity 2025</v>
      </c>
    </row>
    <row r="803" customFormat="false" ht="15" hidden="false" customHeight="false" outlineLevel="0" collapsed="false">
      <c r="A803" s="33" t="n">
        <v>6163</v>
      </c>
      <c r="B803" s="33" t="s">
        <v>1103</v>
      </c>
      <c r="C803" s="33" t="s">
        <v>1032</v>
      </c>
      <c r="D803" s="33"/>
      <c r="E803" s="33" t="n">
        <v>96</v>
      </c>
      <c r="F803" s="33" t="s">
        <v>2154</v>
      </c>
      <c r="G803" s="33" t="s">
        <v>445</v>
      </c>
      <c r="H803" s="33" t="n">
        <v>1</v>
      </c>
      <c r="I803" s="33" t="n">
        <v>1</v>
      </c>
      <c r="J803" s="33" t="n">
        <v>1</v>
      </c>
      <c r="K803" s="32" t="n">
        <v>350</v>
      </c>
      <c r="L803" s="33" t="str">
        <f aca="false">IF($B803="","",IFERROR(INDEX('Code Mapping'!$D$5:$D$1753,MATCH($B803,'Code Mapping'!$A$5:$A$1753,0)),"Unmapped"))</f>
        <v>Unmapped</v>
      </c>
      <c r="M803" s="33" t="str">
        <f aca="false">IF($B803="","",IFERROR(INDEX('Code Mapping'!$E$5:$E$1753,MATCH($B803,'Code Mapping'!$A$5:$A$1753,0)),"Unmapped"))</f>
        <v>Unmapped</v>
      </c>
      <c r="N803" s="33" t="str">
        <f aca="false">IF($F803="","",$F803)</f>
        <v>InflataCity 2025</v>
      </c>
    </row>
    <row r="804" customFormat="false" ht="15" hidden="false" customHeight="false" outlineLevel="0" collapsed="false">
      <c r="A804" s="33" t="n">
        <v>6351</v>
      </c>
      <c r="B804" s="33" t="s">
        <v>1102</v>
      </c>
      <c r="C804" s="33" t="s">
        <v>1026</v>
      </c>
      <c r="D804" s="33"/>
      <c r="E804" s="33" t="n">
        <v>96</v>
      </c>
      <c r="F804" s="33" t="s">
        <v>2154</v>
      </c>
      <c r="G804" s="33" t="s">
        <v>445</v>
      </c>
      <c r="H804" s="33" t="n">
        <v>1</v>
      </c>
      <c r="I804" s="33" t="n">
        <v>1</v>
      </c>
      <c r="J804" s="33" t="n">
        <v>1</v>
      </c>
      <c r="K804" s="32" t="n">
        <v>75</v>
      </c>
      <c r="L804" s="33" t="str">
        <f aca="false">IF($B804="","",IFERROR(INDEX('Code Mapping'!$D$5:$D$1753,MATCH($B804,'Code Mapping'!$A$5:$A$1753,0)),"Unmapped"))</f>
        <v>Unmapped</v>
      </c>
      <c r="M804" s="33" t="str">
        <f aca="false">IF($B804="","",IFERROR(INDEX('Code Mapping'!$E$5:$E$1753,MATCH($B804,'Code Mapping'!$A$5:$A$1753,0)),"Unmapped"))</f>
        <v>Unmapped</v>
      </c>
      <c r="N804" s="33" t="str">
        <f aca="false">IF($F804="","",$F804)</f>
        <v>InflataCity 2025</v>
      </c>
    </row>
    <row r="805" customFormat="false" ht="15" hidden="false" customHeight="false" outlineLevel="0" collapsed="false">
      <c r="A805" s="33" t="n">
        <v>5573</v>
      </c>
      <c r="B805" s="33" t="s">
        <v>1101</v>
      </c>
      <c r="C805" s="33" t="s">
        <v>1028</v>
      </c>
      <c r="D805" s="33"/>
      <c r="E805" s="33" t="n">
        <v>96</v>
      </c>
      <c r="F805" s="33" t="s">
        <v>2154</v>
      </c>
      <c r="G805" s="33" t="s">
        <v>445</v>
      </c>
      <c r="H805" s="33" t="n">
        <v>1</v>
      </c>
      <c r="I805" s="33" t="n">
        <v>1</v>
      </c>
      <c r="J805" s="33" t="n">
        <v>1</v>
      </c>
      <c r="K805" s="32" t="n">
        <v>300</v>
      </c>
      <c r="L805" s="33" t="str">
        <f aca="false">IF($B805="","",IFERROR(INDEX('Code Mapping'!$D$5:$D$1753,MATCH($B805,'Code Mapping'!$A$5:$A$1753,0)),"Unmapped"))</f>
        <v>Unmapped</v>
      </c>
      <c r="M805" s="33" t="str">
        <f aca="false">IF($B805="","",IFERROR(INDEX('Code Mapping'!$E$5:$E$1753,MATCH($B805,'Code Mapping'!$A$5:$A$1753,0)),"Unmapped"))</f>
        <v>Unmapped</v>
      </c>
      <c r="N805" s="33" t="str">
        <f aca="false">IF($F805="","",$F805)</f>
        <v>InflataCity 2025</v>
      </c>
    </row>
    <row r="806" customFormat="false" ht="15" hidden="false" customHeight="false" outlineLevel="0" collapsed="false">
      <c r="A806" s="33" t="n">
        <v>5797</v>
      </c>
      <c r="B806" s="33" t="s">
        <v>1100</v>
      </c>
      <c r="C806" s="33" t="s">
        <v>1028</v>
      </c>
      <c r="D806" s="33"/>
      <c r="E806" s="33" t="n">
        <v>96</v>
      </c>
      <c r="F806" s="33" t="s">
        <v>2154</v>
      </c>
      <c r="G806" s="33" t="s">
        <v>445</v>
      </c>
      <c r="H806" s="33" t="n">
        <v>1</v>
      </c>
      <c r="I806" s="33" t="n">
        <v>1</v>
      </c>
      <c r="J806" s="33" t="n">
        <v>1</v>
      </c>
      <c r="K806" s="32" t="n">
        <v>300</v>
      </c>
      <c r="L806" s="33" t="str">
        <f aca="false">IF($B806="","",IFERROR(INDEX('Code Mapping'!$D$5:$D$1753,MATCH($B806,'Code Mapping'!$A$5:$A$1753,0)),"Unmapped"))</f>
        <v>Unmapped</v>
      </c>
      <c r="M806" s="33" t="str">
        <f aca="false">IF($B806="","",IFERROR(INDEX('Code Mapping'!$E$5:$E$1753,MATCH($B806,'Code Mapping'!$A$5:$A$1753,0)),"Unmapped"))</f>
        <v>Unmapped</v>
      </c>
      <c r="N806" s="33" t="str">
        <f aca="false">IF($F806="","",$F806)</f>
        <v>InflataCity 2025</v>
      </c>
    </row>
    <row r="807" customFormat="false" ht="15" hidden="false" customHeight="false" outlineLevel="0" collapsed="false">
      <c r="A807" s="33" t="n">
        <v>5730</v>
      </c>
      <c r="B807" s="33" t="s">
        <v>1068</v>
      </c>
      <c r="C807" s="33" t="s">
        <v>1028</v>
      </c>
      <c r="D807" s="33"/>
      <c r="E807" s="33" t="n">
        <v>96</v>
      </c>
      <c r="F807" s="33" t="s">
        <v>2154</v>
      </c>
      <c r="G807" s="33" t="s">
        <v>445</v>
      </c>
      <c r="H807" s="33" t="n">
        <v>1</v>
      </c>
      <c r="I807" s="33" t="n">
        <v>1</v>
      </c>
      <c r="J807" s="33" t="n">
        <v>1</v>
      </c>
      <c r="K807" s="32" t="n">
        <v>300</v>
      </c>
      <c r="L807" s="33" t="str">
        <f aca="false">IF($B807="","",IFERROR(INDEX('Code Mapping'!$D$5:$D$1753,MATCH($B807,'Code Mapping'!$A$5:$A$1753,0)),"Unmapped"))</f>
        <v>Unmapped</v>
      </c>
      <c r="M807" s="33" t="str">
        <f aca="false">IF($B807="","",IFERROR(INDEX('Code Mapping'!$E$5:$E$1753,MATCH($B807,'Code Mapping'!$A$5:$A$1753,0)),"Unmapped"))</f>
        <v>Unmapped</v>
      </c>
      <c r="N807" s="33" t="str">
        <f aca="false">IF($F807="","",$F807)</f>
        <v>InflataCity 2025</v>
      </c>
    </row>
    <row r="808" customFormat="false" ht="15" hidden="false" customHeight="false" outlineLevel="0" collapsed="false">
      <c r="A808" s="33" t="n">
        <v>6499</v>
      </c>
      <c r="B808" s="33" t="s">
        <v>1066</v>
      </c>
      <c r="C808" s="33" t="s">
        <v>1026</v>
      </c>
      <c r="D808" s="33"/>
      <c r="E808" s="33" t="n">
        <v>96</v>
      </c>
      <c r="F808" s="33" t="s">
        <v>2154</v>
      </c>
      <c r="G808" s="33" t="s">
        <v>445</v>
      </c>
      <c r="H808" s="33" t="n">
        <v>1</v>
      </c>
      <c r="I808" s="33" t="n">
        <v>1</v>
      </c>
      <c r="J808" s="33" t="n">
        <v>1</v>
      </c>
      <c r="K808" s="32" t="n">
        <v>75</v>
      </c>
      <c r="L808" s="33" t="str">
        <f aca="false">IF($B808="","",IFERROR(INDEX('Code Mapping'!$D$5:$D$1753,MATCH($B808,'Code Mapping'!$A$5:$A$1753,0)),"Unmapped"))</f>
        <v>Unmapped</v>
      </c>
      <c r="M808" s="33" t="str">
        <f aca="false">IF($B808="","",IFERROR(INDEX('Code Mapping'!$E$5:$E$1753,MATCH($B808,'Code Mapping'!$A$5:$A$1753,0)),"Unmapped"))</f>
        <v>Unmapped</v>
      </c>
      <c r="N808" s="33" t="str">
        <f aca="false">IF($F808="","",$F808)</f>
        <v>InflataCity 2025</v>
      </c>
    </row>
    <row r="809" customFormat="false" ht="15" hidden="false" customHeight="false" outlineLevel="0" collapsed="false">
      <c r="A809" s="33" t="n">
        <v>6260</v>
      </c>
      <c r="B809" s="33" t="s">
        <v>1126</v>
      </c>
      <c r="C809" s="33" t="s">
        <v>1032</v>
      </c>
      <c r="D809" s="33"/>
      <c r="E809" s="33" t="n">
        <v>96</v>
      </c>
      <c r="F809" s="33" t="s">
        <v>2154</v>
      </c>
      <c r="G809" s="33" t="s">
        <v>445</v>
      </c>
      <c r="H809" s="33" t="n">
        <v>1</v>
      </c>
      <c r="I809" s="33" t="n">
        <v>1</v>
      </c>
      <c r="J809" s="33" t="n">
        <v>1</v>
      </c>
      <c r="K809" s="32" t="n">
        <v>350</v>
      </c>
      <c r="L809" s="33" t="str">
        <f aca="false">IF($B809="","",IFERROR(INDEX('Code Mapping'!$D$5:$D$1753,MATCH($B809,'Code Mapping'!$A$5:$A$1753,0)),"Unmapped"))</f>
        <v>Unmapped</v>
      </c>
      <c r="M809" s="33" t="str">
        <f aca="false">IF($B809="","",IFERROR(INDEX('Code Mapping'!$E$5:$E$1753,MATCH($B809,'Code Mapping'!$A$5:$A$1753,0)),"Unmapped"))</f>
        <v>Unmapped</v>
      </c>
      <c r="N809" s="33" t="str">
        <f aca="false">IF($F809="","",$F809)</f>
        <v>InflataCity 2025</v>
      </c>
    </row>
    <row r="810" customFormat="false" ht="15" hidden="false" customHeight="false" outlineLevel="0" collapsed="false">
      <c r="A810" s="33" t="n">
        <v>6793</v>
      </c>
      <c r="B810" s="33" t="s">
        <v>197</v>
      </c>
      <c r="C810" s="33" t="s">
        <v>198</v>
      </c>
      <c r="D810" s="33"/>
      <c r="E810" s="33" t="n">
        <v>94</v>
      </c>
      <c r="F810" s="33" t="s">
        <v>2153</v>
      </c>
      <c r="G810" s="33" t="s">
        <v>445</v>
      </c>
      <c r="H810" s="33" t="n">
        <v>3</v>
      </c>
      <c r="I810" s="33" t="n">
        <v>4</v>
      </c>
      <c r="J810" s="33" t="n">
        <v>4</v>
      </c>
      <c r="K810" s="32" t="n">
        <v>900</v>
      </c>
      <c r="L810" s="33" t="str">
        <f aca="false">IF($B810="","",IFERROR(INDEX('Code Mapping'!$D$5:$D$1753,MATCH($B810,'Code Mapping'!$A$5:$A$1753,0)),"Unmapped"))</f>
        <v>Entertainer</v>
      </c>
      <c r="M810" s="33" t="str">
        <f aca="false">IF($B810="","",IFERROR(INDEX('Code Mapping'!$E$5:$E$1753,MATCH($B810,'Code Mapping'!$A$5:$A$1753,0)),"Unmapped"))</f>
        <v>Aggregator BOGO</v>
      </c>
      <c r="N810" s="33" t="str">
        <f aca="false">IF($F810="","",$F810)</f>
        <v>Driving School</v>
      </c>
    </row>
    <row r="811" customFormat="false" ht="15" hidden="false" customHeight="false" outlineLevel="0" collapsed="false">
      <c r="A811" s="33" t="n">
        <v>6699</v>
      </c>
      <c r="B811" s="33" t="s">
        <v>1035</v>
      </c>
      <c r="C811" s="33" t="s">
        <v>1026</v>
      </c>
      <c r="D811" s="33"/>
      <c r="E811" s="33" t="n">
        <v>96</v>
      </c>
      <c r="F811" s="33" t="s">
        <v>2154</v>
      </c>
      <c r="G811" s="33" t="s">
        <v>445</v>
      </c>
      <c r="H811" s="33" t="n">
        <v>1</v>
      </c>
      <c r="I811" s="33" t="n">
        <v>1</v>
      </c>
      <c r="J811" s="33" t="n">
        <v>1</v>
      </c>
      <c r="K811" s="32" t="n">
        <v>75</v>
      </c>
      <c r="L811" s="33" t="str">
        <f aca="false">IF($B811="","",IFERROR(INDEX('Code Mapping'!$D$5:$D$1753,MATCH($B811,'Code Mapping'!$A$5:$A$1753,0)),"Unmapped"))</f>
        <v>Unmapped</v>
      </c>
      <c r="M811" s="33" t="str">
        <f aca="false">IF($B811="","",IFERROR(INDEX('Code Mapping'!$E$5:$E$1753,MATCH($B811,'Code Mapping'!$A$5:$A$1753,0)),"Unmapped"))</f>
        <v>Unmapped</v>
      </c>
      <c r="N811" s="33" t="str">
        <f aca="false">IF($F811="","",$F811)</f>
        <v>InflataCity 2025</v>
      </c>
    </row>
    <row r="812" customFormat="false" ht="15" hidden="false" customHeight="false" outlineLevel="0" collapsed="false">
      <c r="A812" s="33" t="n">
        <v>6666</v>
      </c>
      <c r="B812" s="33" t="s">
        <v>1034</v>
      </c>
      <c r="C812" s="33" t="s">
        <v>1026</v>
      </c>
      <c r="D812" s="33"/>
      <c r="E812" s="33" t="n">
        <v>96</v>
      </c>
      <c r="F812" s="33" t="s">
        <v>2154</v>
      </c>
      <c r="G812" s="33" t="s">
        <v>445</v>
      </c>
      <c r="H812" s="33" t="n">
        <v>1</v>
      </c>
      <c r="I812" s="33" t="n">
        <v>1</v>
      </c>
      <c r="J812" s="33" t="n">
        <v>1</v>
      </c>
      <c r="K812" s="32" t="n">
        <v>75</v>
      </c>
      <c r="L812" s="33" t="str">
        <f aca="false">IF($B812="","",IFERROR(INDEX('Code Mapping'!$D$5:$D$1753,MATCH($B812,'Code Mapping'!$A$5:$A$1753,0)),"Unmapped"))</f>
        <v>Unmapped</v>
      </c>
      <c r="M812" s="33" t="str">
        <f aca="false">IF($B812="","",IFERROR(INDEX('Code Mapping'!$E$5:$E$1753,MATCH($B812,'Code Mapping'!$A$5:$A$1753,0)),"Unmapped"))</f>
        <v>Unmapped</v>
      </c>
      <c r="N812" s="33" t="str">
        <f aca="false">IF($F812="","",$F812)</f>
        <v>InflataCity 2025</v>
      </c>
    </row>
    <row r="813" customFormat="false" ht="15" hidden="false" customHeight="false" outlineLevel="0" collapsed="false">
      <c r="A813" s="33" t="n">
        <v>6662</v>
      </c>
      <c r="B813" s="33" t="s">
        <v>1033</v>
      </c>
      <c r="C813" s="33" t="s">
        <v>1026</v>
      </c>
      <c r="D813" s="33"/>
      <c r="E813" s="33" t="n">
        <v>96</v>
      </c>
      <c r="F813" s="33" t="s">
        <v>2154</v>
      </c>
      <c r="G813" s="33" t="s">
        <v>445</v>
      </c>
      <c r="H813" s="33" t="n">
        <v>1</v>
      </c>
      <c r="I813" s="33" t="n">
        <v>1</v>
      </c>
      <c r="J813" s="33" t="n">
        <v>1</v>
      </c>
      <c r="K813" s="32" t="n">
        <v>75</v>
      </c>
      <c r="L813" s="33" t="str">
        <f aca="false">IF($B813="","",IFERROR(INDEX('Code Mapping'!$D$5:$D$1753,MATCH($B813,'Code Mapping'!$A$5:$A$1753,0)),"Unmapped"))</f>
        <v>Unmapped</v>
      </c>
      <c r="M813" s="33" t="str">
        <f aca="false">IF($B813="","",IFERROR(INDEX('Code Mapping'!$E$5:$E$1753,MATCH($B813,'Code Mapping'!$A$5:$A$1753,0)),"Unmapped"))</f>
        <v>Unmapped</v>
      </c>
      <c r="N813" s="33" t="str">
        <f aca="false">IF($F813="","",$F813)</f>
        <v>InflataCity 2025</v>
      </c>
    </row>
    <row r="814" customFormat="false" ht="15" hidden="false" customHeight="false" outlineLevel="0" collapsed="false">
      <c r="A814" s="33" t="n">
        <v>6137</v>
      </c>
      <c r="B814" s="33" t="s">
        <v>1031</v>
      </c>
      <c r="C814" s="33" t="s">
        <v>1032</v>
      </c>
      <c r="D814" s="33"/>
      <c r="E814" s="33" t="n">
        <v>96</v>
      </c>
      <c r="F814" s="33" t="s">
        <v>2154</v>
      </c>
      <c r="G814" s="33" t="s">
        <v>445</v>
      </c>
      <c r="H814" s="33" t="n">
        <v>1</v>
      </c>
      <c r="I814" s="33" t="n">
        <v>1</v>
      </c>
      <c r="J814" s="33" t="n">
        <v>1</v>
      </c>
      <c r="K814" s="32" t="n">
        <v>350</v>
      </c>
      <c r="L814" s="33" t="str">
        <f aca="false">IF($B814="","",IFERROR(INDEX('Code Mapping'!$D$5:$D$1753,MATCH($B814,'Code Mapping'!$A$5:$A$1753,0)),"Unmapped"))</f>
        <v>Unmapped</v>
      </c>
      <c r="M814" s="33" t="str">
        <f aca="false">IF($B814="","",IFERROR(INDEX('Code Mapping'!$E$5:$E$1753,MATCH($B814,'Code Mapping'!$A$5:$A$1753,0)),"Unmapped"))</f>
        <v>Unmapped</v>
      </c>
      <c r="N814" s="33" t="str">
        <f aca="false">IF($F814="","",$F814)</f>
        <v>InflataCity 2025</v>
      </c>
    </row>
    <row r="815" customFormat="false" ht="15" hidden="false" customHeight="false" outlineLevel="0" collapsed="false">
      <c r="A815" s="33" t="n">
        <v>5729</v>
      </c>
      <c r="B815" s="33" t="s">
        <v>1030</v>
      </c>
      <c r="C815" s="33" t="s">
        <v>1028</v>
      </c>
      <c r="D815" s="33"/>
      <c r="E815" s="33" t="n">
        <v>96</v>
      </c>
      <c r="F815" s="33" t="s">
        <v>2154</v>
      </c>
      <c r="G815" s="33" t="s">
        <v>445</v>
      </c>
      <c r="H815" s="33" t="n">
        <v>1</v>
      </c>
      <c r="I815" s="33" t="n">
        <v>1</v>
      </c>
      <c r="J815" s="33" t="n">
        <v>1</v>
      </c>
      <c r="K815" s="32" t="n">
        <v>300</v>
      </c>
      <c r="L815" s="33" t="str">
        <f aca="false">IF($B815="","",IFERROR(INDEX('Code Mapping'!$D$5:$D$1753,MATCH($B815,'Code Mapping'!$A$5:$A$1753,0)),"Unmapped"))</f>
        <v>Unmapped</v>
      </c>
      <c r="M815" s="33" t="str">
        <f aca="false">IF($B815="","",IFERROR(INDEX('Code Mapping'!$E$5:$E$1753,MATCH($B815,'Code Mapping'!$A$5:$A$1753,0)),"Unmapped"))</f>
        <v>Unmapped</v>
      </c>
      <c r="N815" s="33" t="str">
        <f aca="false">IF($F815="","",$F815)</f>
        <v>InflataCity 2025</v>
      </c>
    </row>
    <row r="816" customFormat="false" ht="15" hidden="false" customHeight="false" outlineLevel="0" collapsed="false">
      <c r="A816" s="33" t="n">
        <v>6443</v>
      </c>
      <c r="B816" s="33" t="s">
        <v>1029</v>
      </c>
      <c r="C816" s="33" t="s">
        <v>1026</v>
      </c>
      <c r="D816" s="33"/>
      <c r="E816" s="33" t="n">
        <v>96</v>
      </c>
      <c r="F816" s="33" t="s">
        <v>2154</v>
      </c>
      <c r="G816" s="33" t="s">
        <v>445</v>
      </c>
      <c r="H816" s="33" t="n">
        <v>1</v>
      </c>
      <c r="I816" s="33" t="n">
        <v>1</v>
      </c>
      <c r="J816" s="33" t="n">
        <v>1</v>
      </c>
      <c r="K816" s="32" t="n">
        <v>75</v>
      </c>
      <c r="L816" s="33" t="str">
        <f aca="false">IF($B816="","",IFERROR(INDEX('Code Mapping'!$D$5:$D$1753,MATCH($B816,'Code Mapping'!$A$5:$A$1753,0)),"Unmapped"))</f>
        <v>Unmapped</v>
      </c>
      <c r="M816" s="33" t="str">
        <f aca="false">IF($B816="","",IFERROR(INDEX('Code Mapping'!$E$5:$E$1753,MATCH($B816,'Code Mapping'!$A$5:$A$1753,0)),"Unmapped"))</f>
        <v>Unmapped</v>
      </c>
      <c r="N816" s="33" t="str">
        <f aca="false">IF($F816="","",$F816)</f>
        <v>InflataCity 2025</v>
      </c>
    </row>
    <row r="817" customFormat="false" ht="15" hidden="false" customHeight="false" outlineLevel="0" collapsed="false">
      <c r="A817" s="33" t="n">
        <v>5796</v>
      </c>
      <c r="B817" s="33" t="s">
        <v>1027</v>
      </c>
      <c r="C817" s="33" t="s">
        <v>1028</v>
      </c>
      <c r="D817" s="33"/>
      <c r="E817" s="33" t="n">
        <v>96</v>
      </c>
      <c r="F817" s="33" t="s">
        <v>2154</v>
      </c>
      <c r="G817" s="33" t="s">
        <v>445</v>
      </c>
      <c r="H817" s="33" t="n">
        <v>1</v>
      </c>
      <c r="I817" s="33" t="n">
        <v>1</v>
      </c>
      <c r="J817" s="33" t="n">
        <v>1</v>
      </c>
      <c r="K817" s="32" t="n">
        <v>300</v>
      </c>
      <c r="L817" s="33" t="str">
        <f aca="false">IF($B817="","",IFERROR(INDEX('Code Mapping'!$D$5:$D$1753,MATCH($B817,'Code Mapping'!$A$5:$A$1753,0)),"Unmapped"))</f>
        <v>Unmapped</v>
      </c>
      <c r="M817" s="33" t="str">
        <f aca="false">IF($B817="","",IFERROR(INDEX('Code Mapping'!$E$5:$E$1753,MATCH($B817,'Code Mapping'!$A$5:$A$1753,0)),"Unmapped"))</f>
        <v>Unmapped</v>
      </c>
      <c r="N817" s="33" t="str">
        <f aca="false">IF($F817="","",$F817)</f>
        <v>InflataCity 2025</v>
      </c>
    </row>
    <row r="818" customFormat="false" ht="15" hidden="false" customHeight="false" outlineLevel="0" collapsed="false">
      <c r="A818" s="33" t="n">
        <v>5564</v>
      </c>
      <c r="B818" s="33" t="s">
        <v>508</v>
      </c>
      <c r="C818" s="33" t="s">
        <v>509</v>
      </c>
      <c r="D818" s="33"/>
      <c r="E818" s="33" t="n">
        <v>96</v>
      </c>
      <c r="F818" s="33" t="s">
        <v>2154</v>
      </c>
      <c r="G818" s="33" t="s">
        <v>445</v>
      </c>
      <c r="H818" s="33" t="n">
        <v>107</v>
      </c>
      <c r="I818" s="33" t="n">
        <v>333</v>
      </c>
      <c r="J818" s="33" t="n">
        <v>333</v>
      </c>
      <c r="K818" s="32" t="n">
        <v>12260</v>
      </c>
      <c r="L818" s="33" t="str">
        <f aca="false">IF($B818="","",IFERROR(INDEX('Code Mapping'!$D$5:$D$1753,MATCH($B818,'Code Mapping'!$A$5:$A$1753,0)),"Unmapped"))</f>
        <v>Unmapped</v>
      </c>
      <c r="M818" s="33" t="str">
        <f aca="false">IF($B818="","",IFERROR(INDEX('Code Mapping'!$E$5:$E$1753,MATCH($B818,'Code Mapping'!$A$5:$A$1753,0)),"Unmapped"))</f>
        <v>Unmapped</v>
      </c>
      <c r="N818" s="33" t="str">
        <f aca="false">IF($F818="","",$F818)</f>
        <v>InflataCity 2025</v>
      </c>
    </row>
    <row r="819" customFormat="false" ht="15" hidden="false" customHeight="false" outlineLevel="0" collapsed="false">
      <c r="A819" s="33" t="n">
        <v>5567</v>
      </c>
      <c r="B819" s="33" t="s">
        <v>506</v>
      </c>
      <c r="C819" s="33" t="s">
        <v>507</v>
      </c>
      <c r="D819" s="33"/>
      <c r="E819" s="33" t="n">
        <v>96</v>
      </c>
      <c r="F819" s="33" t="s">
        <v>2154</v>
      </c>
      <c r="G819" s="33" t="s">
        <v>445</v>
      </c>
      <c r="H819" s="33" t="n">
        <v>178</v>
      </c>
      <c r="I819" s="33" t="n">
        <v>267</v>
      </c>
      <c r="J819" s="33" t="n">
        <v>267</v>
      </c>
      <c r="K819" s="32" t="n">
        <v>1490</v>
      </c>
      <c r="L819" s="33" t="str">
        <f aca="false">IF($B819="","",IFERROR(INDEX('Code Mapping'!$D$5:$D$1753,MATCH($B819,'Code Mapping'!$A$5:$A$1753,0)),"Unmapped"))</f>
        <v>Internal / promotion</v>
      </c>
      <c r="M819" s="33" t="str">
        <f aca="false">IF($B819="","",IFERROR(INDEX('Code Mapping'!$E$5:$E$1753,MATCH($B819,'Code Mapping'!$A$5:$A$1753,0)),"Unmapped"))</f>
        <v>Internal / promotion</v>
      </c>
      <c r="N819" s="33" t="str">
        <f aca="false">IF($F819="","",$F819)</f>
        <v>InflataCity 2025</v>
      </c>
    </row>
    <row r="820" customFormat="false" ht="15" hidden="false" customHeight="false" outlineLevel="0" collapsed="false">
      <c r="A820" s="33" t="n">
        <v>6805</v>
      </c>
      <c r="B820" s="33" t="s">
        <v>229</v>
      </c>
      <c r="C820" s="33" t="s">
        <v>230</v>
      </c>
      <c r="D820" s="33"/>
      <c r="E820" s="33" t="n">
        <v>91</v>
      </c>
      <c r="F820" s="33" t="s">
        <v>36</v>
      </c>
      <c r="G820" s="33" t="s">
        <v>445</v>
      </c>
      <c r="H820" s="33" t="n">
        <v>3</v>
      </c>
      <c r="I820" s="33" t="n">
        <v>4</v>
      </c>
      <c r="J820" s="33" t="n">
        <v>4</v>
      </c>
      <c r="K820" s="32" t="n">
        <v>60.75</v>
      </c>
      <c r="L820" s="33" t="str">
        <f aca="false">IF($B820="","",IFERROR(INDEX('Code Mapping'!$D$5:$D$1753,MATCH($B820,'Code Mapping'!$A$5:$A$1753,0)),"Unmapped"))</f>
        <v>HMC (not on master)</v>
      </c>
      <c r="M820" s="33" t="str">
        <f aca="false">IF($B820="","",IFERROR(INDEX('Code Mapping'!$E$5:$E$1753,MATCH($B820,'Code Mapping'!$A$5:$A$1753,0)),"Unmapped"))</f>
        <v>Not on master</v>
      </c>
      <c r="N820" s="33" t="str">
        <f aca="false">IF($F820="","",$F820)</f>
        <v>InflataPark</v>
      </c>
    </row>
    <row r="821" customFormat="false" ht="15" hidden="false" customHeight="false" outlineLevel="0" collapsed="false">
      <c r="A821" s="33" t="n">
        <v>5545</v>
      </c>
      <c r="B821" s="33" t="s">
        <v>499</v>
      </c>
      <c r="C821" s="33"/>
      <c r="D821" s="33"/>
      <c r="E821" s="33" t="n">
        <v>96</v>
      </c>
      <c r="F821" s="33" t="s">
        <v>2154</v>
      </c>
      <c r="G821" s="33" t="s">
        <v>445</v>
      </c>
      <c r="H821" s="33" t="n">
        <v>132</v>
      </c>
      <c r="I821" s="33" t="n">
        <v>388</v>
      </c>
      <c r="J821" s="33" t="n">
        <v>388</v>
      </c>
      <c r="K821" s="32" t="n">
        <v>6725</v>
      </c>
      <c r="L821" s="33" t="str">
        <f aca="false">IF($B821="","",IFERROR(INDEX('Code Mapping'!$D$5:$D$1753,MATCH($B821,'Code Mapping'!$A$5:$A$1753,0)),"Unmapped"))</f>
        <v>HMC (not on master)</v>
      </c>
      <c r="M821" s="33" t="str">
        <f aca="false">IF($B821="","",IFERROR(INDEX('Code Mapping'!$E$5:$E$1753,MATCH($B821,'Code Mapping'!$A$5:$A$1753,0)),"Unmapped"))</f>
        <v>Not on master</v>
      </c>
      <c r="N821" s="33" t="str">
        <f aca="false">IF($F821="","",$F821)</f>
        <v>InflataCity 2025</v>
      </c>
    </row>
    <row r="822" customFormat="false" ht="15" hidden="false" customHeight="false" outlineLevel="0" collapsed="false">
      <c r="A822" s="33" t="n">
        <v>6772</v>
      </c>
      <c r="B822" s="33" t="s">
        <v>488</v>
      </c>
      <c r="C822" s="33" t="s">
        <v>489</v>
      </c>
      <c r="D822" s="33"/>
      <c r="E822" s="33" t="n">
        <v>96</v>
      </c>
      <c r="F822" s="33" t="s">
        <v>2154</v>
      </c>
      <c r="G822" s="33" t="s">
        <v>445</v>
      </c>
      <c r="H822" s="33" t="n">
        <v>12</v>
      </c>
      <c r="I822" s="33" t="n">
        <v>28</v>
      </c>
      <c r="J822" s="33" t="n">
        <v>28</v>
      </c>
      <c r="K822" s="32" t="n">
        <v>210</v>
      </c>
      <c r="L822" s="33" t="str">
        <f aca="false">IF($B822="","",IFERROR(INDEX('Code Mapping'!$D$5:$D$1753,MATCH($B822,'Code Mapping'!$A$5:$A$1753,0)),"Unmapped"))</f>
        <v>Unmapped</v>
      </c>
      <c r="M822" s="33" t="str">
        <f aca="false">IF($B822="","",IFERROR(INDEX('Code Mapping'!$E$5:$E$1753,MATCH($B822,'Code Mapping'!$A$5:$A$1753,0)),"Unmapped"))</f>
        <v>Unmapped</v>
      </c>
      <c r="N822" s="33" t="str">
        <f aca="false">IF($F822="","",$F822)</f>
        <v>InflataCity 2025</v>
      </c>
    </row>
    <row r="823" customFormat="false" ht="15" hidden="false" customHeight="false" outlineLevel="0" collapsed="false">
      <c r="A823" s="33" t="n">
        <v>6796</v>
      </c>
      <c r="B823" s="33" t="s">
        <v>162</v>
      </c>
      <c r="C823" s="33" t="s">
        <v>163</v>
      </c>
      <c r="D823" s="33"/>
      <c r="E823" s="33" t="n">
        <v>91</v>
      </c>
      <c r="F823" s="33" t="s">
        <v>36</v>
      </c>
      <c r="G823" s="33" t="s">
        <v>445</v>
      </c>
      <c r="H823" s="33" t="n">
        <v>18</v>
      </c>
      <c r="I823" s="33" t="n">
        <v>18</v>
      </c>
      <c r="J823" s="33" t="n">
        <v>18</v>
      </c>
      <c r="K823" s="32" t="n">
        <v>3375</v>
      </c>
      <c r="L823" s="33" t="str">
        <f aca="false">IF($B823="","",IFERROR(INDEX('Code Mapping'!$D$5:$D$1753,MATCH($B823,'Code Mapping'!$A$5:$A$1753,0)),"Unmapped"))</f>
        <v>Entertainer</v>
      </c>
      <c r="M823" s="33" t="str">
        <f aca="false">IF($B823="","",IFERROR(INDEX('Code Mapping'!$E$5:$E$1753,MATCH($B823,'Code Mapping'!$A$5:$A$1753,0)),"Unmapped"))</f>
        <v>Aggregator BOGO</v>
      </c>
      <c r="N823" s="33" t="str">
        <f aca="false">IF($F823="","",$F823)</f>
        <v>InflataPark</v>
      </c>
    </row>
    <row r="824" customFormat="false" ht="15" hidden="false" customHeight="false" outlineLevel="0" collapsed="false">
      <c r="A824" s="33" t="n">
        <v>6277</v>
      </c>
      <c r="B824" s="33" t="s">
        <v>1065</v>
      </c>
      <c r="C824" s="33" t="s">
        <v>1026</v>
      </c>
      <c r="D824" s="33"/>
      <c r="E824" s="33" t="n">
        <v>96</v>
      </c>
      <c r="F824" s="33" t="s">
        <v>2154</v>
      </c>
      <c r="G824" s="33" t="s">
        <v>445</v>
      </c>
      <c r="H824" s="33" t="n">
        <v>1</v>
      </c>
      <c r="I824" s="33" t="n">
        <v>1</v>
      </c>
      <c r="J824" s="33" t="n">
        <v>1</v>
      </c>
      <c r="K824" s="32" t="n">
        <v>75</v>
      </c>
      <c r="L824" s="33" t="str">
        <f aca="false">IF($B824="","",IFERROR(INDEX('Code Mapping'!$D$5:$D$1753,MATCH($B824,'Code Mapping'!$A$5:$A$1753,0)),"Unmapped"))</f>
        <v>Unmapped</v>
      </c>
      <c r="M824" s="33" t="str">
        <f aca="false">IF($B824="","",IFERROR(INDEX('Code Mapping'!$E$5:$E$1753,MATCH($B824,'Code Mapping'!$A$5:$A$1753,0)),"Unmapped"))</f>
        <v>Unmapped</v>
      </c>
      <c r="N824" s="33" t="str">
        <f aca="false">IF($F824="","",$F824)</f>
        <v>InflataCity 2025</v>
      </c>
    </row>
    <row r="825" customFormat="false" ht="15" hidden="false" customHeight="false" outlineLevel="0" collapsed="false">
      <c r="A825" s="33" t="n">
        <v>5557</v>
      </c>
      <c r="B825" s="33" t="s">
        <v>181</v>
      </c>
      <c r="C825" s="33"/>
      <c r="D825" s="33"/>
      <c r="E825" s="33" t="n">
        <v>94</v>
      </c>
      <c r="F825" s="33" t="s">
        <v>2153</v>
      </c>
      <c r="G825" s="33" t="s">
        <v>445</v>
      </c>
      <c r="H825" s="33" t="n">
        <v>4</v>
      </c>
      <c r="I825" s="33" t="n">
        <v>7</v>
      </c>
      <c r="J825" s="33" t="n">
        <v>7</v>
      </c>
      <c r="K825" s="32" t="n">
        <v>1625</v>
      </c>
      <c r="L825" s="33" t="str">
        <f aca="false">IF($B825="","",IFERROR(INDEX('Code Mapping'!$D$5:$D$1753,MATCH($B825,'Code Mapping'!$A$5:$A$1753,0)),"Unmapped"))</f>
        <v>Entertainer</v>
      </c>
      <c r="M825" s="33" t="str">
        <f aca="false">IF($B825="","",IFERROR(INDEX('Code Mapping'!$E$5:$E$1753,MATCH($B825,'Code Mapping'!$A$5:$A$1753,0)),"Unmapped"))</f>
        <v>Aggregator BOGO</v>
      </c>
      <c r="N825" s="33" t="str">
        <f aca="false">IF($F825="","",$F825)</f>
        <v>Driving School</v>
      </c>
    </row>
    <row r="826" customFormat="false" ht="15" hidden="false" customHeight="false" outlineLevel="0" collapsed="false">
      <c r="A826" s="33" t="n">
        <v>5557</v>
      </c>
      <c r="B826" s="33" t="s">
        <v>181</v>
      </c>
      <c r="C826" s="33"/>
      <c r="D826" s="33"/>
      <c r="E826" s="33" t="n">
        <v>96</v>
      </c>
      <c r="F826" s="33" t="s">
        <v>2154</v>
      </c>
      <c r="G826" s="33" t="s">
        <v>445</v>
      </c>
      <c r="H826" s="33" t="n">
        <v>15</v>
      </c>
      <c r="I826" s="33" t="n">
        <v>34</v>
      </c>
      <c r="J826" s="33" t="n">
        <v>34</v>
      </c>
      <c r="K826" s="32" t="n">
        <v>4612.5</v>
      </c>
      <c r="L826" s="33" t="str">
        <f aca="false">IF($B826="","",IFERROR(INDEX('Code Mapping'!$D$5:$D$1753,MATCH($B826,'Code Mapping'!$A$5:$A$1753,0)),"Unmapped"))</f>
        <v>Entertainer</v>
      </c>
      <c r="M826" s="33" t="str">
        <f aca="false">IF($B826="","",IFERROR(INDEX('Code Mapping'!$E$5:$E$1753,MATCH($B826,'Code Mapping'!$A$5:$A$1753,0)),"Unmapped"))</f>
        <v>Aggregator BOGO</v>
      </c>
      <c r="N826" s="33" t="str">
        <f aca="false">IF($F826="","",$F826)</f>
        <v>InflataCity 2025</v>
      </c>
    </row>
    <row r="827" customFormat="false" ht="15" hidden="false" customHeight="false" outlineLevel="0" collapsed="false">
      <c r="A827" s="33" t="n">
        <v>5542</v>
      </c>
      <c r="B827" s="33" t="s">
        <v>479</v>
      </c>
      <c r="C827" s="33"/>
      <c r="D827" s="33"/>
      <c r="E827" s="33" t="n">
        <v>96</v>
      </c>
      <c r="F827" s="33" t="s">
        <v>2154</v>
      </c>
      <c r="G827" s="33" t="s">
        <v>445</v>
      </c>
      <c r="H827" s="33" t="n">
        <v>15</v>
      </c>
      <c r="I827" s="33" t="n">
        <v>42</v>
      </c>
      <c r="J827" s="33" t="n">
        <v>42</v>
      </c>
      <c r="K827" s="32" t="n">
        <v>630</v>
      </c>
      <c r="L827" s="33" t="str">
        <f aca="false">IF($B827="","",IFERROR(INDEX('Code Mapping'!$D$5:$D$1753,MATCH($B827,'Code Mapping'!$A$5:$A$1753,0)),"Unmapped"))</f>
        <v>Unmapped</v>
      </c>
      <c r="M827" s="33" t="str">
        <f aca="false">IF($B827="","",IFERROR(INDEX('Code Mapping'!$E$5:$E$1753,MATCH($B827,'Code Mapping'!$A$5:$A$1753,0)),"Unmapped"))</f>
        <v>Unmapped</v>
      </c>
      <c r="N827" s="33" t="str">
        <f aca="false">IF($F827="","",$F827)</f>
        <v>InflataCity 2025</v>
      </c>
    </row>
    <row r="828" customFormat="false" ht="15" hidden="false" customHeight="false" outlineLevel="0" collapsed="false">
      <c r="A828" s="33" t="n">
        <v>6771</v>
      </c>
      <c r="B828" s="33" t="s">
        <v>475</v>
      </c>
      <c r="C828" s="33" t="s">
        <v>476</v>
      </c>
      <c r="D828" s="33"/>
      <c r="E828" s="33" t="n">
        <v>96</v>
      </c>
      <c r="F828" s="33" t="s">
        <v>2154</v>
      </c>
      <c r="G828" s="33" t="s">
        <v>445</v>
      </c>
      <c r="H828" s="33" t="n">
        <v>64</v>
      </c>
      <c r="I828" s="33" t="n">
        <v>123</v>
      </c>
      <c r="J828" s="33" t="n">
        <v>123</v>
      </c>
      <c r="K828" s="32" t="n">
        <v>553.5</v>
      </c>
      <c r="L828" s="33" t="str">
        <f aca="false">IF($B828="","",IFERROR(INDEX('Code Mapping'!$D$5:$D$1753,MATCH($B828,'Code Mapping'!$A$5:$A$1753,0)),"Unmapped"))</f>
        <v>Classmate</v>
      </c>
      <c r="M828" s="33" t="str">
        <f aca="false">IF($B828="","",IFERROR(INDEX('Code Mapping'!$E$5:$E$1753,MATCH($B828,'Code Mapping'!$A$5:$A$1753,0)),"Unmapped"))</f>
        <v>Aggregator BOGO</v>
      </c>
      <c r="N828" s="33" t="str">
        <f aca="false">IF($F828="","",$F828)</f>
        <v>InflataCity 2025</v>
      </c>
    </row>
    <row r="829" customFormat="false" ht="15" hidden="false" customHeight="false" outlineLevel="0" collapsed="false">
      <c r="A829" s="33" t="n">
        <v>6770</v>
      </c>
      <c r="B829" s="33" t="s">
        <v>473</v>
      </c>
      <c r="C829" s="33" t="s">
        <v>474</v>
      </c>
      <c r="D829" s="33"/>
      <c r="E829" s="33" t="n">
        <v>96</v>
      </c>
      <c r="F829" s="33" t="s">
        <v>2154</v>
      </c>
      <c r="G829" s="33" t="s">
        <v>445</v>
      </c>
      <c r="H829" s="33" t="n">
        <v>32</v>
      </c>
      <c r="I829" s="33" t="n">
        <v>33</v>
      </c>
      <c r="J829" s="33" t="n">
        <v>33</v>
      </c>
      <c r="K829" s="32" t="n">
        <v>297</v>
      </c>
      <c r="L829" s="33" t="str">
        <f aca="false">IF($B829="","",IFERROR(INDEX('Code Mapping'!$D$5:$D$1753,MATCH($B829,'Code Mapping'!$A$5:$A$1753,0)),"Unmapped"))</f>
        <v>Unmapped</v>
      </c>
      <c r="M829" s="33" t="str">
        <f aca="false">IF($B829="","",IFERROR(INDEX('Code Mapping'!$E$5:$E$1753,MATCH($B829,'Code Mapping'!$A$5:$A$1753,0)),"Unmapped"))</f>
        <v>Unmapped</v>
      </c>
      <c r="N829" s="33" t="str">
        <f aca="false">IF($F829="","",$F829)</f>
        <v>InflataCity 2025</v>
      </c>
    </row>
    <row r="830" customFormat="false" ht="15" hidden="false" customHeight="false" outlineLevel="0" collapsed="false">
      <c r="A830" s="33" t="n">
        <v>5556</v>
      </c>
      <c r="B830" s="33" t="s">
        <v>472</v>
      </c>
      <c r="C830" s="33"/>
      <c r="D830" s="33"/>
      <c r="E830" s="33" t="n">
        <v>96</v>
      </c>
      <c r="F830" s="33" t="s">
        <v>2154</v>
      </c>
      <c r="G830" s="33" t="s">
        <v>445</v>
      </c>
      <c r="H830" s="33" t="n">
        <v>2</v>
      </c>
      <c r="I830" s="33" t="n">
        <v>3</v>
      </c>
      <c r="J830" s="33" t="n">
        <v>3</v>
      </c>
      <c r="K830" s="32" t="n">
        <v>45</v>
      </c>
      <c r="L830" s="33" t="str">
        <f aca="false">IF($B830="","",IFERROR(INDEX('Code Mapping'!$D$5:$D$1753,MATCH($B830,'Code Mapping'!$A$5:$A$1753,0)),"Unmapped"))</f>
        <v>Unmapped</v>
      </c>
      <c r="M830" s="33" t="str">
        <f aca="false">IF($B830="","",IFERROR(INDEX('Code Mapping'!$E$5:$E$1753,MATCH($B830,'Code Mapping'!$A$5:$A$1753,0)),"Unmapped"))</f>
        <v>Unmapped</v>
      </c>
      <c r="N830" s="33" t="str">
        <f aca="false">IF($F830="","",$F830)</f>
        <v>InflataCity 2025</v>
      </c>
    </row>
    <row r="831" customFormat="false" ht="15" hidden="false" customHeight="false" outlineLevel="0" collapsed="false">
      <c r="A831" s="33" t="n">
        <v>5565</v>
      </c>
      <c r="B831" s="33" t="s">
        <v>471</v>
      </c>
      <c r="C831" s="33"/>
      <c r="D831" s="33"/>
      <c r="E831" s="33" t="n">
        <v>96</v>
      </c>
      <c r="F831" s="33" t="s">
        <v>2154</v>
      </c>
      <c r="G831" s="33" t="s">
        <v>445</v>
      </c>
      <c r="H831" s="33" t="n">
        <v>1</v>
      </c>
      <c r="I831" s="33" t="n">
        <v>1</v>
      </c>
      <c r="J831" s="33" t="n">
        <v>1</v>
      </c>
      <c r="K831" s="32" t="n">
        <v>15</v>
      </c>
      <c r="L831" s="33" t="str">
        <f aca="false">IF($B831="","",IFERROR(INDEX('Code Mapping'!$D$5:$D$1753,MATCH($B831,'Code Mapping'!$A$5:$A$1753,0)),"Unmapped"))</f>
        <v>Unmapped</v>
      </c>
      <c r="M831" s="33" t="str">
        <f aca="false">IF($B831="","",IFERROR(INDEX('Code Mapping'!$E$5:$E$1753,MATCH($B831,'Code Mapping'!$A$5:$A$1753,0)),"Unmapped"))</f>
        <v>Unmapped</v>
      </c>
      <c r="N831" s="33" t="str">
        <f aca="false">IF($F831="","",$F831)</f>
        <v>InflataCity 2025</v>
      </c>
    </row>
    <row r="832" customFormat="false" ht="15" hidden="false" customHeight="false" outlineLevel="0" collapsed="false">
      <c r="A832" s="33" t="n">
        <v>6795</v>
      </c>
      <c r="B832" s="33" t="s">
        <v>196</v>
      </c>
      <c r="C832" s="33" t="s">
        <v>185</v>
      </c>
      <c r="D832" s="33"/>
      <c r="E832" s="33" t="n">
        <v>94</v>
      </c>
      <c r="F832" s="33" t="s">
        <v>2153</v>
      </c>
      <c r="G832" s="33" t="s">
        <v>445</v>
      </c>
      <c r="H832" s="33" t="n">
        <v>1</v>
      </c>
      <c r="I832" s="33" t="n">
        <v>1</v>
      </c>
      <c r="J832" s="33" t="n">
        <v>1</v>
      </c>
      <c r="K832" s="32" t="n">
        <v>225</v>
      </c>
      <c r="L832" s="33" t="str">
        <f aca="false">IF($B832="","",IFERROR(INDEX('Code Mapping'!$D$5:$D$1753,MATCH($B832,'Code Mapping'!$A$5:$A$1753,0)),"Unmapped"))</f>
        <v>My Book</v>
      </c>
      <c r="M832" s="33" t="str">
        <f aca="false">IF($B832="","",IFERROR(INDEX('Code Mapping'!$E$5:$E$1753,MATCH($B832,'Code Mapping'!$A$5:$A$1753,0)),"Unmapped"))</f>
        <v>Aggregator BOGO</v>
      </c>
      <c r="N832" s="33" t="str">
        <f aca="false">IF($F832="","",$F832)</f>
        <v>Driving School</v>
      </c>
    </row>
    <row r="833" customFormat="false" ht="15" hidden="false" customHeight="false" outlineLevel="0" collapsed="false">
      <c r="A833" s="33" t="n">
        <v>5544</v>
      </c>
      <c r="B833" s="33" t="s">
        <v>467</v>
      </c>
      <c r="C833" s="33"/>
      <c r="D833" s="33"/>
      <c r="E833" s="33" t="n">
        <v>96</v>
      </c>
      <c r="F833" s="33" t="s">
        <v>2154</v>
      </c>
      <c r="G833" s="33" t="s">
        <v>445</v>
      </c>
      <c r="H833" s="33" t="n">
        <v>7</v>
      </c>
      <c r="I833" s="33" t="n">
        <v>18</v>
      </c>
      <c r="J833" s="33" t="n">
        <v>18</v>
      </c>
      <c r="K833" s="32" t="n">
        <v>340</v>
      </c>
      <c r="L833" s="33" t="str">
        <f aca="false">IF($B833="","",IFERROR(INDEX('Code Mapping'!$D$5:$D$1753,MATCH($B833,'Code Mapping'!$A$5:$A$1753,0)),"Unmapped"))</f>
        <v>Unmapped</v>
      </c>
      <c r="M833" s="33" t="str">
        <f aca="false">IF($B833="","",IFERROR(INDEX('Code Mapping'!$E$5:$E$1753,MATCH($B833,'Code Mapping'!$A$5:$A$1753,0)),"Unmapped"))</f>
        <v>Unmapped</v>
      </c>
      <c r="N833" s="33" t="str">
        <f aca="false">IF($F833="","",$F833)</f>
        <v>InflataCity 2025</v>
      </c>
    </row>
    <row r="834" customFormat="false" ht="15" hidden="false" customHeight="false" outlineLevel="0" collapsed="false">
      <c r="A834" s="33" t="n">
        <v>5539</v>
      </c>
      <c r="B834" s="33" t="s">
        <v>448</v>
      </c>
      <c r="C834" s="33"/>
      <c r="D834" s="33"/>
      <c r="E834" s="33" t="n">
        <v>96</v>
      </c>
      <c r="F834" s="33" t="s">
        <v>2154</v>
      </c>
      <c r="G834" s="33" t="s">
        <v>445</v>
      </c>
      <c r="H834" s="33" t="n">
        <v>24</v>
      </c>
      <c r="I834" s="33" t="n">
        <v>68</v>
      </c>
      <c r="J834" s="33" t="n">
        <v>68</v>
      </c>
      <c r="K834" s="32" t="n">
        <v>1145</v>
      </c>
      <c r="L834" s="33" t="str">
        <f aca="false">IF($B834="","",IFERROR(INDEX('Code Mapping'!$D$5:$D$1753,MATCH($B834,'Code Mapping'!$A$5:$A$1753,0)),"Unmapped"))</f>
        <v>Al Jazeera Imtiyazat</v>
      </c>
      <c r="M834" s="33" t="str">
        <f aca="false">IF($B834="","",IFERROR(INDEX('Code Mapping'!$E$5:$E$1753,MATCH($B834,'Code Mapping'!$A$5:$A$1753,0)),"Unmapped"))</f>
        <v>Corporate discount</v>
      </c>
      <c r="N834" s="33" t="str">
        <f aca="false">IF($F834="","",$F834)</f>
        <v>InflataCity 2025</v>
      </c>
    </row>
    <row r="835" customFormat="false" ht="15" hidden="false" customHeight="false" outlineLevel="0" collapsed="false">
      <c r="A835" s="33" t="n">
        <v>6806</v>
      </c>
      <c r="B835" s="33" t="s">
        <v>446</v>
      </c>
      <c r="C835" s="33" t="s">
        <v>447</v>
      </c>
      <c r="D835" s="33"/>
      <c r="E835" s="33" t="n">
        <v>91</v>
      </c>
      <c r="F835" s="33" t="s">
        <v>36</v>
      </c>
      <c r="G835" s="33" t="s">
        <v>445</v>
      </c>
      <c r="H835" s="33" t="n">
        <v>1</v>
      </c>
      <c r="I835" s="33" t="n">
        <v>1</v>
      </c>
      <c r="J835" s="33" t="n">
        <v>1</v>
      </c>
      <c r="K835" s="32" t="n">
        <v>37.5</v>
      </c>
      <c r="L835" s="33" t="str">
        <f aca="false">IF($B835="","",IFERROR(INDEX('Code Mapping'!$D$5:$D$1753,MATCH($B835,'Code Mapping'!$A$5:$A$1753,0)),"Unmapped"))</f>
        <v>Aspire</v>
      </c>
      <c r="M835" s="33" t="str">
        <f aca="false">IF($B835="","",IFERROR(INDEX('Code Mapping'!$E$5:$E$1753,MATCH($B835,'Code Mapping'!$A$5:$A$1753,0)),"Unmapped"))</f>
        <v>Corporate discount</v>
      </c>
      <c r="N835" s="33" t="str">
        <f aca="false">IF($F835="","",$F835)</f>
        <v>InflataPark</v>
      </c>
    </row>
    <row r="836" customFormat="false" ht="15" hidden="false" customHeight="false" outlineLevel="0" collapsed="false">
      <c r="A836" s="33" t="n">
        <v>5561</v>
      </c>
      <c r="B836" s="33" t="s">
        <v>444</v>
      </c>
      <c r="C836" s="33"/>
      <c r="D836" s="33"/>
      <c r="E836" s="33" t="n">
        <v>96</v>
      </c>
      <c r="F836" s="33" t="s">
        <v>2154</v>
      </c>
      <c r="G836" s="33" t="s">
        <v>445</v>
      </c>
      <c r="H836" s="33" t="n">
        <v>4</v>
      </c>
      <c r="I836" s="33" t="n">
        <v>9</v>
      </c>
      <c r="J836" s="33" t="n">
        <v>9</v>
      </c>
      <c r="K836" s="32" t="n">
        <v>135</v>
      </c>
      <c r="L836" s="33" t="str">
        <f aca="false">IF($B836="","",IFERROR(INDEX('Code Mapping'!$D$5:$D$1753,MATCH($B836,'Code Mapping'!$A$5:$A$1753,0)),"Unmapped"))</f>
        <v>Unmapped</v>
      </c>
      <c r="M836" s="33" t="str">
        <f aca="false">IF($B836="","",IFERROR(INDEX('Code Mapping'!$E$5:$E$1753,MATCH($B836,'Code Mapping'!$A$5:$A$1753,0)),"Unmapped"))</f>
        <v>Unmapped</v>
      </c>
      <c r="N836" s="33" t="str">
        <f aca="false">IF($F836="","",$F836)</f>
        <v>InflataCity 2025</v>
      </c>
    </row>
    <row r="837" customFormat="false" ht="15" hidden="false" customHeight="false" outlineLevel="0" collapsed="false">
      <c r="A837" s="33" t="n">
        <v>6201</v>
      </c>
      <c r="B837" s="33" t="s">
        <v>1036</v>
      </c>
      <c r="C837" s="33" t="s">
        <v>1032</v>
      </c>
      <c r="D837" s="33"/>
      <c r="E837" s="33" t="n">
        <v>96</v>
      </c>
      <c r="F837" s="33" t="s">
        <v>2154</v>
      </c>
      <c r="G837" s="33" t="s">
        <v>445</v>
      </c>
      <c r="H837" s="33" t="n">
        <v>1</v>
      </c>
      <c r="I837" s="33" t="n">
        <v>1</v>
      </c>
      <c r="J837" s="33" t="n">
        <v>1</v>
      </c>
      <c r="K837" s="32" t="n">
        <v>350</v>
      </c>
      <c r="L837" s="33" t="str">
        <f aca="false">IF($B837="","",IFERROR(INDEX('Code Mapping'!$D$5:$D$1753,MATCH($B837,'Code Mapping'!$A$5:$A$1753,0)),"Unmapped"))</f>
        <v>Unmapped</v>
      </c>
      <c r="M837" s="33" t="str">
        <f aca="false">IF($B837="","",IFERROR(INDEX('Code Mapping'!$E$5:$E$1753,MATCH($B837,'Code Mapping'!$A$5:$A$1753,0)),"Unmapped"))</f>
        <v>Unmapped</v>
      </c>
      <c r="N837" s="33" t="str">
        <f aca="false">IF($F837="","",$F837)</f>
        <v>InflataCity 2025</v>
      </c>
    </row>
    <row r="838" customFormat="false" ht="15" hidden="false" customHeight="false" outlineLevel="0" collapsed="false">
      <c r="A838" s="33" t="n">
        <v>6318</v>
      </c>
      <c r="B838" s="33" t="s">
        <v>1037</v>
      </c>
      <c r="C838" s="33" t="s">
        <v>1026</v>
      </c>
      <c r="D838" s="33"/>
      <c r="E838" s="33" t="n">
        <v>96</v>
      </c>
      <c r="F838" s="33" t="s">
        <v>2154</v>
      </c>
      <c r="G838" s="33" t="s">
        <v>445</v>
      </c>
      <c r="H838" s="33" t="n">
        <v>1</v>
      </c>
      <c r="I838" s="33" t="n">
        <v>1</v>
      </c>
      <c r="J838" s="33" t="n">
        <v>1</v>
      </c>
      <c r="K838" s="32" t="n">
        <v>75</v>
      </c>
      <c r="L838" s="33" t="str">
        <f aca="false">IF($B838="","",IFERROR(INDEX('Code Mapping'!$D$5:$D$1753,MATCH($B838,'Code Mapping'!$A$5:$A$1753,0)),"Unmapped"))</f>
        <v>Unmapped</v>
      </c>
      <c r="M838" s="33" t="str">
        <f aca="false">IF($B838="","",IFERROR(INDEX('Code Mapping'!$E$5:$E$1753,MATCH($B838,'Code Mapping'!$A$5:$A$1753,0)),"Unmapped"))</f>
        <v>Unmapped</v>
      </c>
      <c r="N838" s="33" t="str">
        <f aca="false">IF($F838="","",$F838)</f>
        <v>InflataCity 2025</v>
      </c>
    </row>
    <row r="839" customFormat="false" ht="15" hidden="false" customHeight="false" outlineLevel="0" collapsed="false">
      <c r="A839" s="33" t="n">
        <v>6210</v>
      </c>
      <c r="B839" s="33" t="s">
        <v>1038</v>
      </c>
      <c r="C839" s="33" t="s">
        <v>1032</v>
      </c>
      <c r="D839" s="33"/>
      <c r="E839" s="33" t="n">
        <v>96</v>
      </c>
      <c r="F839" s="33" t="s">
        <v>2154</v>
      </c>
      <c r="G839" s="33" t="s">
        <v>445</v>
      </c>
      <c r="H839" s="33" t="n">
        <v>1</v>
      </c>
      <c r="I839" s="33" t="n">
        <v>1</v>
      </c>
      <c r="J839" s="33" t="n">
        <v>1</v>
      </c>
      <c r="K839" s="32" t="n">
        <v>350</v>
      </c>
      <c r="L839" s="33" t="str">
        <f aca="false">IF($B839="","",IFERROR(INDEX('Code Mapping'!$D$5:$D$1753,MATCH($B839,'Code Mapping'!$A$5:$A$1753,0)),"Unmapped"))</f>
        <v>Unmapped</v>
      </c>
      <c r="M839" s="33" t="str">
        <f aca="false">IF($B839="","",IFERROR(INDEX('Code Mapping'!$E$5:$E$1753,MATCH($B839,'Code Mapping'!$A$5:$A$1753,0)),"Unmapped"))</f>
        <v>Unmapped</v>
      </c>
      <c r="N839" s="33" t="str">
        <f aca="false">IF($F839="","",$F839)</f>
        <v>InflataCity 2025</v>
      </c>
    </row>
    <row r="840" customFormat="false" ht="15" hidden="false" customHeight="false" outlineLevel="0" collapsed="false">
      <c r="A840" s="33" t="n">
        <v>6491</v>
      </c>
      <c r="B840" s="33" t="s">
        <v>1039</v>
      </c>
      <c r="C840" s="33" t="s">
        <v>1026</v>
      </c>
      <c r="D840" s="33"/>
      <c r="E840" s="33" t="n">
        <v>96</v>
      </c>
      <c r="F840" s="33" t="s">
        <v>2154</v>
      </c>
      <c r="G840" s="33" t="s">
        <v>445</v>
      </c>
      <c r="H840" s="33" t="n">
        <v>1</v>
      </c>
      <c r="I840" s="33" t="n">
        <v>1</v>
      </c>
      <c r="J840" s="33" t="n">
        <v>1</v>
      </c>
      <c r="K840" s="32" t="n">
        <v>75</v>
      </c>
      <c r="L840" s="33" t="str">
        <f aca="false">IF($B840="","",IFERROR(INDEX('Code Mapping'!$D$5:$D$1753,MATCH($B840,'Code Mapping'!$A$5:$A$1753,0)),"Unmapped"))</f>
        <v>Unmapped</v>
      </c>
      <c r="M840" s="33" t="str">
        <f aca="false">IF($B840="","",IFERROR(INDEX('Code Mapping'!$E$5:$E$1753,MATCH($B840,'Code Mapping'!$A$5:$A$1753,0)),"Unmapped"))</f>
        <v>Unmapped</v>
      </c>
      <c r="N840" s="33" t="str">
        <f aca="false">IF($F840="","",$F840)</f>
        <v>InflataCity 2025</v>
      </c>
    </row>
    <row r="841" customFormat="false" ht="15" hidden="false" customHeight="false" outlineLevel="0" collapsed="false">
      <c r="A841" s="33" t="n">
        <v>5799</v>
      </c>
      <c r="B841" s="33" t="s">
        <v>1064</v>
      </c>
      <c r="C841" s="33" t="s">
        <v>1028</v>
      </c>
      <c r="D841" s="33"/>
      <c r="E841" s="33" t="n">
        <v>96</v>
      </c>
      <c r="F841" s="33" t="s">
        <v>2154</v>
      </c>
      <c r="G841" s="33" t="s">
        <v>445</v>
      </c>
      <c r="H841" s="33" t="n">
        <v>1</v>
      </c>
      <c r="I841" s="33" t="n">
        <v>1</v>
      </c>
      <c r="J841" s="33" t="n">
        <v>1</v>
      </c>
      <c r="K841" s="32" t="n">
        <v>300</v>
      </c>
      <c r="L841" s="33" t="str">
        <f aca="false">IF($B841="","",IFERROR(INDEX('Code Mapping'!$D$5:$D$1753,MATCH($B841,'Code Mapping'!$A$5:$A$1753,0)),"Unmapped"))</f>
        <v>Unmapped</v>
      </c>
      <c r="M841" s="33" t="str">
        <f aca="false">IF($B841="","",IFERROR(INDEX('Code Mapping'!$E$5:$E$1753,MATCH($B841,'Code Mapping'!$A$5:$A$1753,0)),"Unmapped"))</f>
        <v>Unmapped</v>
      </c>
      <c r="N841" s="33" t="str">
        <f aca="false">IF($F841="","",$F841)</f>
        <v>InflataCity 2025</v>
      </c>
    </row>
    <row r="842" customFormat="false" ht="15" hidden="false" customHeight="false" outlineLevel="0" collapsed="false">
      <c r="A842" s="33" t="n">
        <v>6202</v>
      </c>
      <c r="B842" s="33" t="s">
        <v>1063</v>
      </c>
      <c r="C842" s="33" t="s">
        <v>1032</v>
      </c>
      <c r="D842" s="33"/>
      <c r="E842" s="33" t="n">
        <v>96</v>
      </c>
      <c r="F842" s="33" t="s">
        <v>2154</v>
      </c>
      <c r="G842" s="33" t="s">
        <v>445</v>
      </c>
      <c r="H842" s="33" t="n">
        <v>1</v>
      </c>
      <c r="I842" s="33" t="n">
        <v>1</v>
      </c>
      <c r="J842" s="33" t="n">
        <v>1</v>
      </c>
      <c r="K842" s="32" t="n">
        <v>350</v>
      </c>
      <c r="L842" s="33" t="str">
        <f aca="false">IF($B842="","",IFERROR(INDEX('Code Mapping'!$D$5:$D$1753,MATCH($B842,'Code Mapping'!$A$5:$A$1753,0)),"Unmapped"))</f>
        <v>Unmapped</v>
      </c>
      <c r="M842" s="33" t="str">
        <f aca="false">IF($B842="","",IFERROR(INDEX('Code Mapping'!$E$5:$E$1753,MATCH($B842,'Code Mapping'!$A$5:$A$1753,0)),"Unmapped"))</f>
        <v>Unmapped</v>
      </c>
      <c r="N842" s="33" t="str">
        <f aca="false">IF($F842="","",$F842)</f>
        <v>InflataCity 2025</v>
      </c>
    </row>
    <row r="843" customFormat="false" ht="15" hidden="false" customHeight="false" outlineLevel="0" collapsed="false">
      <c r="A843" s="33" t="n">
        <v>6278</v>
      </c>
      <c r="B843" s="33" t="s">
        <v>1062</v>
      </c>
      <c r="C843" s="33" t="s">
        <v>1026</v>
      </c>
      <c r="D843" s="33"/>
      <c r="E843" s="33" t="n">
        <v>96</v>
      </c>
      <c r="F843" s="33" t="s">
        <v>2154</v>
      </c>
      <c r="G843" s="33" t="s">
        <v>445</v>
      </c>
      <c r="H843" s="33" t="n">
        <v>1</v>
      </c>
      <c r="I843" s="33" t="n">
        <v>1</v>
      </c>
      <c r="J843" s="33" t="n">
        <v>1</v>
      </c>
      <c r="K843" s="32" t="n">
        <v>75</v>
      </c>
      <c r="L843" s="33" t="str">
        <f aca="false">IF($B843="","",IFERROR(INDEX('Code Mapping'!$D$5:$D$1753,MATCH($B843,'Code Mapping'!$A$5:$A$1753,0)),"Unmapped"))</f>
        <v>Unmapped</v>
      </c>
      <c r="M843" s="33" t="str">
        <f aca="false">IF($B843="","",IFERROR(INDEX('Code Mapping'!$E$5:$E$1753,MATCH($B843,'Code Mapping'!$A$5:$A$1753,0)),"Unmapped"))</f>
        <v>Unmapped</v>
      </c>
      <c r="N843" s="33" t="str">
        <f aca="false">IF($F843="","",$F843)</f>
        <v>InflataCity 2025</v>
      </c>
    </row>
    <row r="844" customFormat="false" ht="15" hidden="false" customHeight="false" outlineLevel="0" collapsed="false">
      <c r="A844" s="33" t="n">
        <v>6454</v>
      </c>
      <c r="B844" s="33" t="s">
        <v>1061</v>
      </c>
      <c r="C844" s="33" t="s">
        <v>1026</v>
      </c>
      <c r="D844" s="33"/>
      <c r="E844" s="33" t="n">
        <v>96</v>
      </c>
      <c r="F844" s="33" t="s">
        <v>2154</v>
      </c>
      <c r="G844" s="33" t="s">
        <v>445</v>
      </c>
      <c r="H844" s="33" t="n">
        <v>1</v>
      </c>
      <c r="I844" s="33" t="n">
        <v>1</v>
      </c>
      <c r="J844" s="33" t="n">
        <v>1</v>
      </c>
      <c r="K844" s="32" t="n">
        <v>75</v>
      </c>
      <c r="L844" s="33" t="str">
        <f aca="false">IF($B844="","",IFERROR(INDEX('Code Mapping'!$D$5:$D$1753,MATCH($B844,'Code Mapping'!$A$5:$A$1753,0)),"Unmapped"))</f>
        <v>Unmapped</v>
      </c>
      <c r="M844" s="33" t="str">
        <f aca="false">IF($B844="","",IFERROR(INDEX('Code Mapping'!$E$5:$E$1753,MATCH($B844,'Code Mapping'!$A$5:$A$1753,0)),"Unmapped"))</f>
        <v>Unmapped</v>
      </c>
      <c r="N844" s="33" t="str">
        <f aca="false">IF($F844="","",$F844)</f>
        <v>InflataCity 2025</v>
      </c>
    </row>
    <row r="845" customFormat="false" ht="15" hidden="false" customHeight="false" outlineLevel="0" collapsed="false">
      <c r="A845" s="33" t="n">
        <v>6692</v>
      </c>
      <c r="B845" s="33" t="s">
        <v>1060</v>
      </c>
      <c r="C845" s="33" t="s">
        <v>1026</v>
      </c>
      <c r="D845" s="33"/>
      <c r="E845" s="33" t="n">
        <v>96</v>
      </c>
      <c r="F845" s="33" t="s">
        <v>2154</v>
      </c>
      <c r="G845" s="33" t="s">
        <v>445</v>
      </c>
      <c r="H845" s="33" t="n">
        <v>1</v>
      </c>
      <c r="I845" s="33" t="n">
        <v>1</v>
      </c>
      <c r="J845" s="33" t="n">
        <v>1</v>
      </c>
      <c r="K845" s="32" t="n">
        <v>75</v>
      </c>
      <c r="L845" s="33" t="str">
        <f aca="false">IF($B845="","",IFERROR(INDEX('Code Mapping'!$D$5:$D$1753,MATCH($B845,'Code Mapping'!$A$5:$A$1753,0)),"Unmapped"))</f>
        <v>Unmapped</v>
      </c>
      <c r="M845" s="33" t="str">
        <f aca="false">IF($B845="","",IFERROR(INDEX('Code Mapping'!$E$5:$E$1753,MATCH($B845,'Code Mapping'!$A$5:$A$1753,0)),"Unmapped"))</f>
        <v>Unmapped</v>
      </c>
      <c r="N845" s="33" t="str">
        <f aca="false">IF($F845="","",$F845)</f>
        <v>InflataCity 2025</v>
      </c>
    </row>
    <row r="846" customFormat="false" ht="15" hidden="false" customHeight="false" outlineLevel="0" collapsed="false">
      <c r="A846" s="33" t="n">
        <v>6658</v>
      </c>
      <c r="B846" s="33" t="s">
        <v>1059</v>
      </c>
      <c r="C846" s="33" t="s">
        <v>1026</v>
      </c>
      <c r="D846" s="33"/>
      <c r="E846" s="33" t="n">
        <v>96</v>
      </c>
      <c r="F846" s="33" t="s">
        <v>2154</v>
      </c>
      <c r="G846" s="33" t="s">
        <v>445</v>
      </c>
      <c r="H846" s="33" t="n">
        <v>1</v>
      </c>
      <c r="I846" s="33" t="n">
        <v>1</v>
      </c>
      <c r="J846" s="33" t="n">
        <v>1</v>
      </c>
      <c r="K846" s="32" t="n">
        <v>75</v>
      </c>
      <c r="L846" s="33" t="str">
        <f aca="false">IF($B846="","",IFERROR(INDEX('Code Mapping'!$D$5:$D$1753,MATCH($B846,'Code Mapping'!$A$5:$A$1753,0)),"Unmapped"))</f>
        <v>Unmapped</v>
      </c>
      <c r="M846" s="33" t="str">
        <f aca="false">IF($B846="","",IFERROR(INDEX('Code Mapping'!$E$5:$E$1753,MATCH($B846,'Code Mapping'!$A$5:$A$1753,0)),"Unmapped"))</f>
        <v>Unmapped</v>
      </c>
      <c r="N846" s="33" t="str">
        <f aca="false">IF($F846="","",$F846)</f>
        <v>InflataCity 2025</v>
      </c>
    </row>
    <row r="847" customFormat="false" ht="15" hidden="false" customHeight="false" outlineLevel="0" collapsed="false">
      <c r="A847" s="33" t="n">
        <v>6363</v>
      </c>
      <c r="B847" s="33" t="s">
        <v>1058</v>
      </c>
      <c r="C847" s="33" t="s">
        <v>1026</v>
      </c>
      <c r="D847" s="33"/>
      <c r="E847" s="33" t="n">
        <v>96</v>
      </c>
      <c r="F847" s="33" t="s">
        <v>2154</v>
      </c>
      <c r="G847" s="33" t="s">
        <v>445</v>
      </c>
      <c r="H847" s="33" t="n">
        <v>1</v>
      </c>
      <c r="I847" s="33" t="n">
        <v>1</v>
      </c>
      <c r="J847" s="33" t="n">
        <v>1</v>
      </c>
      <c r="K847" s="32" t="n">
        <v>75</v>
      </c>
      <c r="L847" s="33" t="str">
        <f aca="false">IF($B847="","",IFERROR(INDEX('Code Mapping'!$D$5:$D$1753,MATCH($B847,'Code Mapping'!$A$5:$A$1753,0)),"Unmapped"))</f>
        <v>Unmapped</v>
      </c>
      <c r="M847" s="33" t="str">
        <f aca="false">IF($B847="","",IFERROR(INDEX('Code Mapping'!$E$5:$E$1753,MATCH($B847,'Code Mapping'!$A$5:$A$1753,0)),"Unmapped"))</f>
        <v>Unmapped</v>
      </c>
      <c r="N847" s="33" t="str">
        <f aca="false">IF($F847="","",$F847)</f>
        <v>InflataCity 2025</v>
      </c>
    </row>
    <row r="848" customFormat="false" ht="15" hidden="false" customHeight="false" outlineLevel="0" collapsed="false">
      <c r="A848" s="33" t="n">
        <v>6594</v>
      </c>
      <c r="B848" s="33" t="s">
        <v>1057</v>
      </c>
      <c r="C848" s="33" t="s">
        <v>1026</v>
      </c>
      <c r="D848" s="33"/>
      <c r="E848" s="33" t="n">
        <v>96</v>
      </c>
      <c r="F848" s="33" t="s">
        <v>2154</v>
      </c>
      <c r="G848" s="33" t="s">
        <v>445</v>
      </c>
      <c r="H848" s="33" t="n">
        <v>1</v>
      </c>
      <c r="I848" s="33" t="n">
        <v>1</v>
      </c>
      <c r="J848" s="33" t="n">
        <v>1</v>
      </c>
      <c r="K848" s="32" t="n">
        <v>75</v>
      </c>
      <c r="L848" s="33" t="str">
        <f aca="false">IF($B848="","",IFERROR(INDEX('Code Mapping'!$D$5:$D$1753,MATCH($B848,'Code Mapping'!$A$5:$A$1753,0)),"Unmapped"))</f>
        <v>Unmapped</v>
      </c>
      <c r="M848" s="33" t="str">
        <f aca="false">IF($B848="","",IFERROR(INDEX('Code Mapping'!$E$5:$E$1753,MATCH($B848,'Code Mapping'!$A$5:$A$1753,0)),"Unmapped"))</f>
        <v>Unmapped</v>
      </c>
      <c r="N848" s="33" t="str">
        <f aca="false">IF($F848="","",$F848)</f>
        <v>InflataCity 2025</v>
      </c>
    </row>
    <row r="849" customFormat="false" ht="15" hidden="false" customHeight="false" outlineLevel="0" collapsed="false">
      <c r="A849" s="33" t="n">
        <v>6444</v>
      </c>
      <c r="B849" s="33" t="s">
        <v>1056</v>
      </c>
      <c r="C849" s="33" t="s">
        <v>1026</v>
      </c>
      <c r="D849" s="33"/>
      <c r="E849" s="33" t="n">
        <v>96</v>
      </c>
      <c r="F849" s="33" t="s">
        <v>2154</v>
      </c>
      <c r="G849" s="33" t="s">
        <v>445</v>
      </c>
      <c r="H849" s="33" t="n">
        <v>1</v>
      </c>
      <c r="I849" s="33" t="n">
        <v>1</v>
      </c>
      <c r="J849" s="33" t="n">
        <v>1</v>
      </c>
      <c r="K849" s="32" t="n">
        <v>75</v>
      </c>
      <c r="L849" s="33" t="str">
        <f aca="false">IF($B849="","",IFERROR(INDEX('Code Mapping'!$D$5:$D$1753,MATCH($B849,'Code Mapping'!$A$5:$A$1753,0)),"Unmapped"))</f>
        <v>Unmapped</v>
      </c>
      <c r="M849" s="33" t="str">
        <f aca="false">IF($B849="","",IFERROR(INDEX('Code Mapping'!$E$5:$E$1753,MATCH($B849,'Code Mapping'!$A$5:$A$1753,0)),"Unmapped"))</f>
        <v>Unmapped</v>
      </c>
      <c r="N849" s="33" t="str">
        <f aca="false">IF($F849="","",$F849)</f>
        <v>InflataCity 2025</v>
      </c>
    </row>
    <row r="850" customFormat="false" ht="15" hidden="false" customHeight="false" outlineLevel="0" collapsed="false">
      <c r="A850" s="33" t="n">
        <v>6158</v>
      </c>
      <c r="B850" s="33" t="s">
        <v>1055</v>
      </c>
      <c r="C850" s="33" t="s">
        <v>1032</v>
      </c>
      <c r="D850" s="33"/>
      <c r="E850" s="33" t="n">
        <v>96</v>
      </c>
      <c r="F850" s="33" t="s">
        <v>2154</v>
      </c>
      <c r="G850" s="33" t="s">
        <v>445</v>
      </c>
      <c r="H850" s="33" t="n">
        <v>1</v>
      </c>
      <c r="I850" s="33" t="n">
        <v>1</v>
      </c>
      <c r="J850" s="33" t="n">
        <v>1</v>
      </c>
      <c r="K850" s="32" t="n">
        <v>350</v>
      </c>
      <c r="L850" s="33" t="str">
        <f aca="false">IF($B850="","",IFERROR(INDEX('Code Mapping'!$D$5:$D$1753,MATCH($B850,'Code Mapping'!$A$5:$A$1753,0)),"Unmapped"))</f>
        <v>Unmapped</v>
      </c>
      <c r="M850" s="33" t="str">
        <f aca="false">IF($B850="","",IFERROR(INDEX('Code Mapping'!$E$5:$E$1753,MATCH($B850,'Code Mapping'!$A$5:$A$1753,0)),"Unmapped"))</f>
        <v>Unmapped</v>
      </c>
      <c r="N850" s="33" t="str">
        <f aca="false">IF($F850="","",$F850)</f>
        <v>InflataCity 2025</v>
      </c>
    </row>
    <row r="851" customFormat="false" ht="15" hidden="false" customHeight="false" outlineLevel="0" collapsed="false">
      <c r="A851" s="33" t="n">
        <v>6250</v>
      </c>
      <c r="B851" s="33" t="s">
        <v>1054</v>
      </c>
      <c r="C851" s="33" t="s">
        <v>1032</v>
      </c>
      <c r="D851" s="33"/>
      <c r="E851" s="33" t="n">
        <v>96</v>
      </c>
      <c r="F851" s="33" t="s">
        <v>2154</v>
      </c>
      <c r="G851" s="33" t="s">
        <v>445</v>
      </c>
      <c r="H851" s="33" t="n">
        <v>1</v>
      </c>
      <c r="I851" s="33" t="n">
        <v>1</v>
      </c>
      <c r="J851" s="33" t="n">
        <v>1</v>
      </c>
      <c r="K851" s="32" t="n">
        <v>350</v>
      </c>
      <c r="L851" s="33" t="str">
        <f aca="false">IF($B851="","",IFERROR(INDEX('Code Mapping'!$D$5:$D$1753,MATCH($B851,'Code Mapping'!$A$5:$A$1753,0)),"Unmapped"))</f>
        <v>Unmapped</v>
      </c>
      <c r="M851" s="33" t="str">
        <f aca="false">IF($B851="","",IFERROR(INDEX('Code Mapping'!$E$5:$E$1753,MATCH($B851,'Code Mapping'!$A$5:$A$1753,0)),"Unmapped"))</f>
        <v>Unmapped</v>
      </c>
      <c r="N851" s="33" t="str">
        <f aca="false">IF($F851="","",$F851)</f>
        <v>InflataCity 2025</v>
      </c>
    </row>
    <row r="852" customFormat="false" ht="15" hidden="false" customHeight="false" outlineLevel="0" collapsed="false">
      <c r="A852" s="33" t="n">
        <v>6228</v>
      </c>
      <c r="B852" s="33" t="s">
        <v>1053</v>
      </c>
      <c r="C852" s="33" t="s">
        <v>1032</v>
      </c>
      <c r="D852" s="33"/>
      <c r="E852" s="33" t="n">
        <v>96</v>
      </c>
      <c r="F852" s="33" t="s">
        <v>2154</v>
      </c>
      <c r="G852" s="33" t="s">
        <v>445</v>
      </c>
      <c r="H852" s="33" t="n">
        <v>1</v>
      </c>
      <c r="I852" s="33" t="n">
        <v>1</v>
      </c>
      <c r="J852" s="33" t="n">
        <v>1</v>
      </c>
      <c r="K852" s="32" t="n">
        <v>350</v>
      </c>
      <c r="L852" s="33" t="str">
        <f aca="false">IF($B852="","",IFERROR(INDEX('Code Mapping'!$D$5:$D$1753,MATCH($B852,'Code Mapping'!$A$5:$A$1753,0)),"Unmapped"))</f>
        <v>Unmapped</v>
      </c>
      <c r="M852" s="33" t="str">
        <f aca="false">IF($B852="","",IFERROR(INDEX('Code Mapping'!$E$5:$E$1753,MATCH($B852,'Code Mapping'!$A$5:$A$1753,0)),"Unmapped"))</f>
        <v>Unmapped</v>
      </c>
      <c r="N852" s="33" t="str">
        <f aca="false">IF($F852="","",$F852)</f>
        <v>InflataCity 2025</v>
      </c>
    </row>
    <row r="853" customFormat="false" ht="15" hidden="false" customHeight="false" outlineLevel="0" collapsed="false">
      <c r="A853" s="33" t="n">
        <v>6352</v>
      </c>
      <c r="B853" s="33" t="s">
        <v>1052</v>
      </c>
      <c r="C853" s="33" t="s">
        <v>1026</v>
      </c>
      <c r="D853" s="33"/>
      <c r="E853" s="33" t="n">
        <v>96</v>
      </c>
      <c r="F853" s="33" t="s">
        <v>2154</v>
      </c>
      <c r="G853" s="33" t="s">
        <v>445</v>
      </c>
      <c r="H853" s="33" t="n">
        <v>1</v>
      </c>
      <c r="I853" s="33" t="n">
        <v>1</v>
      </c>
      <c r="J853" s="33" t="n">
        <v>1</v>
      </c>
      <c r="K853" s="32" t="n">
        <v>75</v>
      </c>
      <c r="L853" s="33" t="str">
        <f aca="false">IF($B853="","",IFERROR(INDEX('Code Mapping'!$D$5:$D$1753,MATCH($B853,'Code Mapping'!$A$5:$A$1753,0)),"Unmapped"))</f>
        <v>Unmapped</v>
      </c>
      <c r="M853" s="33" t="str">
        <f aca="false">IF($B853="","",IFERROR(INDEX('Code Mapping'!$E$5:$E$1753,MATCH($B853,'Code Mapping'!$A$5:$A$1753,0)),"Unmapped"))</f>
        <v>Unmapped</v>
      </c>
      <c r="N853" s="33" t="str">
        <f aca="false">IF($F853="","",$F853)</f>
        <v>InflataCity 2025</v>
      </c>
    </row>
    <row r="854" customFormat="false" ht="15" hidden="false" customHeight="false" outlineLevel="0" collapsed="false">
      <c r="A854" s="33" t="n">
        <v>5843</v>
      </c>
      <c r="B854" s="33" t="s">
        <v>1051</v>
      </c>
      <c r="C854" s="33" t="s">
        <v>1028</v>
      </c>
      <c r="D854" s="33"/>
      <c r="E854" s="33" t="n">
        <v>96</v>
      </c>
      <c r="F854" s="33" t="s">
        <v>2154</v>
      </c>
      <c r="G854" s="33" t="s">
        <v>445</v>
      </c>
      <c r="H854" s="33" t="n">
        <v>1</v>
      </c>
      <c r="I854" s="33" t="n">
        <v>1</v>
      </c>
      <c r="J854" s="33" t="n">
        <v>1</v>
      </c>
      <c r="K854" s="32" t="n">
        <v>300</v>
      </c>
      <c r="L854" s="33" t="str">
        <f aca="false">IF($B854="","",IFERROR(INDEX('Code Mapping'!$D$5:$D$1753,MATCH($B854,'Code Mapping'!$A$5:$A$1753,0)),"Unmapped"))</f>
        <v>Unmapped</v>
      </c>
      <c r="M854" s="33" t="str">
        <f aca="false">IF($B854="","",IFERROR(INDEX('Code Mapping'!$E$5:$E$1753,MATCH($B854,'Code Mapping'!$A$5:$A$1753,0)),"Unmapped"))</f>
        <v>Unmapped</v>
      </c>
      <c r="N854" s="33" t="str">
        <f aca="false">IF($F854="","",$F854)</f>
        <v>InflataCity 2025</v>
      </c>
    </row>
    <row r="855" customFormat="false" ht="15" hidden="false" customHeight="false" outlineLevel="0" collapsed="false">
      <c r="A855" s="33" t="n">
        <v>6709</v>
      </c>
      <c r="B855" s="33" t="s">
        <v>1050</v>
      </c>
      <c r="C855" s="33" t="s">
        <v>1026</v>
      </c>
      <c r="D855" s="33"/>
      <c r="E855" s="33" t="n">
        <v>96</v>
      </c>
      <c r="F855" s="33" t="s">
        <v>2154</v>
      </c>
      <c r="G855" s="33" t="s">
        <v>445</v>
      </c>
      <c r="H855" s="33" t="n">
        <v>1</v>
      </c>
      <c r="I855" s="33" t="n">
        <v>1</v>
      </c>
      <c r="J855" s="33" t="n">
        <v>1</v>
      </c>
      <c r="K855" s="32" t="n">
        <v>75</v>
      </c>
      <c r="L855" s="33" t="str">
        <f aca="false">IF($B855="","",IFERROR(INDEX('Code Mapping'!$D$5:$D$1753,MATCH($B855,'Code Mapping'!$A$5:$A$1753,0)),"Unmapped"))</f>
        <v>Unmapped</v>
      </c>
      <c r="M855" s="33" t="str">
        <f aca="false">IF($B855="","",IFERROR(INDEX('Code Mapping'!$E$5:$E$1753,MATCH($B855,'Code Mapping'!$A$5:$A$1753,0)),"Unmapped"))</f>
        <v>Unmapped</v>
      </c>
      <c r="N855" s="33" t="str">
        <f aca="false">IF($F855="","",$F855)</f>
        <v>InflataCity 2025</v>
      </c>
    </row>
    <row r="856" customFormat="false" ht="15" hidden="false" customHeight="false" outlineLevel="0" collapsed="false">
      <c r="A856" s="33" t="n">
        <v>5848</v>
      </c>
      <c r="B856" s="33" t="s">
        <v>1049</v>
      </c>
      <c r="C856" s="33" t="s">
        <v>1028</v>
      </c>
      <c r="D856" s="33"/>
      <c r="E856" s="33" t="n">
        <v>96</v>
      </c>
      <c r="F856" s="33" t="s">
        <v>2154</v>
      </c>
      <c r="G856" s="33" t="s">
        <v>445</v>
      </c>
      <c r="H856" s="33" t="n">
        <v>1</v>
      </c>
      <c r="I856" s="33" t="n">
        <v>1</v>
      </c>
      <c r="J856" s="33" t="n">
        <v>1</v>
      </c>
      <c r="K856" s="32" t="n">
        <v>300</v>
      </c>
      <c r="L856" s="33" t="str">
        <f aca="false">IF($B856="","",IFERROR(INDEX('Code Mapping'!$D$5:$D$1753,MATCH($B856,'Code Mapping'!$A$5:$A$1753,0)),"Unmapped"))</f>
        <v>Unmapped</v>
      </c>
      <c r="M856" s="33" t="str">
        <f aca="false">IF($B856="","",IFERROR(INDEX('Code Mapping'!$E$5:$E$1753,MATCH($B856,'Code Mapping'!$A$5:$A$1753,0)),"Unmapped"))</f>
        <v>Unmapped</v>
      </c>
      <c r="N856" s="33" t="str">
        <f aca="false">IF($F856="","",$F856)</f>
        <v>InflataCity 2025</v>
      </c>
    </row>
    <row r="857" customFormat="false" ht="15" hidden="false" customHeight="false" outlineLevel="0" collapsed="false">
      <c r="A857" s="33" t="n">
        <v>6287</v>
      </c>
      <c r="B857" s="33" t="s">
        <v>1048</v>
      </c>
      <c r="C857" s="33" t="s">
        <v>1026</v>
      </c>
      <c r="D857" s="33"/>
      <c r="E857" s="33" t="n">
        <v>96</v>
      </c>
      <c r="F857" s="33" t="s">
        <v>2154</v>
      </c>
      <c r="G857" s="33" t="s">
        <v>445</v>
      </c>
      <c r="H857" s="33" t="n">
        <v>1</v>
      </c>
      <c r="I857" s="33" t="n">
        <v>1</v>
      </c>
      <c r="J857" s="33" t="n">
        <v>1</v>
      </c>
      <c r="K857" s="32" t="n">
        <v>75</v>
      </c>
      <c r="L857" s="33" t="str">
        <f aca="false">IF($B857="","",IFERROR(INDEX('Code Mapping'!$D$5:$D$1753,MATCH($B857,'Code Mapping'!$A$5:$A$1753,0)),"Unmapped"))</f>
        <v>Unmapped</v>
      </c>
      <c r="M857" s="33" t="str">
        <f aca="false">IF($B857="","",IFERROR(INDEX('Code Mapping'!$E$5:$E$1753,MATCH($B857,'Code Mapping'!$A$5:$A$1753,0)),"Unmapped"))</f>
        <v>Unmapped</v>
      </c>
      <c r="N857" s="33" t="str">
        <f aca="false">IF($F857="","",$F857)</f>
        <v>InflataCity 2025</v>
      </c>
    </row>
    <row r="858" customFormat="false" ht="15" hidden="false" customHeight="false" outlineLevel="0" collapsed="false">
      <c r="A858" s="33" t="n">
        <v>6583</v>
      </c>
      <c r="B858" s="33" t="s">
        <v>1047</v>
      </c>
      <c r="C858" s="33" t="s">
        <v>1026</v>
      </c>
      <c r="D858" s="33"/>
      <c r="E858" s="33" t="n">
        <v>96</v>
      </c>
      <c r="F858" s="33" t="s">
        <v>2154</v>
      </c>
      <c r="G858" s="33" t="s">
        <v>445</v>
      </c>
      <c r="H858" s="33" t="n">
        <v>1</v>
      </c>
      <c r="I858" s="33" t="n">
        <v>1</v>
      </c>
      <c r="J858" s="33" t="n">
        <v>1</v>
      </c>
      <c r="K858" s="32" t="n">
        <v>75</v>
      </c>
      <c r="L858" s="33" t="str">
        <f aca="false">IF($B858="","",IFERROR(INDEX('Code Mapping'!$D$5:$D$1753,MATCH($B858,'Code Mapping'!$A$5:$A$1753,0)),"Unmapped"))</f>
        <v>Unmapped</v>
      </c>
      <c r="M858" s="33" t="str">
        <f aca="false">IF($B858="","",IFERROR(INDEX('Code Mapping'!$E$5:$E$1753,MATCH($B858,'Code Mapping'!$A$5:$A$1753,0)),"Unmapped"))</f>
        <v>Unmapped</v>
      </c>
      <c r="N858" s="33" t="str">
        <f aca="false">IF($F858="","",$F858)</f>
        <v>InflataCity 2025</v>
      </c>
    </row>
    <row r="859" customFormat="false" ht="15" hidden="false" customHeight="false" outlineLevel="0" collapsed="false">
      <c r="A859" s="33" t="n">
        <v>6150</v>
      </c>
      <c r="B859" s="33" t="s">
        <v>1046</v>
      </c>
      <c r="C859" s="33" t="s">
        <v>1032</v>
      </c>
      <c r="D859" s="33"/>
      <c r="E859" s="33" t="n">
        <v>96</v>
      </c>
      <c r="F859" s="33" t="s">
        <v>2154</v>
      </c>
      <c r="G859" s="33" t="s">
        <v>445</v>
      </c>
      <c r="H859" s="33" t="n">
        <v>1</v>
      </c>
      <c r="I859" s="33" t="n">
        <v>1</v>
      </c>
      <c r="J859" s="33" t="n">
        <v>1</v>
      </c>
      <c r="K859" s="32" t="n">
        <v>350</v>
      </c>
      <c r="L859" s="33" t="str">
        <f aca="false">IF($B859="","",IFERROR(INDEX('Code Mapping'!$D$5:$D$1753,MATCH($B859,'Code Mapping'!$A$5:$A$1753,0)),"Unmapped"))</f>
        <v>Unmapped</v>
      </c>
      <c r="M859" s="33" t="str">
        <f aca="false">IF($B859="","",IFERROR(INDEX('Code Mapping'!$E$5:$E$1753,MATCH($B859,'Code Mapping'!$A$5:$A$1753,0)),"Unmapped"))</f>
        <v>Unmapped</v>
      </c>
      <c r="N859" s="33" t="str">
        <f aca="false">IF($F859="","",$F859)</f>
        <v>InflataCity 2025</v>
      </c>
    </row>
    <row r="860" customFormat="false" ht="15" hidden="false" customHeight="false" outlineLevel="0" collapsed="false">
      <c r="A860" s="33" t="n">
        <v>6303</v>
      </c>
      <c r="B860" s="33" t="s">
        <v>1045</v>
      </c>
      <c r="C860" s="33" t="s">
        <v>1026</v>
      </c>
      <c r="D860" s="33"/>
      <c r="E860" s="33" t="n">
        <v>96</v>
      </c>
      <c r="F860" s="33" t="s">
        <v>2154</v>
      </c>
      <c r="G860" s="33" t="s">
        <v>445</v>
      </c>
      <c r="H860" s="33" t="n">
        <v>1</v>
      </c>
      <c r="I860" s="33" t="n">
        <v>1</v>
      </c>
      <c r="J860" s="33" t="n">
        <v>1</v>
      </c>
      <c r="K860" s="32" t="n">
        <v>75</v>
      </c>
      <c r="L860" s="33" t="str">
        <f aca="false">IF($B860="","",IFERROR(INDEX('Code Mapping'!$D$5:$D$1753,MATCH($B860,'Code Mapping'!$A$5:$A$1753,0)),"Unmapped"))</f>
        <v>Unmapped</v>
      </c>
      <c r="M860" s="33" t="str">
        <f aca="false">IF($B860="","",IFERROR(INDEX('Code Mapping'!$E$5:$E$1753,MATCH($B860,'Code Mapping'!$A$5:$A$1753,0)),"Unmapped"))</f>
        <v>Unmapped</v>
      </c>
      <c r="N860" s="33" t="str">
        <f aca="false">IF($F860="","",$F860)</f>
        <v>InflataCity 2025</v>
      </c>
    </row>
    <row r="861" customFormat="false" ht="15" hidden="false" customHeight="false" outlineLevel="0" collapsed="false">
      <c r="A861" s="33" t="n">
        <v>6230</v>
      </c>
      <c r="B861" s="33" t="s">
        <v>1044</v>
      </c>
      <c r="C861" s="33" t="s">
        <v>1032</v>
      </c>
      <c r="D861" s="33"/>
      <c r="E861" s="33" t="n">
        <v>96</v>
      </c>
      <c r="F861" s="33" t="s">
        <v>2154</v>
      </c>
      <c r="G861" s="33" t="s">
        <v>445</v>
      </c>
      <c r="H861" s="33" t="n">
        <v>1</v>
      </c>
      <c r="I861" s="33" t="n">
        <v>1</v>
      </c>
      <c r="J861" s="33" t="n">
        <v>1</v>
      </c>
      <c r="K861" s="32" t="n">
        <v>350</v>
      </c>
      <c r="L861" s="33" t="str">
        <f aca="false">IF($B861="","",IFERROR(INDEX('Code Mapping'!$D$5:$D$1753,MATCH($B861,'Code Mapping'!$A$5:$A$1753,0)),"Unmapped"))</f>
        <v>Unmapped</v>
      </c>
      <c r="M861" s="33" t="str">
        <f aca="false">IF($B861="","",IFERROR(INDEX('Code Mapping'!$E$5:$E$1753,MATCH($B861,'Code Mapping'!$A$5:$A$1753,0)),"Unmapped"))</f>
        <v>Unmapped</v>
      </c>
      <c r="N861" s="33" t="str">
        <f aca="false">IF($F861="","",$F861)</f>
        <v>InflataCity 2025</v>
      </c>
    </row>
    <row r="862" customFormat="false" ht="15" hidden="false" customHeight="false" outlineLevel="0" collapsed="false">
      <c r="A862" s="33" t="n">
        <v>5706</v>
      </c>
      <c r="B862" s="33" t="s">
        <v>1043</v>
      </c>
      <c r="C862" s="33" t="s">
        <v>1028</v>
      </c>
      <c r="D862" s="33"/>
      <c r="E862" s="33" t="n">
        <v>96</v>
      </c>
      <c r="F862" s="33" t="s">
        <v>2154</v>
      </c>
      <c r="G862" s="33" t="s">
        <v>445</v>
      </c>
      <c r="H862" s="33" t="n">
        <v>1</v>
      </c>
      <c r="I862" s="33" t="n">
        <v>1</v>
      </c>
      <c r="J862" s="33" t="n">
        <v>1</v>
      </c>
      <c r="K862" s="32" t="n">
        <v>300</v>
      </c>
      <c r="L862" s="33" t="str">
        <f aca="false">IF($B862="","",IFERROR(INDEX('Code Mapping'!$D$5:$D$1753,MATCH($B862,'Code Mapping'!$A$5:$A$1753,0)),"Unmapped"))</f>
        <v>Unmapped</v>
      </c>
      <c r="M862" s="33" t="str">
        <f aca="false">IF($B862="","",IFERROR(INDEX('Code Mapping'!$E$5:$E$1753,MATCH($B862,'Code Mapping'!$A$5:$A$1753,0)),"Unmapped"))</f>
        <v>Unmapped</v>
      </c>
      <c r="N862" s="33" t="str">
        <f aca="false">IF($F862="","",$F862)</f>
        <v>InflataCity 2025</v>
      </c>
    </row>
    <row r="863" customFormat="false" ht="15" hidden="false" customHeight="false" outlineLevel="0" collapsed="false">
      <c r="A863" s="33" t="n">
        <v>6153</v>
      </c>
      <c r="B863" s="33" t="s">
        <v>1042</v>
      </c>
      <c r="C863" s="33" t="s">
        <v>1032</v>
      </c>
      <c r="D863" s="33"/>
      <c r="E863" s="33" t="n">
        <v>96</v>
      </c>
      <c r="F863" s="33" t="s">
        <v>2154</v>
      </c>
      <c r="G863" s="33" t="s">
        <v>445</v>
      </c>
      <c r="H863" s="33" t="n">
        <v>1</v>
      </c>
      <c r="I863" s="33" t="n">
        <v>1</v>
      </c>
      <c r="J863" s="33" t="n">
        <v>1</v>
      </c>
      <c r="K863" s="32" t="n">
        <v>350</v>
      </c>
      <c r="L863" s="33" t="str">
        <f aca="false">IF($B863="","",IFERROR(INDEX('Code Mapping'!$D$5:$D$1753,MATCH($B863,'Code Mapping'!$A$5:$A$1753,0)),"Unmapped"))</f>
        <v>Unmapped</v>
      </c>
      <c r="M863" s="33" t="str">
        <f aca="false">IF($B863="","",IFERROR(INDEX('Code Mapping'!$E$5:$E$1753,MATCH($B863,'Code Mapping'!$A$5:$A$1753,0)),"Unmapped"))</f>
        <v>Unmapped</v>
      </c>
      <c r="N863" s="33" t="str">
        <f aca="false">IF($F863="","",$F863)</f>
        <v>InflataCity 2025</v>
      </c>
    </row>
    <row r="864" customFormat="false" ht="15" hidden="false" customHeight="false" outlineLevel="0" collapsed="false">
      <c r="A864" s="33" t="n">
        <v>6291</v>
      </c>
      <c r="B864" s="33" t="s">
        <v>1041</v>
      </c>
      <c r="C864" s="33" t="s">
        <v>1026</v>
      </c>
      <c r="D864" s="33"/>
      <c r="E864" s="33" t="n">
        <v>96</v>
      </c>
      <c r="F864" s="33" t="s">
        <v>2154</v>
      </c>
      <c r="G864" s="33" t="s">
        <v>445</v>
      </c>
      <c r="H864" s="33" t="n">
        <v>1</v>
      </c>
      <c r="I864" s="33" t="n">
        <v>1</v>
      </c>
      <c r="J864" s="33" t="n">
        <v>1</v>
      </c>
      <c r="K864" s="32" t="n">
        <v>75</v>
      </c>
      <c r="L864" s="33" t="str">
        <f aca="false">IF($B864="","",IFERROR(INDEX('Code Mapping'!$D$5:$D$1753,MATCH($B864,'Code Mapping'!$A$5:$A$1753,0)),"Unmapped"))</f>
        <v>Unmapped</v>
      </c>
      <c r="M864" s="33" t="str">
        <f aca="false">IF($B864="","",IFERROR(INDEX('Code Mapping'!$E$5:$E$1753,MATCH($B864,'Code Mapping'!$A$5:$A$1753,0)),"Unmapped"))</f>
        <v>Unmapped</v>
      </c>
      <c r="N864" s="33" t="str">
        <f aca="false">IF($F864="","",$F864)</f>
        <v>InflataCity 2025</v>
      </c>
    </row>
    <row r="865" customFormat="false" ht="15" hidden="false" customHeight="false" outlineLevel="0" collapsed="false">
      <c r="A865" s="33" t="n">
        <v>6492</v>
      </c>
      <c r="B865" s="33" t="s">
        <v>1040</v>
      </c>
      <c r="C865" s="33" t="s">
        <v>1026</v>
      </c>
      <c r="D865" s="33"/>
      <c r="E865" s="33" t="n">
        <v>96</v>
      </c>
      <c r="F865" s="33" t="s">
        <v>2154</v>
      </c>
      <c r="G865" s="33" t="s">
        <v>445</v>
      </c>
      <c r="H865" s="33" t="n">
        <v>1</v>
      </c>
      <c r="I865" s="33" t="n">
        <v>1</v>
      </c>
      <c r="J865" s="33" t="n">
        <v>1</v>
      </c>
      <c r="K865" s="32" t="n">
        <v>75</v>
      </c>
      <c r="L865" s="33" t="str">
        <f aca="false">IF($B865="","",IFERROR(INDEX('Code Mapping'!$D$5:$D$1753,MATCH($B865,'Code Mapping'!$A$5:$A$1753,0)),"Unmapped"))</f>
        <v>Unmapped</v>
      </c>
      <c r="M865" s="33" t="str">
        <f aca="false">IF($B865="","",IFERROR(INDEX('Code Mapping'!$E$5:$E$1753,MATCH($B865,'Code Mapping'!$A$5:$A$1753,0)),"Unmapped"))</f>
        <v>Unmapped</v>
      </c>
      <c r="N865" s="33" t="str">
        <f aca="false">IF($F865="","",$F865)</f>
        <v>InflataCity 2025</v>
      </c>
    </row>
    <row r="866" customFormat="false" ht="15" hidden="false" customHeight="false" outlineLevel="0" collapsed="false">
      <c r="A866" s="33" t="n">
        <v>6521</v>
      </c>
      <c r="B866" s="33" t="s">
        <v>1125</v>
      </c>
      <c r="C866" s="33" t="s">
        <v>1026</v>
      </c>
      <c r="D866" s="33"/>
      <c r="E866" s="33" t="n">
        <v>96</v>
      </c>
      <c r="F866" s="33" t="s">
        <v>2154</v>
      </c>
      <c r="G866" s="33" t="s">
        <v>445</v>
      </c>
      <c r="H866" s="33" t="n">
        <v>1</v>
      </c>
      <c r="I866" s="33" t="n">
        <v>1</v>
      </c>
      <c r="J866" s="33" t="n">
        <v>1</v>
      </c>
      <c r="K866" s="32" t="n">
        <v>75</v>
      </c>
      <c r="L866" s="33" t="str">
        <f aca="false">IF($B866="","",IFERROR(INDEX('Code Mapping'!$D$5:$D$1753,MATCH($B866,'Code Mapping'!$A$5:$A$1753,0)),"Unmapped"))</f>
        <v>Unmapped</v>
      </c>
      <c r="M866" s="33" t="str">
        <f aca="false">IF($B866="","",IFERROR(INDEX('Code Mapping'!$E$5:$E$1753,MATCH($B866,'Code Mapping'!$A$5:$A$1753,0)),"Unmapped"))</f>
        <v>Unmapped</v>
      </c>
      <c r="N866" s="33" t="str">
        <f aca="false">IF($F866="","",$F866)</f>
        <v>InflataCity 2025</v>
      </c>
    </row>
    <row r="867" customFormat="false" ht="15" hidden="false" customHeight="false" outlineLevel="0" collapsed="false">
      <c r="A867" s="33" t="n">
        <v>6215</v>
      </c>
      <c r="B867" s="33" t="s">
        <v>1095</v>
      </c>
      <c r="C867" s="33" t="s">
        <v>1032</v>
      </c>
      <c r="D867" s="33"/>
      <c r="E867" s="33" t="n">
        <v>96</v>
      </c>
      <c r="F867" s="33" t="s">
        <v>2154</v>
      </c>
      <c r="G867" s="33" t="s">
        <v>445</v>
      </c>
      <c r="H867" s="33" t="n">
        <v>1</v>
      </c>
      <c r="I867" s="33" t="n">
        <v>1</v>
      </c>
      <c r="J867" s="33" t="n">
        <v>1</v>
      </c>
      <c r="K867" s="32" t="n">
        <v>350</v>
      </c>
      <c r="L867" s="33" t="str">
        <f aca="false">IF($B867="","",IFERROR(INDEX('Code Mapping'!$D$5:$D$1753,MATCH($B867,'Code Mapping'!$A$5:$A$1753,0)),"Unmapped"))</f>
        <v>Unmapped</v>
      </c>
      <c r="M867" s="33" t="str">
        <f aca="false">IF($B867="","",IFERROR(INDEX('Code Mapping'!$E$5:$E$1753,MATCH($B867,'Code Mapping'!$A$5:$A$1753,0)),"Unmapped"))</f>
        <v>Unmapped</v>
      </c>
      <c r="N867" s="33" t="str">
        <f aca="false">IF($F867="","",$F867)</f>
        <v>InflataCity 2025</v>
      </c>
    </row>
    <row r="868" customFormat="false" ht="15" hidden="false" customHeight="false" outlineLevel="0" collapsed="false">
      <c r="A868" s="33" t="n">
        <v>5818</v>
      </c>
      <c r="B868" s="33" t="s">
        <v>1127</v>
      </c>
      <c r="C868" s="33" t="s">
        <v>1028</v>
      </c>
      <c r="D868" s="33"/>
      <c r="E868" s="33" t="n">
        <v>96</v>
      </c>
      <c r="F868" s="33" t="s">
        <v>2154</v>
      </c>
      <c r="G868" s="33" t="s">
        <v>445</v>
      </c>
      <c r="H868" s="33" t="n">
        <v>1</v>
      </c>
      <c r="I868" s="33" t="n">
        <v>1</v>
      </c>
      <c r="J868" s="33" t="n">
        <v>1</v>
      </c>
      <c r="K868" s="32" t="n">
        <v>300</v>
      </c>
      <c r="L868" s="33" t="str">
        <f aca="false">IF($B868="","",IFERROR(INDEX('Code Mapping'!$D$5:$D$1753,MATCH($B868,'Code Mapping'!$A$5:$A$1753,0)),"Unmapped"))</f>
        <v>Unmapped</v>
      </c>
      <c r="M868" s="33" t="str">
        <f aca="false">IF($B868="","",IFERROR(INDEX('Code Mapping'!$E$5:$E$1753,MATCH($B868,'Code Mapping'!$A$5:$A$1753,0)),"Unmapped"))</f>
        <v>Unmapped</v>
      </c>
      <c r="N868" s="33" t="str">
        <f aca="false">IF($F868="","",$F868)</f>
        <v>InflataCity 2025</v>
      </c>
    </row>
    <row r="869" customFormat="false" ht="15" hidden="false" customHeight="false" outlineLevel="0" collapsed="false">
      <c r="A869" s="33" t="n">
        <v>6511</v>
      </c>
      <c r="B869" s="33" t="s">
        <v>1267</v>
      </c>
      <c r="C869" s="33" t="s">
        <v>1026</v>
      </c>
      <c r="D869" s="33"/>
      <c r="E869" s="33" t="n">
        <v>96</v>
      </c>
      <c r="F869" s="33" t="s">
        <v>2154</v>
      </c>
      <c r="G869" s="33" t="s">
        <v>445</v>
      </c>
      <c r="H869" s="33" t="n">
        <v>1</v>
      </c>
      <c r="I869" s="33" t="n">
        <v>1</v>
      </c>
      <c r="J869" s="33" t="n">
        <v>1</v>
      </c>
      <c r="K869" s="32" t="n">
        <v>75</v>
      </c>
      <c r="L869" s="33" t="str">
        <f aca="false">IF($B869="","",IFERROR(INDEX('Code Mapping'!$D$5:$D$1753,MATCH($B869,'Code Mapping'!$A$5:$A$1753,0)),"Unmapped"))</f>
        <v>Unmapped</v>
      </c>
      <c r="M869" s="33" t="str">
        <f aca="false">IF($B869="","",IFERROR(INDEX('Code Mapping'!$E$5:$E$1753,MATCH($B869,'Code Mapping'!$A$5:$A$1753,0)),"Unmapped"))</f>
        <v>Unmapped</v>
      </c>
      <c r="N869" s="33" t="str">
        <f aca="false">IF($F869="","",$F869)</f>
        <v>InflataCity 2025</v>
      </c>
    </row>
    <row r="870" customFormat="false" ht="15" hidden="false" customHeight="false" outlineLevel="0" collapsed="false">
      <c r="A870" s="33" t="n">
        <v>6211</v>
      </c>
      <c r="B870" s="33" t="s">
        <v>1280</v>
      </c>
      <c r="C870" s="33" t="s">
        <v>1032</v>
      </c>
      <c r="D870" s="33"/>
      <c r="E870" s="33" t="n">
        <v>96</v>
      </c>
      <c r="F870" s="33" t="s">
        <v>2154</v>
      </c>
      <c r="G870" s="33" t="s">
        <v>445</v>
      </c>
      <c r="H870" s="33" t="n">
        <v>1</v>
      </c>
      <c r="I870" s="33" t="n">
        <v>1</v>
      </c>
      <c r="J870" s="33" t="n">
        <v>1</v>
      </c>
      <c r="K870" s="32" t="n">
        <v>350</v>
      </c>
      <c r="L870" s="33" t="str">
        <f aca="false">IF($B870="","",IFERROR(INDEX('Code Mapping'!$D$5:$D$1753,MATCH($B870,'Code Mapping'!$A$5:$A$1753,0)),"Unmapped"))</f>
        <v>Unmapped</v>
      </c>
      <c r="M870" s="33" t="str">
        <f aca="false">IF($B870="","",IFERROR(INDEX('Code Mapping'!$E$5:$E$1753,MATCH($B870,'Code Mapping'!$A$5:$A$1753,0)),"Unmapped"))</f>
        <v>Unmapped</v>
      </c>
      <c r="N870" s="33" t="str">
        <f aca="false">IF($F870="","",$F870)</f>
        <v>InflataCity 2025</v>
      </c>
    </row>
    <row r="871" customFormat="false" ht="15" hidden="false" customHeight="false" outlineLevel="0" collapsed="false">
      <c r="A871" s="33" t="n">
        <v>6469</v>
      </c>
      <c r="B871" s="33" t="s">
        <v>1279</v>
      </c>
      <c r="C871" s="33" t="s">
        <v>1026</v>
      </c>
      <c r="D871" s="33"/>
      <c r="E871" s="33" t="n">
        <v>96</v>
      </c>
      <c r="F871" s="33" t="s">
        <v>2154</v>
      </c>
      <c r="G871" s="33" t="s">
        <v>445</v>
      </c>
      <c r="H871" s="33" t="n">
        <v>1</v>
      </c>
      <c r="I871" s="33" t="n">
        <v>1</v>
      </c>
      <c r="J871" s="33" t="n">
        <v>1</v>
      </c>
      <c r="K871" s="32" t="n">
        <v>75</v>
      </c>
      <c r="L871" s="33" t="str">
        <f aca="false">IF($B871="","",IFERROR(INDEX('Code Mapping'!$D$5:$D$1753,MATCH($B871,'Code Mapping'!$A$5:$A$1753,0)),"Unmapped"))</f>
        <v>Unmapped</v>
      </c>
      <c r="M871" s="33" t="str">
        <f aca="false">IF($B871="","",IFERROR(INDEX('Code Mapping'!$E$5:$E$1753,MATCH($B871,'Code Mapping'!$A$5:$A$1753,0)),"Unmapped"))</f>
        <v>Unmapped</v>
      </c>
      <c r="N871" s="33" t="str">
        <f aca="false">IF($F871="","",$F871)</f>
        <v>InflataCity 2025</v>
      </c>
    </row>
    <row r="872" customFormat="false" ht="15" hidden="false" customHeight="false" outlineLevel="0" collapsed="false">
      <c r="A872" s="33" t="n">
        <v>6255</v>
      </c>
      <c r="B872" s="33" t="s">
        <v>1277</v>
      </c>
      <c r="C872" s="33" t="s">
        <v>1032</v>
      </c>
      <c r="D872" s="33"/>
      <c r="E872" s="33" t="n">
        <v>96</v>
      </c>
      <c r="F872" s="33" t="s">
        <v>2154</v>
      </c>
      <c r="G872" s="33" t="s">
        <v>445</v>
      </c>
      <c r="H872" s="33" t="n">
        <v>1</v>
      </c>
      <c r="I872" s="33" t="n">
        <v>1</v>
      </c>
      <c r="J872" s="33" t="n">
        <v>1</v>
      </c>
      <c r="K872" s="32" t="n">
        <v>350</v>
      </c>
      <c r="L872" s="33" t="str">
        <f aca="false">IF($B872="","",IFERROR(INDEX('Code Mapping'!$D$5:$D$1753,MATCH($B872,'Code Mapping'!$A$5:$A$1753,0)),"Unmapped"))</f>
        <v>Unmapped</v>
      </c>
      <c r="M872" s="33" t="str">
        <f aca="false">IF($B872="","",IFERROR(INDEX('Code Mapping'!$E$5:$E$1753,MATCH($B872,'Code Mapping'!$A$5:$A$1753,0)),"Unmapped"))</f>
        <v>Unmapped</v>
      </c>
      <c r="N872" s="33" t="str">
        <f aca="false">IF($F872="","",$F872)</f>
        <v>InflataCity 2025</v>
      </c>
    </row>
    <row r="873" customFormat="false" ht="15" hidden="false" customHeight="false" outlineLevel="0" collapsed="false">
      <c r="A873" s="33" t="n">
        <v>5806</v>
      </c>
      <c r="B873" s="33" t="s">
        <v>1276</v>
      </c>
      <c r="C873" s="33" t="s">
        <v>1028</v>
      </c>
      <c r="D873" s="33"/>
      <c r="E873" s="33" t="n">
        <v>96</v>
      </c>
      <c r="F873" s="33" t="s">
        <v>2154</v>
      </c>
      <c r="G873" s="33" t="s">
        <v>445</v>
      </c>
      <c r="H873" s="33" t="n">
        <v>1</v>
      </c>
      <c r="I873" s="33" t="n">
        <v>1</v>
      </c>
      <c r="J873" s="33" t="n">
        <v>1</v>
      </c>
      <c r="K873" s="32" t="n">
        <v>300</v>
      </c>
      <c r="L873" s="33" t="str">
        <f aca="false">IF($B873="","",IFERROR(INDEX('Code Mapping'!$D$5:$D$1753,MATCH($B873,'Code Mapping'!$A$5:$A$1753,0)),"Unmapped"))</f>
        <v>Unmapped</v>
      </c>
      <c r="M873" s="33" t="str">
        <f aca="false">IF($B873="","",IFERROR(INDEX('Code Mapping'!$E$5:$E$1753,MATCH($B873,'Code Mapping'!$A$5:$A$1753,0)),"Unmapped"))</f>
        <v>Unmapped</v>
      </c>
      <c r="N873" s="33" t="str">
        <f aca="false">IF($F873="","",$F873)</f>
        <v>InflataCity 2025</v>
      </c>
    </row>
    <row r="874" customFormat="false" ht="15" hidden="false" customHeight="false" outlineLevel="0" collapsed="false">
      <c r="A874" s="33" t="n">
        <v>5704</v>
      </c>
      <c r="B874" s="33" t="s">
        <v>1275</v>
      </c>
      <c r="C874" s="33" t="s">
        <v>1028</v>
      </c>
      <c r="D874" s="33"/>
      <c r="E874" s="33" t="n">
        <v>96</v>
      </c>
      <c r="F874" s="33" t="s">
        <v>2154</v>
      </c>
      <c r="G874" s="33" t="s">
        <v>445</v>
      </c>
      <c r="H874" s="33" t="n">
        <v>1</v>
      </c>
      <c r="I874" s="33" t="n">
        <v>1</v>
      </c>
      <c r="J874" s="33" t="n">
        <v>1</v>
      </c>
      <c r="K874" s="32" t="n">
        <v>300</v>
      </c>
      <c r="L874" s="33" t="str">
        <f aca="false">IF($B874="","",IFERROR(INDEX('Code Mapping'!$D$5:$D$1753,MATCH($B874,'Code Mapping'!$A$5:$A$1753,0)),"Unmapped"))</f>
        <v>Unmapped</v>
      </c>
      <c r="M874" s="33" t="str">
        <f aca="false">IF($B874="","",IFERROR(INDEX('Code Mapping'!$E$5:$E$1753,MATCH($B874,'Code Mapping'!$A$5:$A$1753,0)),"Unmapped"))</f>
        <v>Unmapped</v>
      </c>
      <c r="N874" s="33" t="str">
        <f aca="false">IF($F874="","",$F874)</f>
        <v>InflataCity 2025</v>
      </c>
    </row>
    <row r="875" customFormat="false" ht="15" hidden="false" customHeight="false" outlineLevel="0" collapsed="false">
      <c r="A875" s="33" t="n">
        <v>6502</v>
      </c>
      <c r="B875" s="33" t="s">
        <v>1274</v>
      </c>
      <c r="C875" s="33" t="s">
        <v>1026</v>
      </c>
      <c r="D875" s="33"/>
      <c r="E875" s="33" t="n">
        <v>96</v>
      </c>
      <c r="F875" s="33" t="s">
        <v>2154</v>
      </c>
      <c r="G875" s="33" t="s">
        <v>445</v>
      </c>
      <c r="H875" s="33" t="n">
        <v>1</v>
      </c>
      <c r="I875" s="33" t="n">
        <v>1</v>
      </c>
      <c r="J875" s="33" t="n">
        <v>1</v>
      </c>
      <c r="K875" s="32" t="n">
        <v>75</v>
      </c>
      <c r="L875" s="33" t="str">
        <f aca="false">IF($B875="","",IFERROR(INDEX('Code Mapping'!$D$5:$D$1753,MATCH($B875,'Code Mapping'!$A$5:$A$1753,0)),"Unmapped"))</f>
        <v>Unmapped</v>
      </c>
      <c r="M875" s="33" t="str">
        <f aca="false">IF($B875="","",IFERROR(INDEX('Code Mapping'!$E$5:$E$1753,MATCH($B875,'Code Mapping'!$A$5:$A$1753,0)),"Unmapped"))</f>
        <v>Unmapped</v>
      </c>
      <c r="N875" s="33" t="str">
        <f aca="false">IF($F875="","",$F875)</f>
        <v>InflataCity 2025</v>
      </c>
    </row>
    <row r="876" customFormat="false" ht="15" hidden="false" customHeight="false" outlineLevel="0" collapsed="false">
      <c r="A876" s="33" t="n">
        <v>5587</v>
      </c>
      <c r="B876" s="33" t="s">
        <v>1273</v>
      </c>
      <c r="C876" s="33" t="s">
        <v>1028</v>
      </c>
      <c r="D876" s="33"/>
      <c r="E876" s="33" t="n">
        <v>96</v>
      </c>
      <c r="F876" s="33" t="s">
        <v>2154</v>
      </c>
      <c r="G876" s="33" t="s">
        <v>445</v>
      </c>
      <c r="H876" s="33" t="n">
        <v>1</v>
      </c>
      <c r="I876" s="33" t="n">
        <v>1</v>
      </c>
      <c r="J876" s="33" t="n">
        <v>1</v>
      </c>
      <c r="K876" s="32" t="n">
        <v>300</v>
      </c>
      <c r="L876" s="33" t="str">
        <f aca="false">IF($B876="","",IFERROR(INDEX('Code Mapping'!$D$5:$D$1753,MATCH($B876,'Code Mapping'!$A$5:$A$1753,0)),"Unmapped"))</f>
        <v>Unmapped</v>
      </c>
      <c r="M876" s="33" t="str">
        <f aca="false">IF($B876="","",IFERROR(INDEX('Code Mapping'!$E$5:$E$1753,MATCH($B876,'Code Mapping'!$A$5:$A$1753,0)),"Unmapped"))</f>
        <v>Unmapped</v>
      </c>
      <c r="N876" s="33" t="str">
        <f aca="false">IF($F876="","",$F876)</f>
        <v>InflataCity 2025</v>
      </c>
    </row>
    <row r="877" customFormat="false" ht="15" hidden="false" customHeight="false" outlineLevel="0" collapsed="false">
      <c r="A877" s="33" t="n">
        <v>6316</v>
      </c>
      <c r="B877" s="33" t="s">
        <v>1272</v>
      </c>
      <c r="C877" s="33" t="s">
        <v>1026</v>
      </c>
      <c r="D877" s="33"/>
      <c r="E877" s="33" t="n">
        <v>96</v>
      </c>
      <c r="F877" s="33" t="s">
        <v>2154</v>
      </c>
      <c r="G877" s="33" t="s">
        <v>445</v>
      </c>
      <c r="H877" s="33" t="n">
        <v>1</v>
      </c>
      <c r="I877" s="33" t="n">
        <v>1</v>
      </c>
      <c r="J877" s="33" t="n">
        <v>1</v>
      </c>
      <c r="K877" s="32" t="n">
        <v>75</v>
      </c>
      <c r="L877" s="33" t="str">
        <f aca="false">IF($B877="","",IFERROR(INDEX('Code Mapping'!$D$5:$D$1753,MATCH($B877,'Code Mapping'!$A$5:$A$1753,0)),"Unmapped"))</f>
        <v>Unmapped</v>
      </c>
      <c r="M877" s="33" t="str">
        <f aca="false">IF($B877="","",IFERROR(INDEX('Code Mapping'!$E$5:$E$1753,MATCH($B877,'Code Mapping'!$A$5:$A$1753,0)),"Unmapped"))</f>
        <v>Unmapped</v>
      </c>
      <c r="N877" s="33" t="str">
        <f aca="false">IF($F877="","",$F877)</f>
        <v>InflataCity 2025</v>
      </c>
    </row>
    <row r="878" customFormat="false" ht="15" hidden="false" customHeight="false" outlineLevel="0" collapsed="false">
      <c r="A878" s="33" t="n">
        <v>6581</v>
      </c>
      <c r="B878" s="33" t="s">
        <v>1271</v>
      </c>
      <c r="C878" s="33" t="s">
        <v>1026</v>
      </c>
      <c r="D878" s="33"/>
      <c r="E878" s="33" t="n">
        <v>96</v>
      </c>
      <c r="F878" s="33" t="s">
        <v>2154</v>
      </c>
      <c r="G878" s="33" t="s">
        <v>445</v>
      </c>
      <c r="H878" s="33" t="n">
        <v>1</v>
      </c>
      <c r="I878" s="33" t="n">
        <v>1</v>
      </c>
      <c r="J878" s="33" t="n">
        <v>1</v>
      </c>
      <c r="K878" s="32" t="n">
        <v>75</v>
      </c>
      <c r="L878" s="33" t="str">
        <f aca="false">IF($B878="","",IFERROR(INDEX('Code Mapping'!$D$5:$D$1753,MATCH($B878,'Code Mapping'!$A$5:$A$1753,0)),"Unmapped"))</f>
        <v>Unmapped</v>
      </c>
      <c r="M878" s="33" t="str">
        <f aca="false">IF($B878="","",IFERROR(INDEX('Code Mapping'!$E$5:$E$1753,MATCH($B878,'Code Mapping'!$A$5:$A$1753,0)),"Unmapped"))</f>
        <v>Unmapped</v>
      </c>
      <c r="N878" s="33" t="str">
        <f aca="false">IF($F878="","",$F878)</f>
        <v>InflataCity 2025</v>
      </c>
    </row>
    <row r="879" customFormat="false" ht="15" hidden="false" customHeight="false" outlineLevel="0" collapsed="false">
      <c r="A879" s="33" t="n">
        <v>5823</v>
      </c>
      <c r="B879" s="33" t="s">
        <v>1270</v>
      </c>
      <c r="C879" s="33" t="s">
        <v>1028</v>
      </c>
      <c r="D879" s="33"/>
      <c r="E879" s="33" t="n">
        <v>96</v>
      </c>
      <c r="F879" s="33" t="s">
        <v>2154</v>
      </c>
      <c r="G879" s="33" t="s">
        <v>445</v>
      </c>
      <c r="H879" s="33" t="n">
        <v>1</v>
      </c>
      <c r="I879" s="33" t="n">
        <v>1</v>
      </c>
      <c r="J879" s="33" t="n">
        <v>1</v>
      </c>
      <c r="K879" s="32" t="n">
        <v>300</v>
      </c>
      <c r="L879" s="33" t="str">
        <f aca="false">IF($B879="","",IFERROR(INDEX('Code Mapping'!$D$5:$D$1753,MATCH($B879,'Code Mapping'!$A$5:$A$1753,0)),"Unmapped"))</f>
        <v>Unmapped</v>
      </c>
      <c r="M879" s="33" t="str">
        <f aca="false">IF($B879="","",IFERROR(INDEX('Code Mapping'!$E$5:$E$1753,MATCH($B879,'Code Mapping'!$A$5:$A$1753,0)),"Unmapped"))</f>
        <v>Unmapped</v>
      </c>
      <c r="N879" s="33" t="str">
        <f aca="false">IF($F879="","",$F879)</f>
        <v>InflataCity 2025</v>
      </c>
    </row>
    <row r="880" customFormat="false" ht="15" hidden="false" customHeight="false" outlineLevel="0" collapsed="false">
      <c r="A880" s="33" t="n">
        <v>5814</v>
      </c>
      <c r="B880" s="33" t="s">
        <v>1269</v>
      </c>
      <c r="C880" s="33" t="s">
        <v>1028</v>
      </c>
      <c r="D880" s="33"/>
      <c r="E880" s="33" t="n">
        <v>96</v>
      </c>
      <c r="F880" s="33" t="s">
        <v>2154</v>
      </c>
      <c r="G880" s="33" t="s">
        <v>445</v>
      </c>
      <c r="H880" s="33" t="n">
        <v>1</v>
      </c>
      <c r="I880" s="33" t="n">
        <v>1</v>
      </c>
      <c r="J880" s="33" t="n">
        <v>1</v>
      </c>
      <c r="K880" s="32" t="n">
        <v>300</v>
      </c>
      <c r="L880" s="33" t="str">
        <f aca="false">IF($B880="","",IFERROR(INDEX('Code Mapping'!$D$5:$D$1753,MATCH($B880,'Code Mapping'!$A$5:$A$1753,0)),"Unmapped"))</f>
        <v>Unmapped</v>
      </c>
      <c r="M880" s="33" t="str">
        <f aca="false">IF($B880="","",IFERROR(INDEX('Code Mapping'!$E$5:$E$1753,MATCH($B880,'Code Mapping'!$A$5:$A$1753,0)),"Unmapped"))</f>
        <v>Unmapped</v>
      </c>
      <c r="N880" s="33" t="str">
        <f aca="false">IF($F880="","",$F880)</f>
        <v>InflataCity 2025</v>
      </c>
    </row>
    <row r="881" customFormat="false" ht="15" hidden="false" customHeight="false" outlineLevel="0" collapsed="false">
      <c r="A881" s="33" t="n">
        <v>5774</v>
      </c>
      <c r="B881" s="33" t="s">
        <v>1268</v>
      </c>
      <c r="C881" s="33" t="s">
        <v>1028</v>
      </c>
      <c r="D881" s="33"/>
      <c r="E881" s="33" t="n">
        <v>96</v>
      </c>
      <c r="F881" s="33" t="s">
        <v>2154</v>
      </c>
      <c r="G881" s="33" t="s">
        <v>445</v>
      </c>
      <c r="H881" s="33" t="n">
        <v>1</v>
      </c>
      <c r="I881" s="33" t="n">
        <v>1</v>
      </c>
      <c r="J881" s="33" t="n">
        <v>1</v>
      </c>
      <c r="K881" s="32" t="n">
        <v>300</v>
      </c>
      <c r="L881" s="33" t="str">
        <f aca="false">IF($B881="","",IFERROR(INDEX('Code Mapping'!$D$5:$D$1753,MATCH($B881,'Code Mapping'!$A$5:$A$1753,0)),"Unmapped"))</f>
        <v>Unmapped</v>
      </c>
      <c r="M881" s="33" t="str">
        <f aca="false">IF($B881="","",IFERROR(INDEX('Code Mapping'!$E$5:$E$1753,MATCH($B881,'Code Mapping'!$A$5:$A$1753,0)),"Unmapped"))</f>
        <v>Unmapped</v>
      </c>
      <c r="N881" s="33" t="str">
        <f aca="false">IF($F881="","",$F881)</f>
        <v>InflataCity 2025</v>
      </c>
    </row>
    <row r="882" customFormat="false" ht="15" hidden="false" customHeight="false" outlineLevel="0" collapsed="false">
      <c r="A882" s="33" t="n">
        <v>6233</v>
      </c>
      <c r="B882" s="33" t="s">
        <v>1266</v>
      </c>
      <c r="C882" s="33" t="s">
        <v>1032</v>
      </c>
      <c r="D882" s="33"/>
      <c r="E882" s="33" t="n">
        <v>96</v>
      </c>
      <c r="F882" s="33" t="s">
        <v>2154</v>
      </c>
      <c r="G882" s="33" t="s">
        <v>445</v>
      </c>
      <c r="H882" s="33" t="n">
        <v>1</v>
      </c>
      <c r="I882" s="33" t="n">
        <v>1</v>
      </c>
      <c r="J882" s="33" t="n">
        <v>1</v>
      </c>
      <c r="K882" s="32" t="n">
        <v>350</v>
      </c>
      <c r="L882" s="33" t="str">
        <f aca="false">IF($B882="","",IFERROR(INDEX('Code Mapping'!$D$5:$D$1753,MATCH($B882,'Code Mapping'!$A$5:$A$1753,0)),"Unmapped"))</f>
        <v>Unmapped</v>
      </c>
      <c r="M882" s="33" t="str">
        <f aca="false">IF($B882="","",IFERROR(INDEX('Code Mapping'!$E$5:$E$1753,MATCH($B882,'Code Mapping'!$A$5:$A$1753,0)),"Unmapped"))</f>
        <v>Unmapped</v>
      </c>
      <c r="N882" s="33" t="str">
        <f aca="false">IF($F882="","",$F882)</f>
        <v>InflataCity 2025</v>
      </c>
    </row>
    <row r="883" customFormat="false" ht="15" hidden="false" customHeight="false" outlineLevel="0" collapsed="false">
      <c r="A883" s="33" t="n">
        <v>6562</v>
      </c>
      <c r="B883" s="33" t="s">
        <v>1248</v>
      </c>
      <c r="C883" s="33" t="s">
        <v>1026</v>
      </c>
      <c r="D883" s="33"/>
      <c r="E883" s="33" t="n">
        <v>96</v>
      </c>
      <c r="F883" s="33" t="s">
        <v>2154</v>
      </c>
      <c r="G883" s="33" t="s">
        <v>445</v>
      </c>
      <c r="H883" s="33" t="n">
        <v>1</v>
      </c>
      <c r="I883" s="33" t="n">
        <v>1</v>
      </c>
      <c r="J883" s="33" t="n">
        <v>1</v>
      </c>
      <c r="K883" s="32" t="n">
        <v>75</v>
      </c>
      <c r="L883" s="33" t="str">
        <f aca="false">IF($B883="","",IFERROR(INDEX('Code Mapping'!$D$5:$D$1753,MATCH($B883,'Code Mapping'!$A$5:$A$1753,0)),"Unmapped"))</f>
        <v>Unmapped</v>
      </c>
      <c r="M883" s="33" t="str">
        <f aca="false">IF($B883="","",IFERROR(INDEX('Code Mapping'!$E$5:$E$1753,MATCH($B883,'Code Mapping'!$A$5:$A$1753,0)),"Unmapped"))</f>
        <v>Unmapped</v>
      </c>
      <c r="N883" s="33" t="str">
        <f aca="false">IF($F883="","",$F883)</f>
        <v>InflataCity 2025</v>
      </c>
    </row>
    <row r="884" customFormat="false" ht="15" hidden="false" customHeight="false" outlineLevel="0" collapsed="false">
      <c r="A884" s="33" t="n">
        <v>5850</v>
      </c>
      <c r="B884" s="33" t="s">
        <v>1265</v>
      </c>
      <c r="C884" s="33" t="s">
        <v>1028</v>
      </c>
      <c r="D884" s="33"/>
      <c r="E884" s="33" t="n">
        <v>96</v>
      </c>
      <c r="F884" s="33" t="s">
        <v>2154</v>
      </c>
      <c r="G884" s="33" t="s">
        <v>445</v>
      </c>
      <c r="H884" s="33" t="n">
        <v>1</v>
      </c>
      <c r="I884" s="33" t="n">
        <v>1</v>
      </c>
      <c r="J884" s="33" t="n">
        <v>1</v>
      </c>
      <c r="K884" s="32" t="n">
        <v>300</v>
      </c>
      <c r="L884" s="33" t="str">
        <f aca="false">IF($B884="","",IFERROR(INDEX('Code Mapping'!$D$5:$D$1753,MATCH($B884,'Code Mapping'!$A$5:$A$1753,0)),"Unmapped"))</f>
        <v>Unmapped</v>
      </c>
      <c r="M884" s="33" t="str">
        <f aca="false">IF($B884="","",IFERROR(INDEX('Code Mapping'!$E$5:$E$1753,MATCH($B884,'Code Mapping'!$A$5:$A$1753,0)),"Unmapped"))</f>
        <v>Unmapped</v>
      </c>
      <c r="N884" s="33" t="str">
        <f aca="false">IF($F884="","",$F884)</f>
        <v>InflataCity 2025</v>
      </c>
    </row>
    <row r="885" customFormat="false" ht="15" hidden="false" customHeight="false" outlineLevel="0" collapsed="false">
      <c r="A885" s="33" t="n">
        <v>6285</v>
      </c>
      <c r="B885" s="33" t="s">
        <v>1264</v>
      </c>
      <c r="C885" s="33" t="s">
        <v>1026</v>
      </c>
      <c r="D885" s="33"/>
      <c r="E885" s="33" t="n">
        <v>96</v>
      </c>
      <c r="F885" s="33" t="s">
        <v>2154</v>
      </c>
      <c r="G885" s="33" t="s">
        <v>445</v>
      </c>
      <c r="H885" s="33" t="n">
        <v>1</v>
      </c>
      <c r="I885" s="33" t="n">
        <v>1</v>
      </c>
      <c r="J885" s="33" t="n">
        <v>1</v>
      </c>
      <c r="K885" s="32" t="n">
        <v>75</v>
      </c>
      <c r="L885" s="33" t="str">
        <f aca="false">IF($B885="","",IFERROR(INDEX('Code Mapping'!$D$5:$D$1753,MATCH($B885,'Code Mapping'!$A$5:$A$1753,0)),"Unmapped"))</f>
        <v>Unmapped</v>
      </c>
      <c r="M885" s="33" t="str">
        <f aca="false">IF($B885="","",IFERROR(INDEX('Code Mapping'!$E$5:$E$1753,MATCH($B885,'Code Mapping'!$A$5:$A$1753,0)),"Unmapped"))</f>
        <v>Unmapped</v>
      </c>
      <c r="N885" s="33" t="str">
        <f aca="false">IF($F885="","",$F885)</f>
        <v>InflataCity 2025</v>
      </c>
    </row>
    <row r="886" customFormat="false" ht="15" hidden="false" customHeight="false" outlineLevel="0" collapsed="false">
      <c r="A886" s="33" t="n">
        <v>6338</v>
      </c>
      <c r="B886" s="33" t="s">
        <v>1263</v>
      </c>
      <c r="C886" s="33" t="s">
        <v>1026</v>
      </c>
      <c r="D886" s="33"/>
      <c r="E886" s="33" t="n">
        <v>96</v>
      </c>
      <c r="F886" s="33" t="s">
        <v>2154</v>
      </c>
      <c r="G886" s="33" t="s">
        <v>445</v>
      </c>
      <c r="H886" s="33" t="n">
        <v>1</v>
      </c>
      <c r="I886" s="33" t="n">
        <v>1</v>
      </c>
      <c r="J886" s="33" t="n">
        <v>1</v>
      </c>
      <c r="K886" s="32" t="n">
        <v>75</v>
      </c>
      <c r="L886" s="33" t="str">
        <f aca="false">IF($B886="","",IFERROR(INDEX('Code Mapping'!$D$5:$D$1753,MATCH($B886,'Code Mapping'!$A$5:$A$1753,0)),"Unmapped"))</f>
        <v>Unmapped</v>
      </c>
      <c r="M886" s="33" t="str">
        <f aca="false">IF($B886="","",IFERROR(INDEX('Code Mapping'!$E$5:$E$1753,MATCH($B886,'Code Mapping'!$A$5:$A$1753,0)),"Unmapped"))</f>
        <v>Unmapped</v>
      </c>
      <c r="N886" s="33" t="str">
        <f aca="false">IF($F886="","",$F886)</f>
        <v>InflataCity 2025</v>
      </c>
    </row>
    <row r="887" customFormat="false" ht="15" hidden="false" customHeight="false" outlineLevel="0" collapsed="false">
      <c r="A887" s="33" t="n">
        <v>6475</v>
      </c>
      <c r="B887" s="33" t="s">
        <v>1261</v>
      </c>
      <c r="C887" s="33" t="s">
        <v>1026</v>
      </c>
      <c r="D887" s="33"/>
      <c r="E887" s="33" t="n">
        <v>96</v>
      </c>
      <c r="F887" s="33" t="s">
        <v>2154</v>
      </c>
      <c r="G887" s="33" t="s">
        <v>445</v>
      </c>
      <c r="H887" s="33" t="n">
        <v>1</v>
      </c>
      <c r="I887" s="33" t="n">
        <v>1</v>
      </c>
      <c r="J887" s="33" t="n">
        <v>1</v>
      </c>
      <c r="K887" s="32" t="n">
        <v>75</v>
      </c>
      <c r="L887" s="33" t="str">
        <f aca="false">IF($B887="","",IFERROR(INDEX('Code Mapping'!$D$5:$D$1753,MATCH($B887,'Code Mapping'!$A$5:$A$1753,0)),"Unmapped"))</f>
        <v>Unmapped</v>
      </c>
      <c r="M887" s="33" t="str">
        <f aca="false">IF($B887="","",IFERROR(INDEX('Code Mapping'!$E$5:$E$1753,MATCH($B887,'Code Mapping'!$A$5:$A$1753,0)),"Unmapped"))</f>
        <v>Unmapped</v>
      </c>
      <c r="N887" s="33" t="str">
        <f aca="false">IF($F887="","",$F887)</f>
        <v>InflataCity 2025</v>
      </c>
    </row>
    <row r="888" customFormat="false" ht="15" hidden="false" customHeight="false" outlineLevel="0" collapsed="false">
      <c r="A888" s="33" t="n">
        <v>6208</v>
      </c>
      <c r="B888" s="33" t="s">
        <v>1258</v>
      </c>
      <c r="C888" s="33" t="s">
        <v>1032</v>
      </c>
      <c r="D888" s="33"/>
      <c r="E888" s="33" t="n">
        <v>96</v>
      </c>
      <c r="F888" s="33" t="s">
        <v>2154</v>
      </c>
      <c r="G888" s="33" t="s">
        <v>445</v>
      </c>
      <c r="H888" s="33" t="n">
        <v>1</v>
      </c>
      <c r="I888" s="33" t="n">
        <v>1</v>
      </c>
      <c r="J888" s="33" t="n">
        <v>1</v>
      </c>
      <c r="K888" s="32" t="n">
        <v>350</v>
      </c>
      <c r="L888" s="33" t="str">
        <f aca="false">IF($B888="","",IFERROR(INDEX('Code Mapping'!$D$5:$D$1753,MATCH($B888,'Code Mapping'!$A$5:$A$1753,0)),"Unmapped"))</f>
        <v>Unmapped</v>
      </c>
      <c r="M888" s="33" t="str">
        <f aca="false">IF($B888="","",IFERROR(INDEX('Code Mapping'!$E$5:$E$1753,MATCH($B888,'Code Mapping'!$A$5:$A$1753,0)),"Unmapped"))</f>
        <v>Unmapped</v>
      </c>
      <c r="N888" s="33" t="str">
        <f aca="false">IF($F888="","",$F888)</f>
        <v>InflataCity 2025</v>
      </c>
    </row>
    <row r="889" customFormat="false" ht="15" hidden="false" customHeight="false" outlineLevel="0" collapsed="false">
      <c r="A889" s="33" t="n">
        <v>6657</v>
      </c>
      <c r="B889" s="33" t="s">
        <v>1257</v>
      </c>
      <c r="C889" s="33" t="s">
        <v>1026</v>
      </c>
      <c r="D889" s="33"/>
      <c r="E889" s="33" t="n">
        <v>96</v>
      </c>
      <c r="F889" s="33" t="s">
        <v>2154</v>
      </c>
      <c r="G889" s="33" t="s">
        <v>445</v>
      </c>
      <c r="H889" s="33" t="n">
        <v>1</v>
      </c>
      <c r="I889" s="33" t="n">
        <v>1</v>
      </c>
      <c r="J889" s="33" t="n">
        <v>1</v>
      </c>
      <c r="K889" s="32" t="n">
        <v>75</v>
      </c>
      <c r="L889" s="33" t="str">
        <f aca="false">IF($B889="","",IFERROR(INDEX('Code Mapping'!$D$5:$D$1753,MATCH($B889,'Code Mapping'!$A$5:$A$1753,0)),"Unmapped"))</f>
        <v>Unmapped</v>
      </c>
      <c r="M889" s="33" t="str">
        <f aca="false">IF($B889="","",IFERROR(INDEX('Code Mapping'!$E$5:$E$1753,MATCH($B889,'Code Mapping'!$A$5:$A$1753,0)),"Unmapped"))</f>
        <v>Unmapped</v>
      </c>
      <c r="N889" s="33" t="str">
        <f aca="false">IF($F889="","",$F889)</f>
        <v>InflataCity 2025</v>
      </c>
    </row>
    <row r="890" customFormat="false" ht="15" hidden="false" customHeight="false" outlineLevel="0" collapsed="false">
      <c r="A890" s="33" t="n">
        <v>6349</v>
      </c>
      <c r="B890" s="33" t="s">
        <v>1256</v>
      </c>
      <c r="C890" s="33" t="s">
        <v>1026</v>
      </c>
      <c r="D890" s="33"/>
      <c r="E890" s="33" t="n">
        <v>96</v>
      </c>
      <c r="F890" s="33" t="s">
        <v>2154</v>
      </c>
      <c r="G890" s="33" t="s">
        <v>445</v>
      </c>
      <c r="H890" s="33" t="n">
        <v>1</v>
      </c>
      <c r="I890" s="33" t="n">
        <v>1</v>
      </c>
      <c r="J890" s="33" t="n">
        <v>1</v>
      </c>
      <c r="K890" s="32" t="n">
        <v>75</v>
      </c>
      <c r="L890" s="33" t="str">
        <f aca="false">IF($B890="","",IFERROR(INDEX('Code Mapping'!$D$5:$D$1753,MATCH($B890,'Code Mapping'!$A$5:$A$1753,0)),"Unmapped"))</f>
        <v>Unmapped</v>
      </c>
      <c r="M890" s="33" t="str">
        <f aca="false">IF($B890="","",IFERROR(INDEX('Code Mapping'!$E$5:$E$1753,MATCH($B890,'Code Mapping'!$A$5:$A$1753,0)),"Unmapped"))</f>
        <v>Unmapped</v>
      </c>
      <c r="N890" s="33" t="str">
        <f aca="false">IF($F890="","",$F890)</f>
        <v>InflataCity 2025</v>
      </c>
    </row>
    <row r="891" customFormat="false" ht="15" hidden="false" customHeight="false" outlineLevel="0" collapsed="false">
      <c r="A891" s="33" t="n">
        <v>5762</v>
      </c>
      <c r="B891" s="33" t="s">
        <v>1255</v>
      </c>
      <c r="C891" s="33" t="s">
        <v>1028</v>
      </c>
      <c r="D891" s="33"/>
      <c r="E891" s="33" t="n">
        <v>96</v>
      </c>
      <c r="F891" s="33" t="s">
        <v>2154</v>
      </c>
      <c r="G891" s="33" t="s">
        <v>445</v>
      </c>
      <c r="H891" s="33" t="n">
        <v>1</v>
      </c>
      <c r="I891" s="33" t="n">
        <v>1</v>
      </c>
      <c r="J891" s="33" t="n">
        <v>1</v>
      </c>
      <c r="K891" s="32" t="n">
        <v>300</v>
      </c>
      <c r="L891" s="33" t="str">
        <f aca="false">IF($B891="","",IFERROR(INDEX('Code Mapping'!$D$5:$D$1753,MATCH($B891,'Code Mapping'!$A$5:$A$1753,0)),"Unmapped"))</f>
        <v>Unmapped</v>
      </c>
      <c r="M891" s="33" t="str">
        <f aca="false">IF($B891="","",IFERROR(INDEX('Code Mapping'!$E$5:$E$1753,MATCH($B891,'Code Mapping'!$A$5:$A$1753,0)),"Unmapped"))</f>
        <v>Unmapped</v>
      </c>
      <c r="N891" s="33" t="str">
        <f aca="false">IF($F891="","",$F891)</f>
        <v>InflataCity 2025</v>
      </c>
    </row>
    <row r="892" customFormat="false" ht="15" hidden="false" customHeight="false" outlineLevel="0" collapsed="false">
      <c r="A892" s="33" t="n">
        <v>6540</v>
      </c>
      <c r="B892" s="33" t="s">
        <v>1254</v>
      </c>
      <c r="C892" s="33" t="s">
        <v>1026</v>
      </c>
      <c r="D892" s="33"/>
      <c r="E892" s="33" t="n">
        <v>96</v>
      </c>
      <c r="F892" s="33" t="s">
        <v>2154</v>
      </c>
      <c r="G892" s="33" t="s">
        <v>445</v>
      </c>
      <c r="H892" s="33" t="n">
        <v>1</v>
      </c>
      <c r="I892" s="33" t="n">
        <v>1</v>
      </c>
      <c r="J892" s="33" t="n">
        <v>1</v>
      </c>
      <c r="K892" s="32" t="n">
        <v>75</v>
      </c>
      <c r="L892" s="33" t="str">
        <f aca="false">IF($B892="","",IFERROR(INDEX('Code Mapping'!$D$5:$D$1753,MATCH($B892,'Code Mapping'!$A$5:$A$1753,0)),"Unmapped"))</f>
        <v>Unmapped</v>
      </c>
      <c r="M892" s="33" t="str">
        <f aca="false">IF($B892="","",IFERROR(INDEX('Code Mapping'!$E$5:$E$1753,MATCH($B892,'Code Mapping'!$A$5:$A$1753,0)),"Unmapped"))</f>
        <v>Unmapped</v>
      </c>
      <c r="N892" s="33" t="str">
        <f aca="false">IF($F892="","",$F892)</f>
        <v>InflataCity 2025</v>
      </c>
    </row>
    <row r="893" customFormat="false" ht="15" hidden="false" customHeight="false" outlineLevel="0" collapsed="false">
      <c r="A893" s="33" t="n">
        <v>6220</v>
      </c>
      <c r="B893" s="33" t="s">
        <v>1252</v>
      </c>
      <c r="C893" s="33" t="s">
        <v>1032</v>
      </c>
      <c r="D893" s="33"/>
      <c r="E893" s="33" t="n">
        <v>96</v>
      </c>
      <c r="F893" s="33" t="s">
        <v>2154</v>
      </c>
      <c r="G893" s="33" t="s">
        <v>445</v>
      </c>
      <c r="H893" s="33" t="n">
        <v>1</v>
      </c>
      <c r="I893" s="33" t="n">
        <v>1</v>
      </c>
      <c r="J893" s="33" t="n">
        <v>1</v>
      </c>
      <c r="K893" s="32" t="n">
        <v>350</v>
      </c>
      <c r="L893" s="33" t="str">
        <f aca="false">IF($B893="","",IFERROR(INDEX('Code Mapping'!$D$5:$D$1753,MATCH($B893,'Code Mapping'!$A$5:$A$1753,0)),"Unmapped"))</f>
        <v>Unmapped</v>
      </c>
      <c r="M893" s="33" t="str">
        <f aca="false">IF($B893="","",IFERROR(INDEX('Code Mapping'!$E$5:$E$1753,MATCH($B893,'Code Mapping'!$A$5:$A$1753,0)),"Unmapped"))</f>
        <v>Unmapped</v>
      </c>
      <c r="N893" s="33" t="str">
        <f aca="false">IF($F893="","",$F893)</f>
        <v>InflataCity 2025</v>
      </c>
    </row>
    <row r="894" customFormat="false" ht="15" hidden="false" customHeight="false" outlineLevel="0" collapsed="false">
      <c r="A894" s="33" t="n">
        <v>6471</v>
      </c>
      <c r="B894" s="33" t="s">
        <v>1251</v>
      </c>
      <c r="C894" s="33" t="s">
        <v>1026</v>
      </c>
      <c r="D894" s="33"/>
      <c r="E894" s="33" t="n">
        <v>96</v>
      </c>
      <c r="F894" s="33" t="s">
        <v>2154</v>
      </c>
      <c r="G894" s="33" t="s">
        <v>445</v>
      </c>
      <c r="H894" s="33" t="n">
        <v>1</v>
      </c>
      <c r="I894" s="33" t="n">
        <v>1</v>
      </c>
      <c r="J894" s="33" t="n">
        <v>1</v>
      </c>
      <c r="K894" s="32" t="n">
        <v>75</v>
      </c>
      <c r="L894" s="33" t="str">
        <f aca="false">IF($B894="","",IFERROR(INDEX('Code Mapping'!$D$5:$D$1753,MATCH($B894,'Code Mapping'!$A$5:$A$1753,0)),"Unmapped"))</f>
        <v>Unmapped</v>
      </c>
      <c r="M894" s="33" t="str">
        <f aca="false">IF($B894="","",IFERROR(INDEX('Code Mapping'!$E$5:$E$1753,MATCH($B894,'Code Mapping'!$A$5:$A$1753,0)),"Unmapped"))</f>
        <v>Unmapped</v>
      </c>
      <c r="N894" s="33" t="str">
        <f aca="false">IF($F894="","",$F894)</f>
        <v>InflataCity 2025</v>
      </c>
    </row>
    <row r="895" customFormat="false" ht="15" hidden="false" customHeight="false" outlineLevel="0" collapsed="false">
      <c r="A895" s="33" t="n">
        <v>6680</v>
      </c>
      <c r="B895" s="33" t="s">
        <v>1250</v>
      </c>
      <c r="C895" s="33" t="s">
        <v>1026</v>
      </c>
      <c r="D895" s="33"/>
      <c r="E895" s="33" t="n">
        <v>96</v>
      </c>
      <c r="F895" s="33" t="s">
        <v>2154</v>
      </c>
      <c r="G895" s="33" t="s">
        <v>445</v>
      </c>
      <c r="H895" s="33" t="n">
        <v>1</v>
      </c>
      <c r="I895" s="33" t="n">
        <v>1</v>
      </c>
      <c r="J895" s="33" t="n">
        <v>1</v>
      </c>
      <c r="K895" s="32" t="n">
        <v>75</v>
      </c>
      <c r="L895" s="33" t="str">
        <f aca="false">IF($B895="","",IFERROR(INDEX('Code Mapping'!$D$5:$D$1753,MATCH($B895,'Code Mapping'!$A$5:$A$1753,0)),"Unmapped"))</f>
        <v>Unmapped</v>
      </c>
      <c r="M895" s="33" t="str">
        <f aca="false">IF($B895="","",IFERROR(INDEX('Code Mapping'!$E$5:$E$1753,MATCH($B895,'Code Mapping'!$A$5:$A$1753,0)),"Unmapped"))</f>
        <v>Unmapped</v>
      </c>
      <c r="N895" s="33" t="str">
        <f aca="false">IF($F895="","",$F895)</f>
        <v>InflataCity 2025</v>
      </c>
    </row>
    <row r="896" customFormat="false" ht="15" hidden="false" customHeight="false" outlineLevel="0" collapsed="false">
      <c r="A896" s="33" t="n">
        <v>6482</v>
      </c>
      <c r="B896" s="33" t="s">
        <v>1281</v>
      </c>
      <c r="C896" s="33" t="s">
        <v>1026</v>
      </c>
      <c r="D896" s="33"/>
      <c r="E896" s="33" t="n">
        <v>96</v>
      </c>
      <c r="F896" s="33" t="s">
        <v>2154</v>
      </c>
      <c r="G896" s="33" t="s">
        <v>445</v>
      </c>
      <c r="H896" s="33" t="n">
        <v>1</v>
      </c>
      <c r="I896" s="33" t="n">
        <v>1</v>
      </c>
      <c r="J896" s="33" t="n">
        <v>1</v>
      </c>
      <c r="K896" s="32" t="n">
        <v>75</v>
      </c>
      <c r="L896" s="33" t="str">
        <f aca="false">IF($B896="","",IFERROR(INDEX('Code Mapping'!$D$5:$D$1753,MATCH($B896,'Code Mapping'!$A$5:$A$1753,0)),"Unmapped"))</f>
        <v>Unmapped</v>
      </c>
      <c r="M896" s="33" t="str">
        <f aca="false">IF($B896="","",IFERROR(INDEX('Code Mapping'!$E$5:$E$1753,MATCH($B896,'Code Mapping'!$A$5:$A$1753,0)),"Unmapped"))</f>
        <v>Unmapped</v>
      </c>
      <c r="N896" s="33" t="str">
        <f aca="false">IF($F896="","",$F896)</f>
        <v>InflataCity 2025</v>
      </c>
    </row>
    <row r="897" customFormat="false" ht="15" hidden="false" customHeight="false" outlineLevel="0" collapsed="false">
      <c r="A897" s="33" t="n">
        <v>6432</v>
      </c>
      <c r="B897" s="33" t="s">
        <v>1282</v>
      </c>
      <c r="C897" s="33" t="s">
        <v>1026</v>
      </c>
      <c r="D897" s="33"/>
      <c r="E897" s="33" t="n">
        <v>96</v>
      </c>
      <c r="F897" s="33" t="s">
        <v>2154</v>
      </c>
      <c r="G897" s="33" t="s">
        <v>445</v>
      </c>
      <c r="H897" s="33" t="n">
        <v>1</v>
      </c>
      <c r="I897" s="33" t="n">
        <v>1</v>
      </c>
      <c r="J897" s="33" t="n">
        <v>1</v>
      </c>
      <c r="K897" s="32" t="n">
        <v>75</v>
      </c>
      <c r="L897" s="33" t="str">
        <f aca="false">IF($B897="","",IFERROR(INDEX('Code Mapping'!$D$5:$D$1753,MATCH($B897,'Code Mapping'!$A$5:$A$1753,0)),"Unmapped"))</f>
        <v>Unmapped</v>
      </c>
      <c r="M897" s="33" t="str">
        <f aca="false">IF($B897="","",IFERROR(INDEX('Code Mapping'!$E$5:$E$1753,MATCH($B897,'Code Mapping'!$A$5:$A$1753,0)),"Unmapped"))</f>
        <v>Unmapped</v>
      </c>
      <c r="N897" s="33" t="str">
        <f aca="false">IF($F897="","",$F897)</f>
        <v>InflataCity 2025</v>
      </c>
    </row>
    <row r="898" customFormat="false" ht="15" hidden="false" customHeight="false" outlineLevel="0" collapsed="false">
      <c r="A898" s="33" t="n">
        <v>5795</v>
      </c>
      <c r="B898" s="33" t="s">
        <v>1283</v>
      </c>
      <c r="C898" s="33" t="s">
        <v>1028</v>
      </c>
      <c r="D898" s="33"/>
      <c r="E898" s="33" t="n">
        <v>96</v>
      </c>
      <c r="F898" s="33" t="s">
        <v>2154</v>
      </c>
      <c r="G898" s="33" t="s">
        <v>445</v>
      </c>
      <c r="H898" s="33" t="n">
        <v>1</v>
      </c>
      <c r="I898" s="33" t="n">
        <v>1</v>
      </c>
      <c r="J898" s="33" t="n">
        <v>1</v>
      </c>
      <c r="K898" s="32" t="n">
        <v>300</v>
      </c>
      <c r="L898" s="33" t="str">
        <f aca="false">IF($B898="","",IFERROR(INDEX('Code Mapping'!$D$5:$D$1753,MATCH($B898,'Code Mapping'!$A$5:$A$1753,0)),"Unmapped"))</f>
        <v>Unmapped</v>
      </c>
      <c r="M898" s="33" t="str">
        <f aca="false">IF($B898="","",IFERROR(INDEX('Code Mapping'!$E$5:$E$1753,MATCH($B898,'Code Mapping'!$A$5:$A$1753,0)),"Unmapped"))</f>
        <v>Unmapped</v>
      </c>
      <c r="N898" s="33" t="str">
        <f aca="false">IF($F898="","",$F898)</f>
        <v>InflataCity 2025</v>
      </c>
    </row>
    <row r="899" customFormat="false" ht="15" hidden="false" customHeight="false" outlineLevel="0" collapsed="false">
      <c r="A899" s="33" t="n">
        <v>6203</v>
      </c>
      <c r="B899" s="33" t="s">
        <v>1128</v>
      </c>
      <c r="C899" s="33" t="s">
        <v>1032</v>
      </c>
      <c r="D899" s="33"/>
      <c r="E899" s="33" t="n">
        <v>96</v>
      </c>
      <c r="F899" s="33" t="s">
        <v>2154</v>
      </c>
      <c r="G899" s="33" t="s">
        <v>445</v>
      </c>
      <c r="H899" s="33" t="n">
        <v>1</v>
      </c>
      <c r="I899" s="33" t="n">
        <v>1</v>
      </c>
      <c r="J899" s="33" t="n">
        <v>1</v>
      </c>
      <c r="K899" s="32" t="n">
        <v>350</v>
      </c>
      <c r="L899" s="33" t="str">
        <f aca="false">IF($B899="","",IFERROR(INDEX('Code Mapping'!$D$5:$D$1753,MATCH($B899,'Code Mapping'!$A$5:$A$1753,0)),"Unmapped"))</f>
        <v>Unmapped</v>
      </c>
      <c r="M899" s="33" t="str">
        <f aca="false">IF($B899="","",IFERROR(INDEX('Code Mapping'!$E$5:$E$1753,MATCH($B899,'Code Mapping'!$A$5:$A$1753,0)),"Unmapped"))</f>
        <v>Unmapped</v>
      </c>
      <c r="N899" s="33" t="str">
        <f aca="false">IF($F899="","",$F899)</f>
        <v>InflataCity 2025</v>
      </c>
    </row>
    <row r="900" customFormat="false" ht="15" hidden="false" customHeight="false" outlineLevel="0" collapsed="false">
      <c r="A900" s="33" t="n">
        <v>5802</v>
      </c>
      <c r="B900" s="33" t="s">
        <v>1309</v>
      </c>
      <c r="C900" s="33" t="s">
        <v>1028</v>
      </c>
      <c r="D900" s="33"/>
      <c r="E900" s="33" t="n">
        <v>96</v>
      </c>
      <c r="F900" s="33" t="s">
        <v>2154</v>
      </c>
      <c r="G900" s="33" t="s">
        <v>445</v>
      </c>
      <c r="H900" s="33" t="n">
        <v>1</v>
      </c>
      <c r="I900" s="33" t="n">
        <v>1</v>
      </c>
      <c r="J900" s="33" t="n">
        <v>1</v>
      </c>
      <c r="K900" s="32" t="n">
        <v>300</v>
      </c>
      <c r="L900" s="33" t="str">
        <f aca="false">IF($B900="","",IFERROR(INDEX('Code Mapping'!$D$5:$D$1753,MATCH($B900,'Code Mapping'!$A$5:$A$1753,0)),"Unmapped"))</f>
        <v>Unmapped</v>
      </c>
      <c r="M900" s="33" t="str">
        <f aca="false">IF($B900="","",IFERROR(INDEX('Code Mapping'!$E$5:$E$1753,MATCH($B900,'Code Mapping'!$A$5:$A$1753,0)),"Unmapped"))</f>
        <v>Unmapped</v>
      </c>
      <c r="N900" s="33" t="str">
        <f aca="false">IF($F900="","",$F900)</f>
        <v>InflataCity 2025</v>
      </c>
    </row>
    <row r="901" customFormat="false" ht="15" hidden="false" customHeight="false" outlineLevel="0" collapsed="false">
      <c r="A901" s="33" t="n">
        <v>6472</v>
      </c>
      <c r="B901" s="33" t="s">
        <v>1308</v>
      </c>
      <c r="C901" s="33" t="s">
        <v>1026</v>
      </c>
      <c r="D901" s="33"/>
      <c r="E901" s="33" t="n">
        <v>96</v>
      </c>
      <c r="F901" s="33" t="s">
        <v>2154</v>
      </c>
      <c r="G901" s="33" t="s">
        <v>445</v>
      </c>
      <c r="H901" s="33" t="n">
        <v>1</v>
      </c>
      <c r="I901" s="33" t="n">
        <v>1</v>
      </c>
      <c r="J901" s="33" t="n">
        <v>1</v>
      </c>
      <c r="K901" s="32" t="n">
        <v>75</v>
      </c>
      <c r="L901" s="33" t="str">
        <f aca="false">IF($B901="","",IFERROR(INDEX('Code Mapping'!$D$5:$D$1753,MATCH($B901,'Code Mapping'!$A$5:$A$1753,0)),"Unmapped"))</f>
        <v>Unmapped</v>
      </c>
      <c r="M901" s="33" t="str">
        <f aca="false">IF($B901="","",IFERROR(INDEX('Code Mapping'!$E$5:$E$1753,MATCH($B901,'Code Mapping'!$A$5:$A$1753,0)),"Unmapped"))</f>
        <v>Unmapped</v>
      </c>
      <c r="N901" s="33" t="str">
        <f aca="false">IF($F901="","",$F901)</f>
        <v>InflataCity 2025</v>
      </c>
    </row>
    <row r="902" customFormat="false" ht="15" hidden="false" customHeight="false" outlineLevel="0" collapsed="false">
      <c r="A902" s="33" t="n">
        <v>6299</v>
      </c>
      <c r="B902" s="33" t="s">
        <v>1307</v>
      </c>
      <c r="C902" s="33" t="s">
        <v>1026</v>
      </c>
      <c r="D902" s="33"/>
      <c r="E902" s="33" t="n">
        <v>96</v>
      </c>
      <c r="F902" s="33" t="s">
        <v>2154</v>
      </c>
      <c r="G902" s="33" t="s">
        <v>445</v>
      </c>
      <c r="H902" s="33" t="n">
        <v>1</v>
      </c>
      <c r="I902" s="33" t="n">
        <v>1</v>
      </c>
      <c r="J902" s="33" t="n">
        <v>1</v>
      </c>
      <c r="K902" s="32" t="n">
        <v>75</v>
      </c>
      <c r="L902" s="33" t="str">
        <f aca="false">IF($B902="","",IFERROR(INDEX('Code Mapping'!$D$5:$D$1753,MATCH($B902,'Code Mapping'!$A$5:$A$1753,0)),"Unmapped"))</f>
        <v>Unmapped</v>
      </c>
      <c r="M902" s="33" t="str">
        <f aca="false">IF($B902="","",IFERROR(INDEX('Code Mapping'!$E$5:$E$1753,MATCH($B902,'Code Mapping'!$A$5:$A$1753,0)),"Unmapped"))</f>
        <v>Unmapped</v>
      </c>
      <c r="N902" s="33" t="str">
        <f aca="false">IF($F902="","",$F902)</f>
        <v>InflataCity 2025</v>
      </c>
    </row>
    <row r="903" customFormat="false" ht="15" hidden="false" customHeight="false" outlineLevel="0" collapsed="false">
      <c r="A903" s="33" t="n">
        <v>5793</v>
      </c>
      <c r="B903" s="33" t="s">
        <v>1306</v>
      </c>
      <c r="C903" s="33" t="s">
        <v>1028</v>
      </c>
      <c r="D903" s="33"/>
      <c r="E903" s="33" t="n">
        <v>96</v>
      </c>
      <c r="F903" s="33" t="s">
        <v>2154</v>
      </c>
      <c r="G903" s="33" t="s">
        <v>445</v>
      </c>
      <c r="H903" s="33" t="n">
        <v>1</v>
      </c>
      <c r="I903" s="33" t="n">
        <v>1</v>
      </c>
      <c r="J903" s="33" t="n">
        <v>1</v>
      </c>
      <c r="K903" s="32" t="n">
        <v>300</v>
      </c>
      <c r="L903" s="33" t="str">
        <f aca="false">IF($B903="","",IFERROR(INDEX('Code Mapping'!$D$5:$D$1753,MATCH($B903,'Code Mapping'!$A$5:$A$1753,0)),"Unmapped"))</f>
        <v>Unmapped</v>
      </c>
      <c r="M903" s="33" t="str">
        <f aca="false">IF($B903="","",IFERROR(INDEX('Code Mapping'!$E$5:$E$1753,MATCH($B903,'Code Mapping'!$A$5:$A$1753,0)),"Unmapped"))</f>
        <v>Unmapped</v>
      </c>
      <c r="N903" s="33" t="str">
        <f aca="false">IF($F903="","",$F903)</f>
        <v>InflataCity 2025</v>
      </c>
    </row>
    <row r="904" customFormat="false" ht="15" hidden="false" customHeight="false" outlineLevel="0" collapsed="false">
      <c r="A904" s="33" t="n">
        <v>5849</v>
      </c>
      <c r="B904" s="33" t="s">
        <v>1305</v>
      </c>
      <c r="C904" s="33" t="s">
        <v>1028</v>
      </c>
      <c r="D904" s="33"/>
      <c r="E904" s="33" t="n">
        <v>96</v>
      </c>
      <c r="F904" s="33" t="s">
        <v>2154</v>
      </c>
      <c r="G904" s="33" t="s">
        <v>445</v>
      </c>
      <c r="H904" s="33" t="n">
        <v>1</v>
      </c>
      <c r="I904" s="33" t="n">
        <v>1</v>
      </c>
      <c r="J904" s="33" t="n">
        <v>1</v>
      </c>
      <c r="K904" s="32" t="n">
        <v>300</v>
      </c>
      <c r="L904" s="33" t="str">
        <f aca="false">IF($B904="","",IFERROR(INDEX('Code Mapping'!$D$5:$D$1753,MATCH($B904,'Code Mapping'!$A$5:$A$1753,0)),"Unmapped"))</f>
        <v>Unmapped</v>
      </c>
      <c r="M904" s="33" t="str">
        <f aca="false">IF($B904="","",IFERROR(INDEX('Code Mapping'!$E$5:$E$1753,MATCH($B904,'Code Mapping'!$A$5:$A$1753,0)),"Unmapped"))</f>
        <v>Unmapped</v>
      </c>
      <c r="N904" s="33" t="str">
        <f aca="false">IF($F904="","",$F904)</f>
        <v>InflataCity 2025</v>
      </c>
    </row>
    <row r="905" customFormat="false" ht="15" hidden="false" customHeight="false" outlineLevel="0" collapsed="false">
      <c r="A905" s="33" t="n">
        <v>6596</v>
      </c>
      <c r="B905" s="33" t="s">
        <v>1304</v>
      </c>
      <c r="C905" s="33" t="s">
        <v>1026</v>
      </c>
      <c r="D905" s="33"/>
      <c r="E905" s="33" t="n">
        <v>96</v>
      </c>
      <c r="F905" s="33" t="s">
        <v>2154</v>
      </c>
      <c r="G905" s="33" t="s">
        <v>445</v>
      </c>
      <c r="H905" s="33" t="n">
        <v>1</v>
      </c>
      <c r="I905" s="33" t="n">
        <v>1</v>
      </c>
      <c r="J905" s="33" t="n">
        <v>1</v>
      </c>
      <c r="K905" s="32" t="n">
        <v>75</v>
      </c>
      <c r="L905" s="33" t="str">
        <f aca="false">IF($B905="","",IFERROR(INDEX('Code Mapping'!$D$5:$D$1753,MATCH($B905,'Code Mapping'!$A$5:$A$1753,0)),"Unmapped"))</f>
        <v>Unmapped</v>
      </c>
      <c r="M905" s="33" t="str">
        <f aca="false">IF($B905="","",IFERROR(INDEX('Code Mapping'!$E$5:$E$1753,MATCH($B905,'Code Mapping'!$A$5:$A$1753,0)),"Unmapped"))</f>
        <v>Unmapped</v>
      </c>
      <c r="N905" s="33" t="str">
        <f aca="false">IF($F905="","",$F905)</f>
        <v>InflataCity 2025</v>
      </c>
    </row>
    <row r="906" customFormat="false" ht="15" hidden="false" customHeight="false" outlineLevel="0" collapsed="false">
      <c r="A906" s="33" t="n">
        <v>6311</v>
      </c>
      <c r="B906" s="33" t="s">
        <v>1303</v>
      </c>
      <c r="C906" s="33" t="s">
        <v>1026</v>
      </c>
      <c r="D906" s="33"/>
      <c r="E906" s="33" t="n">
        <v>96</v>
      </c>
      <c r="F906" s="33" t="s">
        <v>2154</v>
      </c>
      <c r="G906" s="33" t="s">
        <v>445</v>
      </c>
      <c r="H906" s="33" t="n">
        <v>1</v>
      </c>
      <c r="I906" s="33" t="n">
        <v>1</v>
      </c>
      <c r="J906" s="33" t="n">
        <v>1</v>
      </c>
      <c r="K906" s="32" t="n">
        <v>75</v>
      </c>
      <c r="L906" s="33" t="str">
        <f aca="false">IF($B906="","",IFERROR(INDEX('Code Mapping'!$D$5:$D$1753,MATCH($B906,'Code Mapping'!$A$5:$A$1753,0)),"Unmapped"))</f>
        <v>Unmapped</v>
      </c>
      <c r="M906" s="33" t="str">
        <f aca="false">IF($B906="","",IFERROR(INDEX('Code Mapping'!$E$5:$E$1753,MATCH($B906,'Code Mapping'!$A$5:$A$1753,0)),"Unmapped"))</f>
        <v>Unmapped</v>
      </c>
      <c r="N906" s="33" t="str">
        <f aca="false">IF($F906="","",$F906)</f>
        <v>InflataCity 2025</v>
      </c>
    </row>
    <row r="907" customFormat="false" ht="15" hidden="false" customHeight="false" outlineLevel="0" collapsed="false">
      <c r="A907" s="33" t="n">
        <v>6710</v>
      </c>
      <c r="B907" s="33" t="s">
        <v>1302</v>
      </c>
      <c r="C907" s="33" t="s">
        <v>1026</v>
      </c>
      <c r="D907" s="33"/>
      <c r="E907" s="33" t="n">
        <v>96</v>
      </c>
      <c r="F907" s="33" t="s">
        <v>2154</v>
      </c>
      <c r="G907" s="33" t="s">
        <v>445</v>
      </c>
      <c r="H907" s="33" t="n">
        <v>1</v>
      </c>
      <c r="I907" s="33" t="n">
        <v>1</v>
      </c>
      <c r="J907" s="33" t="n">
        <v>1</v>
      </c>
      <c r="K907" s="32" t="n">
        <v>75</v>
      </c>
      <c r="L907" s="33" t="str">
        <f aca="false">IF($B907="","",IFERROR(INDEX('Code Mapping'!$D$5:$D$1753,MATCH($B907,'Code Mapping'!$A$5:$A$1753,0)),"Unmapped"))</f>
        <v>Unmapped</v>
      </c>
      <c r="M907" s="33" t="str">
        <f aca="false">IF($B907="","",IFERROR(INDEX('Code Mapping'!$E$5:$E$1753,MATCH($B907,'Code Mapping'!$A$5:$A$1753,0)),"Unmapped"))</f>
        <v>Unmapped</v>
      </c>
      <c r="N907" s="33" t="str">
        <f aca="false">IF($F907="","",$F907)</f>
        <v>InflataCity 2025</v>
      </c>
    </row>
    <row r="908" customFormat="false" ht="15" hidden="false" customHeight="false" outlineLevel="0" collapsed="false">
      <c r="A908" s="33" t="n">
        <v>6317</v>
      </c>
      <c r="B908" s="33" t="s">
        <v>1301</v>
      </c>
      <c r="C908" s="33" t="s">
        <v>1026</v>
      </c>
      <c r="D908" s="33"/>
      <c r="E908" s="33" t="n">
        <v>96</v>
      </c>
      <c r="F908" s="33" t="s">
        <v>2154</v>
      </c>
      <c r="G908" s="33" t="s">
        <v>445</v>
      </c>
      <c r="H908" s="33" t="n">
        <v>1</v>
      </c>
      <c r="I908" s="33" t="n">
        <v>1</v>
      </c>
      <c r="J908" s="33" t="n">
        <v>1</v>
      </c>
      <c r="K908" s="32" t="n">
        <v>75</v>
      </c>
      <c r="L908" s="33" t="str">
        <f aca="false">IF($B908="","",IFERROR(INDEX('Code Mapping'!$D$5:$D$1753,MATCH($B908,'Code Mapping'!$A$5:$A$1753,0)),"Unmapped"))</f>
        <v>Unmapped</v>
      </c>
      <c r="M908" s="33" t="str">
        <f aca="false">IF($B908="","",IFERROR(INDEX('Code Mapping'!$E$5:$E$1753,MATCH($B908,'Code Mapping'!$A$5:$A$1753,0)),"Unmapped"))</f>
        <v>Unmapped</v>
      </c>
      <c r="N908" s="33" t="str">
        <f aca="false">IF($F908="","",$F908)</f>
        <v>InflataCity 2025</v>
      </c>
    </row>
    <row r="909" customFormat="false" ht="15" hidden="false" customHeight="false" outlineLevel="0" collapsed="false">
      <c r="A909" s="33" t="n">
        <v>6512</v>
      </c>
      <c r="B909" s="33" t="s">
        <v>1300</v>
      </c>
      <c r="C909" s="33" t="s">
        <v>1026</v>
      </c>
      <c r="D909" s="33"/>
      <c r="E909" s="33" t="n">
        <v>96</v>
      </c>
      <c r="F909" s="33" t="s">
        <v>2154</v>
      </c>
      <c r="G909" s="33" t="s">
        <v>445</v>
      </c>
      <c r="H909" s="33" t="n">
        <v>1</v>
      </c>
      <c r="I909" s="33" t="n">
        <v>1</v>
      </c>
      <c r="J909" s="33" t="n">
        <v>1</v>
      </c>
      <c r="K909" s="32" t="n">
        <v>75</v>
      </c>
      <c r="L909" s="33" t="str">
        <f aca="false">IF($B909="","",IFERROR(INDEX('Code Mapping'!$D$5:$D$1753,MATCH($B909,'Code Mapping'!$A$5:$A$1753,0)),"Unmapped"))</f>
        <v>Unmapped</v>
      </c>
      <c r="M909" s="33" t="str">
        <f aca="false">IF($B909="","",IFERROR(INDEX('Code Mapping'!$E$5:$E$1753,MATCH($B909,'Code Mapping'!$A$5:$A$1753,0)),"Unmapped"))</f>
        <v>Unmapped</v>
      </c>
      <c r="N909" s="33" t="str">
        <f aca="false">IF($F909="","",$F909)</f>
        <v>InflataCity 2025</v>
      </c>
    </row>
    <row r="910" customFormat="false" ht="15" hidden="false" customHeight="false" outlineLevel="0" collapsed="false">
      <c r="A910" s="33" t="n">
        <v>6515</v>
      </c>
      <c r="B910" s="33" t="s">
        <v>1299</v>
      </c>
      <c r="C910" s="33" t="s">
        <v>1026</v>
      </c>
      <c r="D910" s="33"/>
      <c r="E910" s="33" t="n">
        <v>96</v>
      </c>
      <c r="F910" s="33" t="s">
        <v>2154</v>
      </c>
      <c r="G910" s="33" t="s">
        <v>445</v>
      </c>
      <c r="H910" s="33" t="n">
        <v>1</v>
      </c>
      <c r="I910" s="33" t="n">
        <v>1</v>
      </c>
      <c r="J910" s="33" t="n">
        <v>1</v>
      </c>
      <c r="K910" s="32" t="n">
        <v>75</v>
      </c>
      <c r="L910" s="33" t="str">
        <f aca="false">IF($B910="","",IFERROR(INDEX('Code Mapping'!$D$5:$D$1753,MATCH($B910,'Code Mapping'!$A$5:$A$1753,0)),"Unmapped"))</f>
        <v>Unmapped</v>
      </c>
      <c r="M910" s="33" t="str">
        <f aca="false">IF($B910="","",IFERROR(INDEX('Code Mapping'!$E$5:$E$1753,MATCH($B910,'Code Mapping'!$A$5:$A$1753,0)),"Unmapped"))</f>
        <v>Unmapped</v>
      </c>
      <c r="N910" s="33" t="str">
        <f aca="false">IF($F910="","",$F910)</f>
        <v>InflataCity 2025</v>
      </c>
    </row>
    <row r="911" customFormat="false" ht="15" hidden="false" customHeight="false" outlineLevel="0" collapsed="false">
      <c r="A911" s="33" t="n">
        <v>5725</v>
      </c>
      <c r="B911" s="33" t="s">
        <v>1298</v>
      </c>
      <c r="C911" s="33" t="s">
        <v>1028</v>
      </c>
      <c r="D911" s="33"/>
      <c r="E911" s="33" t="n">
        <v>96</v>
      </c>
      <c r="F911" s="33" t="s">
        <v>2154</v>
      </c>
      <c r="G911" s="33" t="s">
        <v>445</v>
      </c>
      <c r="H911" s="33" t="n">
        <v>1</v>
      </c>
      <c r="I911" s="33" t="n">
        <v>1</v>
      </c>
      <c r="J911" s="33" t="n">
        <v>1</v>
      </c>
      <c r="K911" s="32" t="n">
        <v>300</v>
      </c>
      <c r="L911" s="33" t="str">
        <f aca="false">IF($B911="","",IFERROR(INDEX('Code Mapping'!$D$5:$D$1753,MATCH($B911,'Code Mapping'!$A$5:$A$1753,0)),"Unmapped"))</f>
        <v>Unmapped</v>
      </c>
      <c r="M911" s="33" t="str">
        <f aca="false">IF($B911="","",IFERROR(INDEX('Code Mapping'!$E$5:$E$1753,MATCH($B911,'Code Mapping'!$A$5:$A$1753,0)),"Unmapped"))</f>
        <v>Unmapped</v>
      </c>
      <c r="N911" s="33" t="str">
        <f aca="false">IF($F911="","",$F911)</f>
        <v>InflataCity 2025</v>
      </c>
    </row>
    <row r="912" customFormat="false" ht="15" hidden="false" customHeight="false" outlineLevel="0" collapsed="false">
      <c r="A912" s="33" t="n">
        <v>5585</v>
      </c>
      <c r="B912" s="33" t="s">
        <v>1297</v>
      </c>
      <c r="C912" s="33" t="s">
        <v>1028</v>
      </c>
      <c r="D912" s="33"/>
      <c r="E912" s="33" t="n">
        <v>96</v>
      </c>
      <c r="F912" s="33" t="s">
        <v>2154</v>
      </c>
      <c r="G912" s="33" t="s">
        <v>445</v>
      </c>
      <c r="H912" s="33" t="n">
        <v>1</v>
      </c>
      <c r="I912" s="33" t="n">
        <v>1</v>
      </c>
      <c r="J912" s="33" t="n">
        <v>1</v>
      </c>
      <c r="K912" s="32" t="n">
        <v>300</v>
      </c>
      <c r="L912" s="33" t="str">
        <f aca="false">IF($B912="","",IFERROR(INDEX('Code Mapping'!$D$5:$D$1753,MATCH($B912,'Code Mapping'!$A$5:$A$1753,0)),"Unmapped"))</f>
        <v>Unmapped</v>
      </c>
      <c r="M912" s="33" t="str">
        <f aca="false">IF($B912="","",IFERROR(INDEX('Code Mapping'!$E$5:$E$1753,MATCH($B912,'Code Mapping'!$A$5:$A$1753,0)),"Unmapped"))</f>
        <v>Unmapped</v>
      </c>
      <c r="N912" s="33" t="str">
        <f aca="false">IF($F912="","",$F912)</f>
        <v>InflataCity 2025</v>
      </c>
    </row>
    <row r="913" customFormat="false" ht="15" hidden="false" customHeight="false" outlineLevel="0" collapsed="false">
      <c r="A913" s="33" t="n">
        <v>6529</v>
      </c>
      <c r="B913" s="33" t="s">
        <v>1296</v>
      </c>
      <c r="C913" s="33" t="s">
        <v>1026</v>
      </c>
      <c r="D913" s="33"/>
      <c r="E913" s="33" t="n">
        <v>96</v>
      </c>
      <c r="F913" s="33" t="s">
        <v>2154</v>
      </c>
      <c r="G913" s="33" t="s">
        <v>445</v>
      </c>
      <c r="H913" s="33" t="n">
        <v>1</v>
      </c>
      <c r="I913" s="33" t="n">
        <v>1</v>
      </c>
      <c r="J913" s="33" t="n">
        <v>1</v>
      </c>
      <c r="K913" s="32" t="n">
        <v>75</v>
      </c>
      <c r="L913" s="33" t="str">
        <f aca="false">IF($B913="","",IFERROR(INDEX('Code Mapping'!$D$5:$D$1753,MATCH($B913,'Code Mapping'!$A$5:$A$1753,0)),"Unmapped"))</f>
        <v>Unmapped</v>
      </c>
      <c r="M913" s="33" t="str">
        <f aca="false">IF($B913="","",IFERROR(INDEX('Code Mapping'!$E$5:$E$1753,MATCH($B913,'Code Mapping'!$A$5:$A$1753,0)),"Unmapped"))</f>
        <v>Unmapped</v>
      </c>
      <c r="N913" s="33" t="str">
        <f aca="false">IF($F913="","",$F913)</f>
        <v>InflataCity 2025</v>
      </c>
    </row>
    <row r="914" customFormat="false" ht="15" hidden="false" customHeight="false" outlineLevel="0" collapsed="false">
      <c r="A914" s="33" t="n">
        <v>6281</v>
      </c>
      <c r="B914" s="33" t="s">
        <v>1295</v>
      </c>
      <c r="C914" s="33" t="s">
        <v>1026</v>
      </c>
      <c r="D914" s="33"/>
      <c r="E914" s="33" t="n">
        <v>96</v>
      </c>
      <c r="F914" s="33" t="s">
        <v>2154</v>
      </c>
      <c r="G914" s="33" t="s">
        <v>445</v>
      </c>
      <c r="H914" s="33" t="n">
        <v>1</v>
      </c>
      <c r="I914" s="33" t="n">
        <v>1</v>
      </c>
      <c r="J914" s="33" t="n">
        <v>1</v>
      </c>
      <c r="K914" s="32" t="n">
        <v>75</v>
      </c>
      <c r="L914" s="33" t="str">
        <f aca="false">IF($B914="","",IFERROR(INDEX('Code Mapping'!$D$5:$D$1753,MATCH($B914,'Code Mapping'!$A$5:$A$1753,0)),"Unmapped"))</f>
        <v>Unmapped</v>
      </c>
      <c r="M914" s="33" t="str">
        <f aca="false">IF($B914="","",IFERROR(INDEX('Code Mapping'!$E$5:$E$1753,MATCH($B914,'Code Mapping'!$A$5:$A$1753,0)),"Unmapped"))</f>
        <v>Unmapped</v>
      </c>
      <c r="N914" s="33" t="str">
        <f aca="false">IF($F914="","",$F914)</f>
        <v>InflataCity 2025</v>
      </c>
    </row>
    <row r="915" customFormat="false" ht="15" hidden="false" customHeight="false" outlineLevel="0" collapsed="false">
      <c r="A915" s="33" t="n">
        <v>6359</v>
      </c>
      <c r="B915" s="33" t="s">
        <v>1294</v>
      </c>
      <c r="C915" s="33" t="s">
        <v>1026</v>
      </c>
      <c r="D915" s="33"/>
      <c r="E915" s="33" t="n">
        <v>96</v>
      </c>
      <c r="F915" s="33" t="s">
        <v>2154</v>
      </c>
      <c r="G915" s="33" t="s">
        <v>445</v>
      </c>
      <c r="H915" s="33" t="n">
        <v>1</v>
      </c>
      <c r="I915" s="33" t="n">
        <v>1</v>
      </c>
      <c r="J915" s="33" t="n">
        <v>1</v>
      </c>
      <c r="K915" s="32" t="n">
        <v>75</v>
      </c>
      <c r="L915" s="33" t="str">
        <f aca="false">IF($B915="","",IFERROR(INDEX('Code Mapping'!$D$5:$D$1753,MATCH($B915,'Code Mapping'!$A$5:$A$1753,0)),"Unmapped"))</f>
        <v>Unmapped</v>
      </c>
      <c r="M915" s="33" t="str">
        <f aca="false">IF($B915="","",IFERROR(INDEX('Code Mapping'!$E$5:$E$1753,MATCH($B915,'Code Mapping'!$A$5:$A$1753,0)),"Unmapped"))</f>
        <v>Unmapped</v>
      </c>
      <c r="N915" s="33" t="str">
        <f aca="false">IF($F915="","",$F915)</f>
        <v>InflataCity 2025</v>
      </c>
    </row>
    <row r="916" customFormat="false" ht="15" hidden="false" customHeight="false" outlineLevel="0" collapsed="false">
      <c r="A916" s="33" t="n">
        <v>6156</v>
      </c>
      <c r="B916" s="33" t="s">
        <v>1293</v>
      </c>
      <c r="C916" s="33" t="s">
        <v>1032</v>
      </c>
      <c r="D916" s="33"/>
      <c r="E916" s="33" t="n">
        <v>96</v>
      </c>
      <c r="F916" s="33" t="s">
        <v>2154</v>
      </c>
      <c r="G916" s="33" t="s">
        <v>445</v>
      </c>
      <c r="H916" s="33" t="n">
        <v>1</v>
      </c>
      <c r="I916" s="33" t="n">
        <v>1</v>
      </c>
      <c r="J916" s="33" t="n">
        <v>1</v>
      </c>
      <c r="K916" s="32" t="n">
        <v>350</v>
      </c>
      <c r="L916" s="33" t="str">
        <f aca="false">IF($B916="","",IFERROR(INDEX('Code Mapping'!$D$5:$D$1753,MATCH($B916,'Code Mapping'!$A$5:$A$1753,0)),"Unmapped"))</f>
        <v>Unmapped</v>
      </c>
      <c r="M916" s="33" t="str">
        <f aca="false">IF($B916="","",IFERROR(INDEX('Code Mapping'!$E$5:$E$1753,MATCH($B916,'Code Mapping'!$A$5:$A$1753,0)),"Unmapped"))</f>
        <v>Unmapped</v>
      </c>
      <c r="N916" s="33" t="str">
        <f aca="false">IF($F916="","",$F916)</f>
        <v>InflataCity 2025</v>
      </c>
    </row>
    <row r="917" customFormat="false" ht="15" hidden="false" customHeight="false" outlineLevel="0" collapsed="false">
      <c r="A917" s="33" t="n">
        <v>5787</v>
      </c>
      <c r="B917" s="33" t="s">
        <v>1292</v>
      </c>
      <c r="C917" s="33" t="s">
        <v>1028</v>
      </c>
      <c r="D917" s="33"/>
      <c r="E917" s="33" t="n">
        <v>96</v>
      </c>
      <c r="F917" s="33" t="s">
        <v>2154</v>
      </c>
      <c r="G917" s="33" t="s">
        <v>445</v>
      </c>
      <c r="H917" s="33" t="n">
        <v>1</v>
      </c>
      <c r="I917" s="33" t="n">
        <v>1</v>
      </c>
      <c r="J917" s="33" t="n">
        <v>1</v>
      </c>
      <c r="K917" s="32" t="n">
        <v>300</v>
      </c>
      <c r="L917" s="33" t="str">
        <f aca="false">IF($B917="","",IFERROR(INDEX('Code Mapping'!$D$5:$D$1753,MATCH($B917,'Code Mapping'!$A$5:$A$1753,0)),"Unmapped"))</f>
        <v>Unmapped</v>
      </c>
      <c r="M917" s="33" t="str">
        <f aca="false">IF($B917="","",IFERROR(INDEX('Code Mapping'!$E$5:$E$1753,MATCH($B917,'Code Mapping'!$A$5:$A$1753,0)),"Unmapped"))</f>
        <v>Unmapped</v>
      </c>
      <c r="N917" s="33" t="str">
        <f aca="false">IF($F917="","",$F917)</f>
        <v>InflataCity 2025</v>
      </c>
    </row>
    <row r="918" customFormat="false" ht="15" hidden="false" customHeight="false" outlineLevel="0" collapsed="false">
      <c r="A918" s="33" t="n">
        <v>6506</v>
      </c>
      <c r="B918" s="33" t="s">
        <v>1291</v>
      </c>
      <c r="C918" s="33" t="s">
        <v>1026</v>
      </c>
      <c r="D918" s="33"/>
      <c r="E918" s="33" t="n">
        <v>96</v>
      </c>
      <c r="F918" s="33" t="s">
        <v>2154</v>
      </c>
      <c r="G918" s="33" t="s">
        <v>445</v>
      </c>
      <c r="H918" s="33" t="n">
        <v>1</v>
      </c>
      <c r="I918" s="33" t="n">
        <v>1</v>
      </c>
      <c r="J918" s="33" t="n">
        <v>1</v>
      </c>
      <c r="K918" s="32" t="n">
        <v>75</v>
      </c>
      <c r="L918" s="33" t="str">
        <f aca="false">IF($B918="","",IFERROR(INDEX('Code Mapping'!$D$5:$D$1753,MATCH($B918,'Code Mapping'!$A$5:$A$1753,0)),"Unmapped"))</f>
        <v>Unmapped</v>
      </c>
      <c r="M918" s="33" t="str">
        <f aca="false">IF($B918="","",IFERROR(INDEX('Code Mapping'!$E$5:$E$1753,MATCH($B918,'Code Mapping'!$A$5:$A$1753,0)),"Unmapped"))</f>
        <v>Unmapped</v>
      </c>
      <c r="N918" s="33" t="str">
        <f aca="false">IF($F918="","",$F918)</f>
        <v>InflataCity 2025</v>
      </c>
    </row>
    <row r="919" customFormat="false" ht="15" hidden="false" customHeight="false" outlineLevel="0" collapsed="false">
      <c r="A919" s="33" t="n">
        <v>6205</v>
      </c>
      <c r="B919" s="33" t="s">
        <v>1290</v>
      </c>
      <c r="C919" s="33" t="s">
        <v>1032</v>
      </c>
      <c r="D919" s="33"/>
      <c r="E919" s="33" t="n">
        <v>96</v>
      </c>
      <c r="F919" s="33" t="s">
        <v>2154</v>
      </c>
      <c r="G919" s="33" t="s">
        <v>445</v>
      </c>
      <c r="H919" s="33" t="n">
        <v>1</v>
      </c>
      <c r="I919" s="33" t="n">
        <v>1</v>
      </c>
      <c r="J919" s="33" t="n">
        <v>1</v>
      </c>
      <c r="K919" s="32" t="n">
        <v>350</v>
      </c>
      <c r="L919" s="33" t="str">
        <f aca="false">IF($B919="","",IFERROR(INDEX('Code Mapping'!$D$5:$D$1753,MATCH($B919,'Code Mapping'!$A$5:$A$1753,0)),"Unmapped"))</f>
        <v>Unmapped</v>
      </c>
      <c r="M919" s="33" t="str">
        <f aca="false">IF($B919="","",IFERROR(INDEX('Code Mapping'!$E$5:$E$1753,MATCH($B919,'Code Mapping'!$A$5:$A$1753,0)),"Unmapped"))</f>
        <v>Unmapped</v>
      </c>
      <c r="N919" s="33" t="str">
        <f aca="false">IF($F919="","",$F919)</f>
        <v>InflataCity 2025</v>
      </c>
    </row>
    <row r="920" customFormat="false" ht="15" hidden="false" customHeight="false" outlineLevel="0" collapsed="false">
      <c r="A920" s="33" t="n">
        <v>6679</v>
      </c>
      <c r="B920" s="33" t="s">
        <v>1289</v>
      </c>
      <c r="C920" s="33" t="s">
        <v>1026</v>
      </c>
      <c r="D920" s="33"/>
      <c r="E920" s="33" t="n">
        <v>96</v>
      </c>
      <c r="F920" s="33" t="s">
        <v>2154</v>
      </c>
      <c r="G920" s="33" t="s">
        <v>445</v>
      </c>
      <c r="H920" s="33" t="n">
        <v>1</v>
      </c>
      <c r="I920" s="33" t="n">
        <v>1</v>
      </c>
      <c r="J920" s="33" t="n">
        <v>1</v>
      </c>
      <c r="K920" s="32" t="n">
        <v>75</v>
      </c>
      <c r="L920" s="33" t="str">
        <f aca="false">IF($B920="","",IFERROR(INDEX('Code Mapping'!$D$5:$D$1753,MATCH($B920,'Code Mapping'!$A$5:$A$1753,0)),"Unmapped"))</f>
        <v>Unmapped</v>
      </c>
      <c r="M920" s="33" t="str">
        <f aca="false">IF($B920="","",IFERROR(INDEX('Code Mapping'!$E$5:$E$1753,MATCH($B920,'Code Mapping'!$A$5:$A$1753,0)),"Unmapped"))</f>
        <v>Unmapped</v>
      </c>
      <c r="N920" s="33" t="str">
        <f aca="false">IF($F920="","",$F920)</f>
        <v>InflataCity 2025</v>
      </c>
    </row>
    <row r="921" customFormat="false" ht="15" hidden="false" customHeight="false" outlineLevel="0" collapsed="false">
      <c r="A921" s="33" t="n">
        <v>6325</v>
      </c>
      <c r="B921" s="33" t="s">
        <v>1288</v>
      </c>
      <c r="C921" s="33" t="s">
        <v>1026</v>
      </c>
      <c r="D921" s="33"/>
      <c r="E921" s="33" t="n">
        <v>96</v>
      </c>
      <c r="F921" s="33" t="s">
        <v>2154</v>
      </c>
      <c r="G921" s="33" t="s">
        <v>445</v>
      </c>
      <c r="H921" s="33" t="n">
        <v>1</v>
      </c>
      <c r="I921" s="33" t="n">
        <v>1</v>
      </c>
      <c r="J921" s="33" t="n">
        <v>1</v>
      </c>
      <c r="K921" s="32" t="n">
        <v>75</v>
      </c>
      <c r="L921" s="33" t="str">
        <f aca="false">IF($B921="","",IFERROR(INDEX('Code Mapping'!$D$5:$D$1753,MATCH($B921,'Code Mapping'!$A$5:$A$1753,0)),"Unmapped"))</f>
        <v>Unmapped</v>
      </c>
      <c r="M921" s="33" t="str">
        <f aca="false">IF($B921="","",IFERROR(INDEX('Code Mapping'!$E$5:$E$1753,MATCH($B921,'Code Mapping'!$A$5:$A$1753,0)),"Unmapped"))</f>
        <v>Unmapped</v>
      </c>
      <c r="N921" s="33" t="str">
        <f aca="false">IF($F921="","",$F921)</f>
        <v>InflataCity 2025</v>
      </c>
    </row>
    <row r="922" customFormat="false" ht="15" hidden="false" customHeight="false" outlineLevel="0" collapsed="false">
      <c r="A922" s="33" t="n">
        <v>6315</v>
      </c>
      <c r="B922" s="33" t="s">
        <v>1287</v>
      </c>
      <c r="C922" s="33" t="s">
        <v>1026</v>
      </c>
      <c r="D922" s="33"/>
      <c r="E922" s="33" t="n">
        <v>96</v>
      </c>
      <c r="F922" s="33" t="s">
        <v>2154</v>
      </c>
      <c r="G922" s="33" t="s">
        <v>445</v>
      </c>
      <c r="H922" s="33" t="n">
        <v>1</v>
      </c>
      <c r="I922" s="33" t="n">
        <v>1</v>
      </c>
      <c r="J922" s="33" t="n">
        <v>1</v>
      </c>
      <c r="K922" s="32" t="n">
        <v>75</v>
      </c>
      <c r="L922" s="33" t="str">
        <f aca="false">IF($B922="","",IFERROR(INDEX('Code Mapping'!$D$5:$D$1753,MATCH($B922,'Code Mapping'!$A$5:$A$1753,0)),"Unmapped"))</f>
        <v>Unmapped</v>
      </c>
      <c r="M922" s="33" t="str">
        <f aca="false">IF($B922="","",IFERROR(INDEX('Code Mapping'!$E$5:$E$1753,MATCH($B922,'Code Mapping'!$A$5:$A$1753,0)),"Unmapped"))</f>
        <v>Unmapped</v>
      </c>
      <c r="N922" s="33" t="str">
        <f aca="false">IF($F922="","",$F922)</f>
        <v>InflataCity 2025</v>
      </c>
    </row>
    <row r="923" customFormat="false" ht="15" hidden="false" customHeight="false" outlineLevel="0" collapsed="false">
      <c r="A923" s="33" t="n">
        <v>6279</v>
      </c>
      <c r="B923" s="33" t="s">
        <v>1286</v>
      </c>
      <c r="C923" s="33" t="s">
        <v>1026</v>
      </c>
      <c r="D923" s="33"/>
      <c r="E923" s="33" t="n">
        <v>96</v>
      </c>
      <c r="F923" s="33" t="s">
        <v>2154</v>
      </c>
      <c r="G923" s="33" t="s">
        <v>445</v>
      </c>
      <c r="H923" s="33" t="n">
        <v>1</v>
      </c>
      <c r="I923" s="33" t="n">
        <v>1</v>
      </c>
      <c r="J923" s="33" t="n">
        <v>1</v>
      </c>
      <c r="K923" s="32" t="n">
        <v>75</v>
      </c>
      <c r="L923" s="33" t="str">
        <f aca="false">IF($B923="","",IFERROR(INDEX('Code Mapping'!$D$5:$D$1753,MATCH($B923,'Code Mapping'!$A$5:$A$1753,0)),"Unmapped"))</f>
        <v>Unmapped</v>
      </c>
      <c r="M923" s="33" t="str">
        <f aca="false">IF($B923="","",IFERROR(INDEX('Code Mapping'!$E$5:$E$1753,MATCH($B923,'Code Mapping'!$A$5:$A$1753,0)),"Unmapped"))</f>
        <v>Unmapped</v>
      </c>
      <c r="N923" s="33" t="str">
        <f aca="false">IF($F923="","",$F923)</f>
        <v>InflataCity 2025</v>
      </c>
    </row>
    <row r="924" customFormat="false" ht="15" hidden="false" customHeight="false" outlineLevel="0" collapsed="false">
      <c r="A924" s="33" t="n">
        <v>6593</v>
      </c>
      <c r="B924" s="33" t="s">
        <v>1285</v>
      </c>
      <c r="C924" s="33" t="s">
        <v>1026</v>
      </c>
      <c r="D924" s="33"/>
      <c r="E924" s="33" t="n">
        <v>96</v>
      </c>
      <c r="F924" s="33" t="s">
        <v>2154</v>
      </c>
      <c r="G924" s="33" t="s">
        <v>445</v>
      </c>
      <c r="H924" s="33" t="n">
        <v>1</v>
      </c>
      <c r="I924" s="33" t="n">
        <v>1</v>
      </c>
      <c r="J924" s="33" t="n">
        <v>1</v>
      </c>
      <c r="K924" s="32" t="n">
        <v>75</v>
      </c>
      <c r="L924" s="33" t="str">
        <f aca="false">IF($B924="","",IFERROR(INDEX('Code Mapping'!$D$5:$D$1753,MATCH($B924,'Code Mapping'!$A$5:$A$1753,0)),"Unmapped"))</f>
        <v>Unmapped</v>
      </c>
      <c r="M924" s="33" t="str">
        <f aca="false">IF($B924="","",IFERROR(INDEX('Code Mapping'!$E$5:$E$1753,MATCH($B924,'Code Mapping'!$A$5:$A$1753,0)),"Unmapped"))</f>
        <v>Unmapped</v>
      </c>
      <c r="N924" s="33" t="str">
        <f aca="false">IF($F924="","",$F924)</f>
        <v>InflataCity 2025</v>
      </c>
    </row>
    <row r="925" customFormat="false" ht="15" hidden="false" customHeight="false" outlineLevel="0" collapsed="false">
      <c r="A925" s="33" t="n">
        <v>6574</v>
      </c>
      <c r="B925" s="33" t="s">
        <v>1249</v>
      </c>
      <c r="C925" s="33" t="s">
        <v>1026</v>
      </c>
      <c r="D925" s="33"/>
      <c r="E925" s="33" t="n">
        <v>96</v>
      </c>
      <c r="F925" s="33" t="s">
        <v>2154</v>
      </c>
      <c r="G925" s="33" t="s">
        <v>445</v>
      </c>
      <c r="H925" s="33" t="n">
        <v>1</v>
      </c>
      <c r="I925" s="33" t="n">
        <v>1</v>
      </c>
      <c r="J925" s="33" t="n">
        <v>1</v>
      </c>
      <c r="K925" s="32" t="n">
        <v>75</v>
      </c>
      <c r="L925" s="33" t="str">
        <f aca="false">IF($B925="","",IFERROR(INDEX('Code Mapping'!$D$5:$D$1753,MATCH($B925,'Code Mapping'!$A$5:$A$1753,0)),"Unmapped"))</f>
        <v>Unmapped</v>
      </c>
      <c r="M925" s="33" t="str">
        <f aca="false">IF($B925="","",IFERROR(INDEX('Code Mapping'!$E$5:$E$1753,MATCH($B925,'Code Mapping'!$A$5:$A$1753,0)),"Unmapped"))</f>
        <v>Unmapped</v>
      </c>
      <c r="N925" s="33" t="str">
        <f aca="false">IF($F925="","",$F925)</f>
        <v>InflataCity 2025</v>
      </c>
    </row>
    <row r="926" customFormat="false" ht="15" hidden="false" customHeight="false" outlineLevel="0" collapsed="false">
      <c r="A926" s="33" t="n">
        <v>6495</v>
      </c>
      <c r="B926" s="33" t="s">
        <v>1284</v>
      </c>
      <c r="C926" s="33" t="s">
        <v>1026</v>
      </c>
      <c r="D926" s="33"/>
      <c r="E926" s="33" t="n">
        <v>96</v>
      </c>
      <c r="F926" s="33" t="s">
        <v>2154</v>
      </c>
      <c r="G926" s="33" t="s">
        <v>445</v>
      </c>
      <c r="H926" s="33" t="n">
        <v>1</v>
      </c>
      <c r="I926" s="33" t="n">
        <v>1</v>
      </c>
      <c r="J926" s="33" t="n">
        <v>1</v>
      </c>
      <c r="K926" s="32" t="n">
        <v>75</v>
      </c>
      <c r="L926" s="33" t="str">
        <f aca="false">IF($B926="","",IFERROR(INDEX('Code Mapping'!$D$5:$D$1753,MATCH($B926,'Code Mapping'!$A$5:$A$1753,0)),"Unmapped"))</f>
        <v>Unmapped</v>
      </c>
      <c r="M926" s="33" t="str">
        <f aca="false">IF($B926="","",IFERROR(INDEX('Code Mapping'!$E$5:$E$1753,MATCH($B926,'Code Mapping'!$A$5:$A$1753,0)),"Unmapped"))</f>
        <v>Unmapped</v>
      </c>
      <c r="N926" s="33" t="str">
        <f aca="false">IF($F926="","",$F926)</f>
        <v>InflataCity 2025</v>
      </c>
    </row>
    <row r="927" customFormat="false" ht="15" hidden="false" customHeight="false" outlineLevel="0" collapsed="false">
      <c r="A927" s="33" t="n">
        <v>6234</v>
      </c>
      <c r="B927" s="33" t="s">
        <v>1247</v>
      </c>
      <c r="C927" s="33" t="s">
        <v>1032</v>
      </c>
      <c r="D927" s="33"/>
      <c r="E927" s="33" t="n">
        <v>96</v>
      </c>
      <c r="F927" s="33" t="s">
        <v>2154</v>
      </c>
      <c r="G927" s="33" t="s">
        <v>445</v>
      </c>
      <c r="H927" s="33" t="n">
        <v>1</v>
      </c>
      <c r="I927" s="33" t="n">
        <v>1</v>
      </c>
      <c r="J927" s="33" t="n">
        <v>1</v>
      </c>
      <c r="K927" s="32" t="n">
        <v>350</v>
      </c>
      <c r="L927" s="33" t="str">
        <f aca="false">IF($B927="","",IFERROR(INDEX('Code Mapping'!$D$5:$D$1753,MATCH($B927,'Code Mapping'!$A$5:$A$1753,0)),"Unmapped"))</f>
        <v>Unmapped</v>
      </c>
      <c r="M927" s="33" t="str">
        <f aca="false">IF($B927="","",IFERROR(INDEX('Code Mapping'!$E$5:$E$1753,MATCH($B927,'Code Mapping'!$A$5:$A$1753,0)),"Unmapped"))</f>
        <v>Unmapped</v>
      </c>
      <c r="N927" s="33" t="str">
        <f aca="false">IF($F927="","",$F927)</f>
        <v>InflataCity 2025</v>
      </c>
    </row>
    <row r="928" customFormat="false" ht="15" hidden="false" customHeight="false" outlineLevel="0" collapsed="false">
      <c r="A928" s="33" t="n">
        <v>6271</v>
      </c>
      <c r="B928" s="33" t="s">
        <v>1199</v>
      </c>
      <c r="C928" s="33" t="s">
        <v>1026</v>
      </c>
      <c r="D928" s="33"/>
      <c r="E928" s="33" t="n">
        <v>96</v>
      </c>
      <c r="F928" s="33" t="s">
        <v>2154</v>
      </c>
      <c r="G928" s="33" t="s">
        <v>445</v>
      </c>
      <c r="H928" s="33" t="n">
        <v>1</v>
      </c>
      <c r="I928" s="33" t="n">
        <v>1</v>
      </c>
      <c r="J928" s="33" t="n">
        <v>1</v>
      </c>
      <c r="K928" s="32" t="n">
        <v>75</v>
      </c>
      <c r="L928" s="33" t="str">
        <f aca="false">IF($B928="","",IFERROR(INDEX('Code Mapping'!$D$5:$D$1753,MATCH($B928,'Code Mapping'!$A$5:$A$1753,0)),"Unmapped"))</f>
        <v>Unmapped</v>
      </c>
      <c r="M928" s="33" t="str">
        <f aca="false">IF($B928="","",IFERROR(INDEX('Code Mapping'!$E$5:$E$1753,MATCH($B928,'Code Mapping'!$A$5:$A$1753,0)),"Unmapped"))</f>
        <v>Unmapped</v>
      </c>
      <c r="N928" s="33" t="str">
        <f aca="false">IF($F928="","",$F928)</f>
        <v>InflataCity 2025</v>
      </c>
    </row>
    <row r="929" customFormat="false" ht="15" hidden="false" customHeight="false" outlineLevel="0" collapsed="false">
      <c r="A929" s="33" t="n">
        <v>6481</v>
      </c>
      <c r="B929" s="33" t="s">
        <v>1215</v>
      </c>
      <c r="C929" s="33" t="s">
        <v>1026</v>
      </c>
      <c r="D929" s="33"/>
      <c r="E929" s="33" t="n">
        <v>96</v>
      </c>
      <c r="F929" s="33" t="s">
        <v>2154</v>
      </c>
      <c r="G929" s="33" t="s">
        <v>445</v>
      </c>
      <c r="H929" s="33" t="n">
        <v>1</v>
      </c>
      <c r="I929" s="33" t="n">
        <v>1</v>
      </c>
      <c r="J929" s="33" t="n">
        <v>1</v>
      </c>
      <c r="K929" s="32" t="n">
        <v>75</v>
      </c>
      <c r="L929" s="33" t="str">
        <f aca="false">IF($B929="","",IFERROR(INDEX('Code Mapping'!$D$5:$D$1753,MATCH($B929,'Code Mapping'!$A$5:$A$1753,0)),"Unmapped"))</f>
        <v>Unmapped</v>
      </c>
      <c r="M929" s="33" t="str">
        <f aca="false">IF($B929="","",IFERROR(INDEX('Code Mapping'!$E$5:$E$1753,MATCH($B929,'Code Mapping'!$A$5:$A$1753,0)),"Unmapped"))</f>
        <v>Unmapped</v>
      </c>
      <c r="N929" s="33" t="str">
        <f aca="false">IF($F929="","",$F929)</f>
        <v>InflataCity 2025</v>
      </c>
    </row>
    <row r="930" customFormat="false" ht="15" hidden="false" customHeight="false" outlineLevel="0" collapsed="false">
      <c r="A930" s="33" t="n">
        <v>5738</v>
      </c>
      <c r="B930" s="33" t="s">
        <v>1214</v>
      </c>
      <c r="C930" s="33" t="s">
        <v>1028</v>
      </c>
      <c r="D930" s="33"/>
      <c r="E930" s="33" t="n">
        <v>96</v>
      </c>
      <c r="F930" s="33" t="s">
        <v>2154</v>
      </c>
      <c r="G930" s="33" t="s">
        <v>445</v>
      </c>
      <c r="H930" s="33" t="n">
        <v>1</v>
      </c>
      <c r="I930" s="33" t="n">
        <v>1</v>
      </c>
      <c r="J930" s="33" t="n">
        <v>1</v>
      </c>
      <c r="K930" s="32" t="n">
        <v>300</v>
      </c>
      <c r="L930" s="33" t="str">
        <f aca="false">IF($B930="","",IFERROR(INDEX('Code Mapping'!$D$5:$D$1753,MATCH($B930,'Code Mapping'!$A$5:$A$1753,0)),"Unmapped"))</f>
        <v>Unmapped</v>
      </c>
      <c r="M930" s="33" t="str">
        <f aca="false">IF($B930="","",IFERROR(INDEX('Code Mapping'!$E$5:$E$1753,MATCH($B930,'Code Mapping'!$A$5:$A$1753,0)),"Unmapped"))</f>
        <v>Unmapped</v>
      </c>
      <c r="N930" s="33" t="str">
        <f aca="false">IF($F930="","",$F930)</f>
        <v>InflataCity 2025</v>
      </c>
    </row>
    <row r="931" customFormat="false" ht="15" hidden="false" customHeight="false" outlineLevel="0" collapsed="false">
      <c r="A931" s="33" t="n">
        <v>5594</v>
      </c>
      <c r="B931" s="33" t="s">
        <v>1211</v>
      </c>
      <c r="C931" s="33" t="s">
        <v>1028</v>
      </c>
      <c r="D931" s="33"/>
      <c r="E931" s="33" t="n">
        <v>96</v>
      </c>
      <c r="F931" s="33" t="s">
        <v>2154</v>
      </c>
      <c r="G931" s="33" t="s">
        <v>445</v>
      </c>
      <c r="H931" s="33" t="n">
        <v>1</v>
      </c>
      <c r="I931" s="33" t="n">
        <v>1</v>
      </c>
      <c r="J931" s="33" t="n">
        <v>1</v>
      </c>
      <c r="K931" s="32" t="n">
        <v>300</v>
      </c>
      <c r="L931" s="33" t="str">
        <f aca="false">IF($B931="","",IFERROR(INDEX('Code Mapping'!$D$5:$D$1753,MATCH($B931,'Code Mapping'!$A$5:$A$1753,0)),"Unmapped"))</f>
        <v>Unmapped</v>
      </c>
      <c r="M931" s="33" t="str">
        <f aca="false">IF($B931="","",IFERROR(INDEX('Code Mapping'!$E$5:$E$1753,MATCH($B931,'Code Mapping'!$A$5:$A$1753,0)),"Unmapped"))</f>
        <v>Unmapped</v>
      </c>
      <c r="N931" s="33" t="str">
        <f aca="false">IF($F931="","",$F931)</f>
        <v>InflataCity 2025</v>
      </c>
    </row>
    <row r="932" customFormat="false" ht="15" hidden="false" customHeight="false" outlineLevel="0" collapsed="false">
      <c r="A932" s="33" t="n">
        <v>5570</v>
      </c>
      <c r="B932" s="33" t="s">
        <v>1210</v>
      </c>
      <c r="C932" s="33" t="s">
        <v>1028</v>
      </c>
      <c r="D932" s="33"/>
      <c r="E932" s="33" t="n">
        <v>96</v>
      </c>
      <c r="F932" s="33" t="s">
        <v>2154</v>
      </c>
      <c r="G932" s="33" t="s">
        <v>445</v>
      </c>
      <c r="H932" s="33" t="n">
        <v>1</v>
      </c>
      <c r="I932" s="33" t="n">
        <v>1</v>
      </c>
      <c r="J932" s="33" t="n">
        <v>1</v>
      </c>
      <c r="K932" s="32" t="n">
        <v>300</v>
      </c>
      <c r="L932" s="33" t="str">
        <f aca="false">IF($B932="","",IFERROR(INDEX('Code Mapping'!$D$5:$D$1753,MATCH($B932,'Code Mapping'!$A$5:$A$1753,0)),"Unmapped"))</f>
        <v>Unmapped</v>
      </c>
      <c r="M932" s="33" t="str">
        <f aca="false">IF($B932="","",IFERROR(INDEX('Code Mapping'!$E$5:$E$1753,MATCH($B932,'Code Mapping'!$A$5:$A$1753,0)),"Unmapped"))</f>
        <v>Unmapped</v>
      </c>
      <c r="N932" s="33" t="str">
        <f aca="false">IF($F932="","",$F932)</f>
        <v>InflataCity 2025</v>
      </c>
    </row>
    <row r="933" customFormat="false" ht="15" hidden="false" customHeight="false" outlineLevel="0" collapsed="false">
      <c r="A933" s="33" t="n">
        <v>5822</v>
      </c>
      <c r="B933" s="33" t="s">
        <v>1209</v>
      </c>
      <c r="C933" s="33" t="s">
        <v>1028</v>
      </c>
      <c r="D933" s="33"/>
      <c r="E933" s="33" t="n">
        <v>96</v>
      </c>
      <c r="F933" s="33" t="s">
        <v>2154</v>
      </c>
      <c r="G933" s="33" t="s">
        <v>445</v>
      </c>
      <c r="H933" s="33" t="n">
        <v>1</v>
      </c>
      <c r="I933" s="33" t="n">
        <v>1</v>
      </c>
      <c r="J933" s="33" t="n">
        <v>1</v>
      </c>
      <c r="K933" s="32" t="n">
        <v>300</v>
      </c>
      <c r="L933" s="33" t="str">
        <f aca="false">IF($B933="","",IFERROR(INDEX('Code Mapping'!$D$5:$D$1753,MATCH($B933,'Code Mapping'!$A$5:$A$1753,0)),"Unmapped"))</f>
        <v>Unmapped</v>
      </c>
      <c r="M933" s="33" t="str">
        <f aca="false">IF($B933="","",IFERROR(INDEX('Code Mapping'!$E$5:$E$1753,MATCH($B933,'Code Mapping'!$A$5:$A$1753,0)),"Unmapped"))</f>
        <v>Unmapped</v>
      </c>
      <c r="N933" s="33" t="str">
        <f aca="false">IF($F933="","",$F933)</f>
        <v>InflataCity 2025</v>
      </c>
    </row>
    <row r="934" customFormat="false" ht="15" hidden="false" customHeight="false" outlineLevel="0" collapsed="false">
      <c r="A934" s="33" t="n">
        <v>5776</v>
      </c>
      <c r="B934" s="33" t="s">
        <v>1208</v>
      </c>
      <c r="C934" s="33" t="s">
        <v>1028</v>
      </c>
      <c r="D934" s="33"/>
      <c r="E934" s="33" t="n">
        <v>96</v>
      </c>
      <c r="F934" s="33" t="s">
        <v>2154</v>
      </c>
      <c r="G934" s="33" t="s">
        <v>445</v>
      </c>
      <c r="H934" s="33" t="n">
        <v>1</v>
      </c>
      <c r="I934" s="33" t="n">
        <v>1</v>
      </c>
      <c r="J934" s="33" t="n">
        <v>1</v>
      </c>
      <c r="K934" s="32" t="n">
        <v>300</v>
      </c>
      <c r="L934" s="33" t="str">
        <f aca="false">IF($B934="","",IFERROR(INDEX('Code Mapping'!$D$5:$D$1753,MATCH($B934,'Code Mapping'!$A$5:$A$1753,0)),"Unmapped"))</f>
        <v>Unmapped</v>
      </c>
      <c r="M934" s="33" t="str">
        <f aca="false">IF($B934="","",IFERROR(INDEX('Code Mapping'!$E$5:$E$1753,MATCH($B934,'Code Mapping'!$A$5:$A$1753,0)),"Unmapped"))</f>
        <v>Unmapped</v>
      </c>
      <c r="N934" s="33" t="str">
        <f aca="false">IF($F934="","",$F934)</f>
        <v>InflataCity 2025</v>
      </c>
    </row>
    <row r="935" customFormat="false" ht="15" hidden="false" customHeight="false" outlineLevel="0" collapsed="false">
      <c r="A935" s="33" t="n">
        <v>5839</v>
      </c>
      <c r="B935" s="33" t="s">
        <v>1207</v>
      </c>
      <c r="C935" s="33" t="s">
        <v>1028</v>
      </c>
      <c r="D935" s="33"/>
      <c r="E935" s="33" t="n">
        <v>96</v>
      </c>
      <c r="F935" s="33" t="s">
        <v>2154</v>
      </c>
      <c r="G935" s="33" t="s">
        <v>445</v>
      </c>
      <c r="H935" s="33" t="n">
        <v>1</v>
      </c>
      <c r="I935" s="33" t="n">
        <v>1</v>
      </c>
      <c r="J935" s="33" t="n">
        <v>1</v>
      </c>
      <c r="K935" s="32" t="n">
        <v>300</v>
      </c>
      <c r="L935" s="33" t="str">
        <f aca="false">IF($B935="","",IFERROR(INDEX('Code Mapping'!$D$5:$D$1753,MATCH($B935,'Code Mapping'!$A$5:$A$1753,0)),"Unmapped"))</f>
        <v>Unmapped</v>
      </c>
      <c r="M935" s="33" t="str">
        <f aca="false">IF($B935="","",IFERROR(INDEX('Code Mapping'!$E$5:$E$1753,MATCH($B935,'Code Mapping'!$A$5:$A$1753,0)),"Unmapped"))</f>
        <v>Unmapped</v>
      </c>
      <c r="N935" s="33" t="str">
        <f aca="false">IF($F935="","",$F935)</f>
        <v>InflataCity 2025</v>
      </c>
    </row>
    <row r="936" customFormat="false" ht="15" hidden="false" customHeight="false" outlineLevel="0" collapsed="false">
      <c r="A936" s="33" t="n">
        <v>6578</v>
      </c>
      <c r="B936" s="33" t="s">
        <v>1206</v>
      </c>
      <c r="C936" s="33" t="s">
        <v>1026</v>
      </c>
      <c r="D936" s="33"/>
      <c r="E936" s="33" t="n">
        <v>96</v>
      </c>
      <c r="F936" s="33" t="s">
        <v>2154</v>
      </c>
      <c r="G936" s="33" t="s">
        <v>445</v>
      </c>
      <c r="H936" s="33" t="n">
        <v>1</v>
      </c>
      <c r="I936" s="33" t="n">
        <v>1</v>
      </c>
      <c r="J936" s="33" t="n">
        <v>1</v>
      </c>
      <c r="K936" s="32" t="n">
        <v>75</v>
      </c>
      <c r="L936" s="33" t="str">
        <f aca="false">IF($B936="","",IFERROR(INDEX('Code Mapping'!$D$5:$D$1753,MATCH($B936,'Code Mapping'!$A$5:$A$1753,0)),"Unmapped"))</f>
        <v>Unmapped</v>
      </c>
      <c r="M936" s="33" t="str">
        <f aca="false">IF($B936="","",IFERROR(INDEX('Code Mapping'!$E$5:$E$1753,MATCH($B936,'Code Mapping'!$A$5:$A$1753,0)),"Unmapped"))</f>
        <v>Unmapped</v>
      </c>
      <c r="N936" s="33" t="str">
        <f aca="false">IF($F936="","",$F936)</f>
        <v>InflataCity 2025</v>
      </c>
    </row>
    <row r="937" customFormat="false" ht="15" hidden="false" customHeight="false" outlineLevel="0" collapsed="false">
      <c r="A937" s="33" t="n">
        <v>5593</v>
      </c>
      <c r="B937" s="33" t="s">
        <v>1205</v>
      </c>
      <c r="C937" s="33" t="s">
        <v>1028</v>
      </c>
      <c r="D937" s="33"/>
      <c r="E937" s="33" t="n">
        <v>96</v>
      </c>
      <c r="F937" s="33" t="s">
        <v>2154</v>
      </c>
      <c r="G937" s="33" t="s">
        <v>445</v>
      </c>
      <c r="H937" s="33" t="n">
        <v>1</v>
      </c>
      <c r="I937" s="33" t="n">
        <v>1</v>
      </c>
      <c r="J937" s="33" t="n">
        <v>1</v>
      </c>
      <c r="K937" s="32" t="n">
        <v>300</v>
      </c>
      <c r="L937" s="33" t="str">
        <f aca="false">IF($B937="","",IFERROR(INDEX('Code Mapping'!$D$5:$D$1753,MATCH($B937,'Code Mapping'!$A$5:$A$1753,0)),"Unmapped"))</f>
        <v>Unmapped</v>
      </c>
      <c r="M937" s="33" t="str">
        <f aca="false">IF($B937="","",IFERROR(INDEX('Code Mapping'!$E$5:$E$1753,MATCH($B937,'Code Mapping'!$A$5:$A$1753,0)),"Unmapped"))</f>
        <v>Unmapped</v>
      </c>
      <c r="N937" s="33" t="str">
        <f aca="false">IF($F937="","",$F937)</f>
        <v>InflataCity 2025</v>
      </c>
    </row>
    <row r="938" customFormat="false" ht="15" hidden="false" customHeight="false" outlineLevel="0" collapsed="false">
      <c r="A938" s="33" t="n">
        <v>6694</v>
      </c>
      <c r="B938" s="33" t="s">
        <v>1204</v>
      </c>
      <c r="C938" s="33" t="s">
        <v>1026</v>
      </c>
      <c r="D938" s="33"/>
      <c r="E938" s="33" t="n">
        <v>96</v>
      </c>
      <c r="F938" s="33" t="s">
        <v>2154</v>
      </c>
      <c r="G938" s="33" t="s">
        <v>445</v>
      </c>
      <c r="H938" s="33" t="n">
        <v>1</v>
      </c>
      <c r="I938" s="33" t="n">
        <v>1</v>
      </c>
      <c r="J938" s="33" t="n">
        <v>1</v>
      </c>
      <c r="K938" s="32" t="n">
        <v>75</v>
      </c>
      <c r="L938" s="33" t="str">
        <f aca="false">IF($B938="","",IFERROR(INDEX('Code Mapping'!$D$5:$D$1753,MATCH($B938,'Code Mapping'!$A$5:$A$1753,0)),"Unmapped"))</f>
        <v>Unmapped</v>
      </c>
      <c r="M938" s="33" t="str">
        <f aca="false">IF($B938="","",IFERROR(INDEX('Code Mapping'!$E$5:$E$1753,MATCH($B938,'Code Mapping'!$A$5:$A$1753,0)),"Unmapped"))</f>
        <v>Unmapped</v>
      </c>
      <c r="N938" s="33" t="str">
        <f aca="false">IF($F938="","",$F938)</f>
        <v>InflataCity 2025</v>
      </c>
    </row>
    <row r="939" customFormat="false" ht="15" hidden="false" customHeight="false" outlineLevel="0" collapsed="false">
      <c r="A939" s="33" t="n">
        <v>5723</v>
      </c>
      <c r="B939" s="33" t="s">
        <v>1203</v>
      </c>
      <c r="C939" s="33" t="s">
        <v>1028</v>
      </c>
      <c r="D939" s="33"/>
      <c r="E939" s="33" t="n">
        <v>96</v>
      </c>
      <c r="F939" s="33" t="s">
        <v>2154</v>
      </c>
      <c r="G939" s="33" t="s">
        <v>445</v>
      </c>
      <c r="H939" s="33" t="n">
        <v>1</v>
      </c>
      <c r="I939" s="33" t="n">
        <v>1</v>
      </c>
      <c r="J939" s="33" t="n">
        <v>1</v>
      </c>
      <c r="K939" s="32" t="n">
        <v>300</v>
      </c>
      <c r="L939" s="33" t="str">
        <f aca="false">IF($B939="","",IFERROR(INDEX('Code Mapping'!$D$5:$D$1753,MATCH($B939,'Code Mapping'!$A$5:$A$1753,0)),"Unmapped"))</f>
        <v>Unmapped</v>
      </c>
      <c r="M939" s="33" t="str">
        <f aca="false">IF($B939="","",IFERROR(INDEX('Code Mapping'!$E$5:$E$1753,MATCH($B939,'Code Mapping'!$A$5:$A$1753,0)),"Unmapped"))</f>
        <v>Unmapped</v>
      </c>
      <c r="N939" s="33" t="str">
        <f aca="false">IF($F939="","",$F939)</f>
        <v>InflataCity 2025</v>
      </c>
    </row>
    <row r="940" customFormat="false" ht="15" hidden="false" customHeight="false" outlineLevel="0" collapsed="false">
      <c r="A940" s="33" t="n">
        <v>6314</v>
      </c>
      <c r="B940" s="33" t="s">
        <v>1200</v>
      </c>
      <c r="C940" s="33" t="s">
        <v>1026</v>
      </c>
      <c r="D940" s="33"/>
      <c r="E940" s="33" t="n">
        <v>96</v>
      </c>
      <c r="F940" s="33" t="s">
        <v>2154</v>
      </c>
      <c r="G940" s="33" t="s">
        <v>445</v>
      </c>
      <c r="H940" s="33" t="n">
        <v>1</v>
      </c>
      <c r="I940" s="33" t="n">
        <v>1</v>
      </c>
      <c r="J940" s="33" t="n">
        <v>1</v>
      </c>
      <c r="K940" s="32" t="n">
        <v>75</v>
      </c>
      <c r="L940" s="33" t="str">
        <f aca="false">IF($B940="","",IFERROR(INDEX('Code Mapping'!$D$5:$D$1753,MATCH($B940,'Code Mapping'!$A$5:$A$1753,0)),"Unmapped"))</f>
        <v>Al Jazeera Imtiyazat</v>
      </c>
      <c r="M940" s="33" t="str">
        <f aca="false">IF($B940="","",IFERROR(INDEX('Code Mapping'!$E$5:$E$1753,MATCH($B940,'Code Mapping'!$A$5:$A$1753,0)),"Unmapped"))</f>
        <v>Corporate discount</v>
      </c>
      <c r="N940" s="33" t="str">
        <f aca="false">IF($F940="","",$F940)</f>
        <v>InflataCity 2025</v>
      </c>
    </row>
    <row r="941" customFormat="false" ht="15" hidden="false" customHeight="false" outlineLevel="0" collapsed="false">
      <c r="A941" s="33" t="n">
        <v>6273</v>
      </c>
      <c r="B941" s="33" t="s">
        <v>1198</v>
      </c>
      <c r="C941" s="33" t="s">
        <v>1026</v>
      </c>
      <c r="D941" s="33"/>
      <c r="E941" s="33" t="n">
        <v>96</v>
      </c>
      <c r="F941" s="33" t="s">
        <v>2154</v>
      </c>
      <c r="G941" s="33" t="s">
        <v>445</v>
      </c>
      <c r="H941" s="33" t="n">
        <v>1</v>
      </c>
      <c r="I941" s="33" t="n">
        <v>1</v>
      </c>
      <c r="J941" s="33" t="n">
        <v>1</v>
      </c>
      <c r="K941" s="32" t="n">
        <v>75</v>
      </c>
      <c r="L941" s="33" t="str">
        <f aca="false">IF($B941="","",IFERROR(INDEX('Code Mapping'!$D$5:$D$1753,MATCH($B941,'Code Mapping'!$A$5:$A$1753,0)),"Unmapped"))</f>
        <v>Unmapped</v>
      </c>
      <c r="M941" s="33" t="str">
        <f aca="false">IF($B941="","",IFERROR(INDEX('Code Mapping'!$E$5:$E$1753,MATCH($B941,'Code Mapping'!$A$5:$A$1753,0)),"Unmapped"))</f>
        <v>Unmapped</v>
      </c>
      <c r="N941" s="33" t="str">
        <f aca="false">IF($F941="","",$F941)</f>
        <v>InflataCity 2025</v>
      </c>
    </row>
    <row r="942" customFormat="false" ht="15" hidden="false" customHeight="false" outlineLevel="0" collapsed="false">
      <c r="A942" s="33" t="n">
        <v>6572</v>
      </c>
      <c r="B942" s="33" t="s">
        <v>1217</v>
      </c>
      <c r="C942" s="33" t="s">
        <v>1026</v>
      </c>
      <c r="D942" s="33"/>
      <c r="E942" s="33" t="n">
        <v>96</v>
      </c>
      <c r="F942" s="33" t="s">
        <v>2154</v>
      </c>
      <c r="G942" s="33" t="s">
        <v>445</v>
      </c>
      <c r="H942" s="33" t="n">
        <v>1</v>
      </c>
      <c r="I942" s="33" t="n">
        <v>1</v>
      </c>
      <c r="J942" s="33" t="n">
        <v>1</v>
      </c>
      <c r="K942" s="32" t="n">
        <v>75</v>
      </c>
      <c r="L942" s="33" t="str">
        <f aca="false">IF($B942="","",IFERROR(INDEX('Code Mapping'!$D$5:$D$1753,MATCH($B942,'Code Mapping'!$A$5:$A$1753,0)),"Unmapped"))</f>
        <v>Unmapped</v>
      </c>
      <c r="M942" s="33" t="str">
        <f aca="false">IF($B942="","",IFERROR(INDEX('Code Mapping'!$E$5:$E$1753,MATCH($B942,'Code Mapping'!$A$5:$A$1753,0)),"Unmapped"))</f>
        <v>Unmapped</v>
      </c>
      <c r="N942" s="33" t="str">
        <f aca="false">IF($F942="","",$F942)</f>
        <v>InflataCity 2025</v>
      </c>
    </row>
    <row r="943" customFormat="false" ht="15" hidden="false" customHeight="false" outlineLevel="0" collapsed="false">
      <c r="A943" s="33" t="n">
        <v>5836</v>
      </c>
      <c r="B943" s="33" t="s">
        <v>1139</v>
      </c>
      <c r="C943" s="33" t="s">
        <v>1028</v>
      </c>
      <c r="D943" s="33"/>
      <c r="E943" s="33" t="n">
        <v>96</v>
      </c>
      <c r="F943" s="33" t="s">
        <v>2154</v>
      </c>
      <c r="G943" s="33" t="s">
        <v>445</v>
      </c>
      <c r="H943" s="33" t="n">
        <v>1</v>
      </c>
      <c r="I943" s="33" t="n">
        <v>1</v>
      </c>
      <c r="J943" s="33" t="n">
        <v>1</v>
      </c>
      <c r="K943" s="32" t="n">
        <v>300</v>
      </c>
      <c r="L943" s="33" t="str">
        <f aca="false">IF($B943="","",IFERROR(INDEX('Code Mapping'!$D$5:$D$1753,MATCH($B943,'Code Mapping'!$A$5:$A$1753,0)),"Unmapped"))</f>
        <v>Unmapped</v>
      </c>
      <c r="M943" s="33" t="str">
        <f aca="false">IF($B943="","",IFERROR(INDEX('Code Mapping'!$E$5:$E$1753,MATCH($B943,'Code Mapping'!$A$5:$A$1753,0)),"Unmapped"))</f>
        <v>Unmapped</v>
      </c>
      <c r="N943" s="33" t="str">
        <f aca="false">IF($F943="","",$F943)</f>
        <v>InflataCity 2025</v>
      </c>
    </row>
    <row r="944" customFormat="false" ht="15" hidden="false" customHeight="false" outlineLevel="0" collapsed="false">
      <c r="A944" s="33" t="n">
        <v>6204</v>
      </c>
      <c r="B944" s="33" t="s">
        <v>1138</v>
      </c>
      <c r="C944" s="33" t="s">
        <v>1032</v>
      </c>
      <c r="D944" s="33"/>
      <c r="E944" s="33" t="n">
        <v>96</v>
      </c>
      <c r="F944" s="33" t="s">
        <v>2154</v>
      </c>
      <c r="G944" s="33" t="s">
        <v>445</v>
      </c>
      <c r="H944" s="33" t="n">
        <v>1</v>
      </c>
      <c r="I944" s="33" t="n">
        <v>1</v>
      </c>
      <c r="J944" s="33" t="n">
        <v>1</v>
      </c>
      <c r="K944" s="32" t="n">
        <v>350</v>
      </c>
      <c r="L944" s="33" t="str">
        <f aca="false">IF($B944="","",IFERROR(INDEX('Code Mapping'!$D$5:$D$1753,MATCH($B944,'Code Mapping'!$A$5:$A$1753,0)),"Unmapped"))</f>
        <v>Unmapped</v>
      </c>
      <c r="M944" s="33" t="str">
        <f aca="false">IF($B944="","",IFERROR(INDEX('Code Mapping'!$E$5:$E$1753,MATCH($B944,'Code Mapping'!$A$5:$A$1753,0)),"Unmapped"))</f>
        <v>Unmapped</v>
      </c>
      <c r="N944" s="33" t="str">
        <f aca="false">IF($F944="","",$F944)</f>
        <v>InflataCity 2025</v>
      </c>
    </row>
    <row r="945" customFormat="false" ht="15" hidden="false" customHeight="false" outlineLevel="0" collapsed="false">
      <c r="A945" s="33" t="n">
        <v>5739</v>
      </c>
      <c r="B945" s="33" t="s">
        <v>1137</v>
      </c>
      <c r="C945" s="33" t="s">
        <v>1028</v>
      </c>
      <c r="D945" s="33"/>
      <c r="E945" s="33" t="n">
        <v>96</v>
      </c>
      <c r="F945" s="33" t="s">
        <v>2154</v>
      </c>
      <c r="G945" s="33" t="s">
        <v>445</v>
      </c>
      <c r="H945" s="33" t="n">
        <v>1</v>
      </c>
      <c r="I945" s="33" t="n">
        <v>1</v>
      </c>
      <c r="J945" s="33" t="n">
        <v>1</v>
      </c>
      <c r="K945" s="32" t="n">
        <v>300</v>
      </c>
      <c r="L945" s="33" t="str">
        <f aca="false">IF($B945="","",IFERROR(INDEX('Code Mapping'!$D$5:$D$1753,MATCH($B945,'Code Mapping'!$A$5:$A$1753,0)),"Unmapped"))</f>
        <v>Unmapped</v>
      </c>
      <c r="M945" s="33" t="str">
        <f aca="false">IF($B945="","",IFERROR(INDEX('Code Mapping'!$E$5:$E$1753,MATCH($B945,'Code Mapping'!$A$5:$A$1753,0)),"Unmapped"))</f>
        <v>Unmapped</v>
      </c>
      <c r="N945" s="33" t="str">
        <f aca="false">IF($F945="","",$F945)</f>
        <v>InflataCity 2025</v>
      </c>
    </row>
    <row r="946" customFormat="false" ht="15" hidden="false" customHeight="false" outlineLevel="0" collapsed="false">
      <c r="A946" s="33" t="n">
        <v>5589</v>
      </c>
      <c r="B946" s="33" t="s">
        <v>1136</v>
      </c>
      <c r="C946" s="33" t="s">
        <v>1028</v>
      </c>
      <c r="D946" s="33"/>
      <c r="E946" s="33" t="n">
        <v>96</v>
      </c>
      <c r="F946" s="33" t="s">
        <v>2154</v>
      </c>
      <c r="G946" s="33" t="s">
        <v>445</v>
      </c>
      <c r="H946" s="33" t="n">
        <v>1</v>
      </c>
      <c r="I946" s="33" t="n">
        <v>1</v>
      </c>
      <c r="J946" s="33" t="n">
        <v>1</v>
      </c>
      <c r="K946" s="32" t="n">
        <v>300</v>
      </c>
      <c r="L946" s="33" t="str">
        <f aca="false">IF($B946="","",IFERROR(INDEX('Code Mapping'!$D$5:$D$1753,MATCH($B946,'Code Mapping'!$A$5:$A$1753,0)),"Unmapped"))</f>
        <v>Unmapped</v>
      </c>
      <c r="M946" s="33" t="str">
        <f aca="false">IF($B946="","",IFERROR(INDEX('Code Mapping'!$E$5:$E$1753,MATCH($B946,'Code Mapping'!$A$5:$A$1753,0)),"Unmapped"))</f>
        <v>Unmapped</v>
      </c>
      <c r="N946" s="33" t="str">
        <f aca="false">IF($F946="","",$F946)</f>
        <v>InflataCity 2025</v>
      </c>
    </row>
    <row r="947" customFormat="false" ht="15" hidden="false" customHeight="false" outlineLevel="0" collapsed="false">
      <c r="A947" s="33" t="n">
        <v>5863</v>
      </c>
      <c r="B947" s="33" t="s">
        <v>1135</v>
      </c>
      <c r="C947" s="33" t="s">
        <v>1028</v>
      </c>
      <c r="D947" s="33"/>
      <c r="E947" s="33" t="n">
        <v>96</v>
      </c>
      <c r="F947" s="33" t="s">
        <v>2154</v>
      </c>
      <c r="G947" s="33" t="s">
        <v>445</v>
      </c>
      <c r="H947" s="33" t="n">
        <v>1</v>
      </c>
      <c r="I947" s="33" t="n">
        <v>1</v>
      </c>
      <c r="J947" s="33" t="n">
        <v>1</v>
      </c>
      <c r="K947" s="32" t="n">
        <v>300</v>
      </c>
      <c r="L947" s="33" t="str">
        <f aca="false">IF($B947="","",IFERROR(INDEX('Code Mapping'!$D$5:$D$1753,MATCH($B947,'Code Mapping'!$A$5:$A$1753,0)),"Unmapped"))</f>
        <v>Unmapped</v>
      </c>
      <c r="M947" s="33" t="str">
        <f aca="false">IF($B947="","",IFERROR(INDEX('Code Mapping'!$E$5:$E$1753,MATCH($B947,'Code Mapping'!$A$5:$A$1753,0)),"Unmapped"))</f>
        <v>Unmapped</v>
      </c>
      <c r="N947" s="33" t="str">
        <f aca="false">IF($F947="","",$F947)</f>
        <v>InflataCity 2025</v>
      </c>
    </row>
    <row r="948" customFormat="false" ht="15" hidden="false" customHeight="false" outlineLevel="0" collapsed="false">
      <c r="A948" s="33" t="n">
        <v>5740</v>
      </c>
      <c r="B948" s="33" t="s">
        <v>1134</v>
      </c>
      <c r="C948" s="33" t="s">
        <v>1028</v>
      </c>
      <c r="D948" s="33"/>
      <c r="E948" s="33" t="n">
        <v>96</v>
      </c>
      <c r="F948" s="33" t="s">
        <v>2154</v>
      </c>
      <c r="G948" s="33" t="s">
        <v>445</v>
      </c>
      <c r="H948" s="33" t="n">
        <v>1</v>
      </c>
      <c r="I948" s="33" t="n">
        <v>1</v>
      </c>
      <c r="J948" s="33" t="n">
        <v>1</v>
      </c>
      <c r="K948" s="32" t="n">
        <v>300</v>
      </c>
      <c r="L948" s="33" t="str">
        <f aca="false">IF($B948="","",IFERROR(INDEX('Code Mapping'!$D$5:$D$1753,MATCH($B948,'Code Mapping'!$A$5:$A$1753,0)),"Unmapped"))</f>
        <v>Unmapped</v>
      </c>
      <c r="M948" s="33" t="str">
        <f aca="false">IF($B948="","",IFERROR(INDEX('Code Mapping'!$E$5:$E$1753,MATCH($B948,'Code Mapping'!$A$5:$A$1753,0)),"Unmapped"))</f>
        <v>Unmapped</v>
      </c>
      <c r="N948" s="33" t="str">
        <f aca="false">IF($F948="","",$F948)</f>
        <v>InflataCity 2025</v>
      </c>
    </row>
    <row r="949" customFormat="false" ht="15" hidden="false" customHeight="false" outlineLevel="0" collapsed="false">
      <c r="A949" s="33" t="n">
        <v>6133</v>
      </c>
      <c r="B949" s="33" t="s">
        <v>1133</v>
      </c>
      <c r="C949" s="33" t="s">
        <v>1032</v>
      </c>
      <c r="D949" s="33"/>
      <c r="E949" s="33" t="n">
        <v>96</v>
      </c>
      <c r="F949" s="33" t="s">
        <v>2154</v>
      </c>
      <c r="G949" s="33" t="s">
        <v>445</v>
      </c>
      <c r="H949" s="33" t="n">
        <v>1</v>
      </c>
      <c r="I949" s="33" t="n">
        <v>1</v>
      </c>
      <c r="J949" s="33" t="n">
        <v>1</v>
      </c>
      <c r="K949" s="32" t="n">
        <v>350</v>
      </c>
      <c r="L949" s="33" t="str">
        <f aca="false">IF($B949="","",IFERROR(INDEX('Code Mapping'!$D$5:$D$1753,MATCH($B949,'Code Mapping'!$A$5:$A$1753,0)),"Unmapped"))</f>
        <v>Unmapped</v>
      </c>
      <c r="M949" s="33" t="str">
        <f aca="false">IF($B949="","",IFERROR(INDEX('Code Mapping'!$E$5:$E$1753,MATCH($B949,'Code Mapping'!$A$5:$A$1753,0)),"Unmapped"))</f>
        <v>Unmapped</v>
      </c>
      <c r="N949" s="33" t="str">
        <f aca="false">IF($F949="","",$F949)</f>
        <v>InflataCity 2025</v>
      </c>
    </row>
    <row r="950" customFormat="false" ht="15" hidden="false" customHeight="false" outlineLevel="0" collapsed="false">
      <c r="A950" s="33" t="n">
        <v>6563</v>
      </c>
      <c r="B950" s="33" t="s">
        <v>1132</v>
      </c>
      <c r="C950" s="33" t="s">
        <v>1026</v>
      </c>
      <c r="D950" s="33"/>
      <c r="E950" s="33" t="n">
        <v>96</v>
      </c>
      <c r="F950" s="33" t="s">
        <v>2154</v>
      </c>
      <c r="G950" s="33" t="s">
        <v>445</v>
      </c>
      <c r="H950" s="33" t="n">
        <v>1</v>
      </c>
      <c r="I950" s="33" t="n">
        <v>1</v>
      </c>
      <c r="J950" s="33" t="n">
        <v>1</v>
      </c>
      <c r="K950" s="32" t="n">
        <v>75</v>
      </c>
      <c r="L950" s="33" t="str">
        <f aca="false">IF($B950="","",IFERROR(INDEX('Code Mapping'!$D$5:$D$1753,MATCH($B950,'Code Mapping'!$A$5:$A$1753,0)),"Unmapped"))</f>
        <v>Unmapped</v>
      </c>
      <c r="M950" s="33" t="str">
        <f aca="false">IF($B950="","",IFERROR(INDEX('Code Mapping'!$E$5:$E$1753,MATCH($B950,'Code Mapping'!$A$5:$A$1753,0)),"Unmapped"))</f>
        <v>Unmapped</v>
      </c>
      <c r="N950" s="33" t="str">
        <f aca="false">IF($F950="","",$F950)</f>
        <v>InflataCity 2025</v>
      </c>
    </row>
    <row r="951" customFormat="false" ht="15" hidden="false" customHeight="false" outlineLevel="0" collapsed="false">
      <c r="A951" s="33" t="n">
        <v>6681</v>
      </c>
      <c r="B951" s="33" t="s">
        <v>1131</v>
      </c>
      <c r="C951" s="33" t="s">
        <v>1026</v>
      </c>
      <c r="D951" s="33"/>
      <c r="E951" s="33" t="n">
        <v>96</v>
      </c>
      <c r="F951" s="33" t="s">
        <v>2154</v>
      </c>
      <c r="G951" s="33" t="s">
        <v>445</v>
      </c>
      <c r="H951" s="33" t="n">
        <v>1</v>
      </c>
      <c r="I951" s="33" t="n">
        <v>1</v>
      </c>
      <c r="J951" s="33" t="n">
        <v>1</v>
      </c>
      <c r="K951" s="32" t="n">
        <v>75</v>
      </c>
      <c r="L951" s="33" t="str">
        <f aca="false">IF($B951="","",IFERROR(INDEX('Code Mapping'!$D$5:$D$1753,MATCH($B951,'Code Mapping'!$A$5:$A$1753,0)),"Unmapped"))</f>
        <v>Unmapped</v>
      </c>
      <c r="M951" s="33" t="str">
        <f aca="false">IF($B951="","",IFERROR(INDEX('Code Mapping'!$E$5:$E$1753,MATCH($B951,'Code Mapping'!$A$5:$A$1753,0)),"Unmapped"))</f>
        <v>Unmapped</v>
      </c>
      <c r="N951" s="33" t="str">
        <f aca="false">IF($F951="","",$F951)</f>
        <v>InflataCity 2025</v>
      </c>
    </row>
    <row r="952" customFormat="false" ht="15" hidden="false" customHeight="false" outlineLevel="0" collapsed="false">
      <c r="A952" s="33" t="n">
        <v>5760</v>
      </c>
      <c r="B952" s="33" t="s">
        <v>1130</v>
      </c>
      <c r="C952" s="33" t="s">
        <v>1028</v>
      </c>
      <c r="D952" s="33"/>
      <c r="E952" s="33" t="n">
        <v>96</v>
      </c>
      <c r="F952" s="33" t="s">
        <v>2154</v>
      </c>
      <c r="G952" s="33" t="s">
        <v>445</v>
      </c>
      <c r="H952" s="33" t="n">
        <v>1</v>
      </c>
      <c r="I952" s="33" t="n">
        <v>1</v>
      </c>
      <c r="J952" s="33" t="n">
        <v>1</v>
      </c>
      <c r="K952" s="32" t="n">
        <v>300</v>
      </c>
      <c r="L952" s="33" t="str">
        <f aca="false">IF($B952="","",IFERROR(INDEX('Code Mapping'!$D$5:$D$1753,MATCH($B952,'Code Mapping'!$A$5:$A$1753,0)),"Unmapped"))</f>
        <v>Unmapped</v>
      </c>
      <c r="M952" s="33" t="str">
        <f aca="false">IF($B952="","",IFERROR(INDEX('Code Mapping'!$E$5:$E$1753,MATCH($B952,'Code Mapping'!$A$5:$A$1753,0)),"Unmapped"))</f>
        <v>Unmapped</v>
      </c>
      <c r="N952" s="33" t="str">
        <f aca="false">IF($F952="","",$F952)</f>
        <v>InflataCity 2025</v>
      </c>
    </row>
    <row r="953" customFormat="false" ht="15" hidden="false" customHeight="false" outlineLevel="0" collapsed="false">
      <c r="A953" s="33" t="n">
        <v>5835</v>
      </c>
      <c r="B953" s="33" t="s">
        <v>1129</v>
      </c>
      <c r="C953" s="33" t="s">
        <v>1028</v>
      </c>
      <c r="D953" s="33"/>
      <c r="E953" s="33" t="n">
        <v>96</v>
      </c>
      <c r="F953" s="33" t="s">
        <v>2154</v>
      </c>
      <c r="G953" s="33" t="s">
        <v>445</v>
      </c>
      <c r="H953" s="33" t="n">
        <v>1</v>
      </c>
      <c r="I953" s="33" t="n">
        <v>1</v>
      </c>
      <c r="J953" s="33" t="n">
        <v>1</v>
      </c>
      <c r="K953" s="32" t="n">
        <v>300</v>
      </c>
      <c r="L953" s="33" t="str">
        <f aca="false">IF($B953="","",IFERROR(INDEX('Code Mapping'!$D$5:$D$1753,MATCH($B953,'Code Mapping'!$A$5:$A$1753,0)),"Unmapped"))</f>
        <v>Unmapped</v>
      </c>
      <c r="M953" s="33" t="str">
        <f aca="false">IF($B953="","",IFERROR(INDEX('Code Mapping'!$E$5:$E$1753,MATCH($B953,'Code Mapping'!$A$5:$A$1753,0)),"Unmapped"))</f>
        <v>Unmapped</v>
      </c>
      <c r="N953" s="33" t="str">
        <f aca="false">IF($F953="","",$F953)</f>
        <v>InflataCity 2025</v>
      </c>
    </row>
    <row r="954" customFormat="false" ht="15" hidden="false" customHeight="false" outlineLevel="0" collapsed="false">
      <c r="A954" s="33" t="n">
        <v>5575</v>
      </c>
      <c r="B954" s="33" t="s">
        <v>1246</v>
      </c>
      <c r="C954" s="33" t="s">
        <v>1028</v>
      </c>
      <c r="D954" s="33"/>
      <c r="E954" s="33" t="n">
        <v>96</v>
      </c>
      <c r="F954" s="33" t="s">
        <v>2154</v>
      </c>
      <c r="G954" s="33" t="s">
        <v>445</v>
      </c>
      <c r="H954" s="33" t="n">
        <v>1</v>
      </c>
      <c r="I954" s="33" t="n">
        <v>1</v>
      </c>
      <c r="J954" s="33" t="n">
        <v>1</v>
      </c>
      <c r="K954" s="32" t="n">
        <v>300</v>
      </c>
      <c r="L954" s="33" t="str">
        <f aca="false">IF($B954="","",IFERROR(INDEX('Code Mapping'!$D$5:$D$1753,MATCH($B954,'Code Mapping'!$A$5:$A$1753,0)),"Unmapped"))</f>
        <v>Unmapped</v>
      </c>
      <c r="M954" s="33" t="str">
        <f aca="false">IF($B954="","",IFERROR(INDEX('Code Mapping'!$E$5:$E$1753,MATCH($B954,'Code Mapping'!$A$5:$A$1753,0)),"Unmapped"))</f>
        <v>Unmapped</v>
      </c>
      <c r="N954" s="33" t="str">
        <f aca="false">IF($F954="","",$F954)</f>
        <v>InflataCity 2025</v>
      </c>
    </row>
    <row r="955" customFormat="false" ht="15" hidden="false" customHeight="false" outlineLevel="0" collapsed="false">
      <c r="A955" s="33" t="n">
        <v>5837</v>
      </c>
      <c r="B955" s="33" t="s">
        <v>1216</v>
      </c>
      <c r="C955" s="33" t="s">
        <v>1028</v>
      </c>
      <c r="D955" s="33"/>
      <c r="E955" s="33" t="n">
        <v>96</v>
      </c>
      <c r="F955" s="33" t="s">
        <v>2154</v>
      </c>
      <c r="G955" s="33" t="s">
        <v>445</v>
      </c>
      <c r="H955" s="33" t="n">
        <v>1</v>
      </c>
      <c r="I955" s="33" t="n">
        <v>1</v>
      </c>
      <c r="J955" s="33" t="n">
        <v>1</v>
      </c>
      <c r="K955" s="32" t="n">
        <v>300</v>
      </c>
      <c r="L955" s="33" t="str">
        <f aca="false">IF($B955="","",IFERROR(INDEX('Code Mapping'!$D$5:$D$1753,MATCH($B955,'Code Mapping'!$A$5:$A$1753,0)),"Unmapped"))</f>
        <v>Unmapped</v>
      </c>
      <c r="M955" s="33" t="str">
        <f aca="false">IF($B955="","",IFERROR(INDEX('Code Mapping'!$E$5:$E$1753,MATCH($B955,'Code Mapping'!$A$5:$A$1753,0)),"Unmapped"))</f>
        <v>Unmapped</v>
      </c>
      <c r="N955" s="33" t="str">
        <f aca="false">IF($F955="","",$F955)</f>
        <v>InflataCity 2025</v>
      </c>
    </row>
    <row r="956" customFormat="false" ht="15" hidden="false" customHeight="false" outlineLevel="0" collapsed="false">
      <c r="A956" s="33" t="n">
        <v>5484</v>
      </c>
      <c r="B956" s="33" t="s">
        <v>205</v>
      </c>
      <c r="C956" s="33" t="s">
        <v>206</v>
      </c>
      <c r="D956" s="33"/>
      <c r="E956" s="33" t="n">
        <v>91</v>
      </c>
      <c r="F956" s="33" t="s">
        <v>36</v>
      </c>
      <c r="G956" s="33" t="s">
        <v>445</v>
      </c>
      <c r="H956" s="33" t="n">
        <v>74</v>
      </c>
      <c r="I956" s="33" t="n">
        <v>165</v>
      </c>
      <c r="J956" s="33" t="n">
        <v>165</v>
      </c>
      <c r="K956" s="32" t="n">
        <v>3286.5</v>
      </c>
      <c r="L956" s="33" t="str">
        <f aca="false">IF($B956="","",IFERROR(INDEX('Code Mapping'!$D$5:$D$1753,MATCH($B956,'Code Mapping'!$A$5:$A$1753,0)),"Unmapped"))</f>
        <v>Internal / promotion</v>
      </c>
      <c r="M956" s="33" t="str">
        <f aca="false">IF($B956="","",IFERROR(INDEX('Code Mapping'!$E$5:$E$1753,MATCH($B956,'Code Mapping'!$A$5:$A$1753,0)),"Unmapped"))</f>
        <v>Internal / promotion</v>
      </c>
      <c r="N956" s="33" t="str">
        <f aca="false">IF($F956="","",$F956)</f>
        <v>InflataPark</v>
      </c>
    </row>
    <row r="957" customFormat="false" ht="15" hidden="false" customHeight="false" outlineLevel="0" collapsed="false">
      <c r="A957" s="33" t="n">
        <v>6584</v>
      </c>
      <c r="B957" s="33" t="s">
        <v>1218</v>
      </c>
      <c r="C957" s="33" t="s">
        <v>1026</v>
      </c>
      <c r="D957" s="33"/>
      <c r="E957" s="33" t="n">
        <v>96</v>
      </c>
      <c r="F957" s="33" t="s">
        <v>2154</v>
      </c>
      <c r="G957" s="33" t="s">
        <v>445</v>
      </c>
      <c r="H957" s="33" t="n">
        <v>1</v>
      </c>
      <c r="I957" s="33" t="n">
        <v>1</v>
      </c>
      <c r="J957" s="33" t="n">
        <v>1</v>
      </c>
      <c r="K957" s="32" t="n">
        <v>75</v>
      </c>
      <c r="L957" s="33" t="str">
        <f aca="false">IF($B957="","",IFERROR(INDEX('Code Mapping'!$D$5:$D$1753,MATCH($B957,'Code Mapping'!$A$5:$A$1753,0)),"Unmapped"))</f>
        <v>Unmapped</v>
      </c>
      <c r="M957" s="33" t="str">
        <f aca="false">IF($B957="","",IFERROR(INDEX('Code Mapping'!$E$5:$E$1753,MATCH($B957,'Code Mapping'!$A$5:$A$1753,0)),"Unmapped"))</f>
        <v>Unmapped</v>
      </c>
      <c r="N957" s="33" t="str">
        <f aca="false">IF($F957="","",$F957)</f>
        <v>InflataCity 2025</v>
      </c>
    </row>
    <row r="958" customFormat="false" ht="15" hidden="false" customHeight="false" outlineLevel="0" collapsed="false">
      <c r="A958" s="33" t="n">
        <v>5813</v>
      </c>
      <c r="B958" s="33" t="s">
        <v>1232</v>
      </c>
      <c r="C958" s="33" t="s">
        <v>1028</v>
      </c>
      <c r="D958" s="33"/>
      <c r="E958" s="33" t="n">
        <v>96</v>
      </c>
      <c r="F958" s="33" t="s">
        <v>2154</v>
      </c>
      <c r="G958" s="33" t="s">
        <v>445</v>
      </c>
      <c r="H958" s="33" t="n">
        <v>1</v>
      </c>
      <c r="I958" s="33" t="n">
        <v>1</v>
      </c>
      <c r="J958" s="33" t="n">
        <v>1</v>
      </c>
      <c r="K958" s="32" t="n">
        <v>300</v>
      </c>
      <c r="L958" s="33" t="str">
        <f aca="false">IF($B958="","",IFERROR(INDEX('Code Mapping'!$D$5:$D$1753,MATCH($B958,'Code Mapping'!$A$5:$A$1753,0)),"Unmapped"))</f>
        <v>Unmapped</v>
      </c>
      <c r="M958" s="33" t="str">
        <f aca="false">IF($B958="","",IFERROR(INDEX('Code Mapping'!$E$5:$E$1753,MATCH($B958,'Code Mapping'!$A$5:$A$1753,0)),"Unmapped"))</f>
        <v>Unmapped</v>
      </c>
      <c r="N958" s="33" t="str">
        <f aca="false">IF($F958="","",$F958)</f>
        <v>InflataCity 2025</v>
      </c>
    </row>
    <row r="959" customFormat="false" ht="15" hidden="false" customHeight="false" outlineLevel="0" collapsed="false">
      <c r="A959" s="33" t="n">
        <v>6642</v>
      </c>
      <c r="B959" s="33" t="s">
        <v>1219</v>
      </c>
      <c r="C959" s="33" t="s">
        <v>1026</v>
      </c>
      <c r="D959" s="33"/>
      <c r="E959" s="33" t="n">
        <v>96</v>
      </c>
      <c r="F959" s="33" t="s">
        <v>2154</v>
      </c>
      <c r="G959" s="33" t="s">
        <v>445</v>
      </c>
      <c r="H959" s="33" t="n">
        <v>1</v>
      </c>
      <c r="I959" s="33" t="n">
        <v>1</v>
      </c>
      <c r="J959" s="33" t="n">
        <v>1</v>
      </c>
      <c r="K959" s="32" t="n">
        <v>75</v>
      </c>
      <c r="L959" s="33" t="str">
        <f aca="false">IF($B959="","",IFERROR(INDEX('Code Mapping'!$D$5:$D$1753,MATCH($B959,'Code Mapping'!$A$5:$A$1753,0)),"Unmapped"))</f>
        <v>Unmapped</v>
      </c>
      <c r="M959" s="33" t="str">
        <f aca="false">IF($B959="","",IFERROR(INDEX('Code Mapping'!$E$5:$E$1753,MATCH($B959,'Code Mapping'!$A$5:$A$1753,0)),"Unmapped"))</f>
        <v>Unmapped</v>
      </c>
      <c r="N959" s="33" t="str">
        <f aca="false">IF($F959="","",$F959)</f>
        <v>InflataCity 2025</v>
      </c>
    </row>
    <row r="960" customFormat="false" ht="15" hidden="false" customHeight="false" outlineLevel="0" collapsed="false">
      <c r="A960" s="33" t="n">
        <v>6560</v>
      </c>
      <c r="B960" s="33" t="s">
        <v>1245</v>
      </c>
      <c r="C960" s="33" t="s">
        <v>1026</v>
      </c>
      <c r="D960" s="33"/>
      <c r="E960" s="33" t="n">
        <v>96</v>
      </c>
      <c r="F960" s="33" t="s">
        <v>2154</v>
      </c>
      <c r="G960" s="33" t="s">
        <v>445</v>
      </c>
      <c r="H960" s="33" t="n">
        <v>1</v>
      </c>
      <c r="I960" s="33" t="n">
        <v>1</v>
      </c>
      <c r="J960" s="33" t="n">
        <v>1</v>
      </c>
      <c r="K960" s="32" t="n">
        <v>75</v>
      </c>
      <c r="L960" s="33" t="str">
        <f aca="false">IF($B960="","",IFERROR(INDEX('Code Mapping'!$D$5:$D$1753,MATCH($B960,'Code Mapping'!$A$5:$A$1753,0)),"Unmapped"))</f>
        <v>Unmapped</v>
      </c>
      <c r="M960" s="33" t="str">
        <f aca="false">IF($B960="","",IFERROR(INDEX('Code Mapping'!$E$5:$E$1753,MATCH($B960,'Code Mapping'!$A$5:$A$1753,0)),"Unmapped"))</f>
        <v>Unmapped</v>
      </c>
      <c r="N960" s="33" t="str">
        <f aca="false">IF($F960="","",$F960)</f>
        <v>InflataCity 2025</v>
      </c>
    </row>
    <row r="961" customFormat="false" ht="15" hidden="false" customHeight="false" outlineLevel="0" collapsed="false">
      <c r="A961" s="33" t="n">
        <v>6307</v>
      </c>
      <c r="B961" s="33" t="s">
        <v>1244</v>
      </c>
      <c r="C961" s="33" t="s">
        <v>1026</v>
      </c>
      <c r="D961" s="33"/>
      <c r="E961" s="33" t="n">
        <v>96</v>
      </c>
      <c r="F961" s="33" t="s">
        <v>2154</v>
      </c>
      <c r="G961" s="33" t="s">
        <v>445</v>
      </c>
      <c r="H961" s="33" t="n">
        <v>1</v>
      </c>
      <c r="I961" s="33" t="n">
        <v>1</v>
      </c>
      <c r="J961" s="33" t="n">
        <v>1</v>
      </c>
      <c r="K961" s="32" t="n">
        <v>75</v>
      </c>
      <c r="L961" s="33" t="str">
        <f aca="false">IF($B961="","",IFERROR(INDEX('Code Mapping'!$D$5:$D$1753,MATCH($B961,'Code Mapping'!$A$5:$A$1753,0)),"Unmapped"))</f>
        <v>Unmapped</v>
      </c>
      <c r="M961" s="33" t="str">
        <f aca="false">IF($B961="","",IFERROR(INDEX('Code Mapping'!$E$5:$E$1753,MATCH($B961,'Code Mapping'!$A$5:$A$1753,0)),"Unmapped"))</f>
        <v>Unmapped</v>
      </c>
      <c r="N961" s="33" t="str">
        <f aca="false">IF($F961="","",$F961)</f>
        <v>InflataCity 2025</v>
      </c>
    </row>
    <row r="962" customFormat="false" ht="15" hidden="false" customHeight="false" outlineLevel="0" collapsed="false">
      <c r="A962" s="33" t="n">
        <v>5707</v>
      </c>
      <c r="B962" s="33" t="s">
        <v>1243</v>
      </c>
      <c r="C962" s="33" t="s">
        <v>1028</v>
      </c>
      <c r="D962" s="33"/>
      <c r="E962" s="33" t="n">
        <v>96</v>
      </c>
      <c r="F962" s="33" t="s">
        <v>2154</v>
      </c>
      <c r="G962" s="33" t="s">
        <v>445</v>
      </c>
      <c r="H962" s="33" t="n">
        <v>1</v>
      </c>
      <c r="I962" s="33" t="n">
        <v>1</v>
      </c>
      <c r="J962" s="33" t="n">
        <v>1</v>
      </c>
      <c r="K962" s="32" t="n">
        <v>300</v>
      </c>
      <c r="L962" s="33" t="str">
        <f aca="false">IF($B962="","",IFERROR(INDEX('Code Mapping'!$D$5:$D$1753,MATCH($B962,'Code Mapping'!$A$5:$A$1753,0)),"Unmapped"))</f>
        <v>Unmapped</v>
      </c>
      <c r="M962" s="33" t="str">
        <f aca="false">IF($B962="","",IFERROR(INDEX('Code Mapping'!$E$5:$E$1753,MATCH($B962,'Code Mapping'!$A$5:$A$1753,0)),"Unmapped"))</f>
        <v>Unmapped</v>
      </c>
      <c r="N962" s="33" t="str">
        <f aca="false">IF($F962="","",$F962)</f>
        <v>InflataCity 2025</v>
      </c>
    </row>
    <row r="963" customFormat="false" ht="15" hidden="false" customHeight="false" outlineLevel="0" collapsed="false">
      <c r="A963" s="33" t="n">
        <v>6321</v>
      </c>
      <c r="B963" s="33" t="s">
        <v>1242</v>
      </c>
      <c r="C963" s="33" t="s">
        <v>1026</v>
      </c>
      <c r="D963" s="33"/>
      <c r="E963" s="33" t="n">
        <v>96</v>
      </c>
      <c r="F963" s="33" t="s">
        <v>2154</v>
      </c>
      <c r="G963" s="33" t="s">
        <v>445</v>
      </c>
      <c r="H963" s="33" t="n">
        <v>1</v>
      </c>
      <c r="I963" s="33" t="n">
        <v>1</v>
      </c>
      <c r="J963" s="33" t="n">
        <v>1</v>
      </c>
      <c r="K963" s="32" t="n">
        <v>75</v>
      </c>
      <c r="L963" s="33" t="str">
        <f aca="false">IF($B963="","",IFERROR(INDEX('Code Mapping'!$D$5:$D$1753,MATCH($B963,'Code Mapping'!$A$5:$A$1753,0)),"Unmapped"))</f>
        <v>Unmapped</v>
      </c>
      <c r="M963" s="33" t="str">
        <f aca="false">IF($B963="","",IFERROR(INDEX('Code Mapping'!$E$5:$E$1753,MATCH($B963,'Code Mapping'!$A$5:$A$1753,0)),"Unmapped"))</f>
        <v>Unmapped</v>
      </c>
      <c r="N963" s="33" t="str">
        <f aca="false">IF($F963="","",$F963)</f>
        <v>InflataCity 2025</v>
      </c>
    </row>
    <row r="964" customFormat="false" ht="15" hidden="false" customHeight="false" outlineLevel="0" collapsed="false">
      <c r="A964" s="33" t="n">
        <v>6213</v>
      </c>
      <c r="B964" s="33" t="s">
        <v>1241</v>
      </c>
      <c r="C964" s="33" t="s">
        <v>1032</v>
      </c>
      <c r="D964" s="33"/>
      <c r="E964" s="33" t="n">
        <v>96</v>
      </c>
      <c r="F964" s="33" t="s">
        <v>2154</v>
      </c>
      <c r="G964" s="33" t="s">
        <v>445</v>
      </c>
      <c r="H964" s="33" t="n">
        <v>1</v>
      </c>
      <c r="I964" s="33" t="n">
        <v>1</v>
      </c>
      <c r="J964" s="33" t="n">
        <v>1</v>
      </c>
      <c r="K964" s="32" t="n">
        <v>350</v>
      </c>
      <c r="L964" s="33" t="str">
        <f aca="false">IF($B964="","",IFERROR(INDEX('Code Mapping'!$D$5:$D$1753,MATCH($B964,'Code Mapping'!$A$5:$A$1753,0)),"Unmapped"))</f>
        <v>Unmapped</v>
      </c>
      <c r="M964" s="33" t="str">
        <f aca="false">IF($B964="","",IFERROR(INDEX('Code Mapping'!$E$5:$E$1753,MATCH($B964,'Code Mapping'!$A$5:$A$1753,0)),"Unmapped"))</f>
        <v>Unmapped</v>
      </c>
      <c r="N964" s="33" t="str">
        <f aca="false">IF($F964="","",$F964)</f>
        <v>InflataCity 2025</v>
      </c>
    </row>
    <row r="965" customFormat="false" ht="15" hidden="false" customHeight="false" outlineLevel="0" collapsed="false">
      <c r="A965" s="33" t="n">
        <v>5720</v>
      </c>
      <c r="B965" s="33" t="s">
        <v>1240</v>
      </c>
      <c r="C965" s="33" t="s">
        <v>1028</v>
      </c>
      <c r="D965" s="33"/>
      <c r="E965" s="33" t="n">
        <v>96</v>
      </c>
      <c r="F965" s="33" t="s">
        <v>2154</v>
      </c>
      <c r="G965" s="33" t="s">
        <v>445</v>
      </c>
      <c r="H965" s="33" t="n">
        <v>1</v>
      </c>
      <c r="I965" s="33" t="n">
        <v>1</v>
      </c>
      <c r="J965" s="33" t="n">
        <v>1</v>
      </c>
      <c r="K965" s="32" t="n">
        <v>300</v>
      </c>
      <c r="L965" s="33" t="str">
        <f aca="false">IF($B965="","",IFERROR(INDEX('Code Mapping'!$D$5:$D$1753,MATCH($B965,'Code Mapping'!$A$5:$A$1753,0)),"Unmapped"))</f>
        <v>Unmapped</v>
      </c>
      <c r="M965" s="33" t="str">
        <f aca="false">IF($B965="","",IFERROR(INDEX('Code Mapping'!$E$5:$E$1753,MATCH($B965,'Code Mapping'!$A$5:$A$1753,0)),"Unmapped"))</f>
        <v>Unmapped</v>
      </c>
      <c r="N965" s="33" t="str">
        <f aca="false">IF($F965="","",$F965)</f>
        <v>InflataCity 2025</v>
      </c>
    </row>
    <row r="966" customFormat="false" ht="15" hidden="false" customHeight="false" outlineLevel="0" collapsed="false">
      <c r="A966" s="33" t="n">
        <v>6319</v>
      </c>
      <c r="B966" s="33" t="s">
        <v>1239</v>
      </c>
      <c r="C966" s="33" t="s">
        <v>1026</v>
      </c>
      <c r="D966" s="33"/>
      <c r="E966" s="33" t="n">
        <v>96</v>
      </c>
      <c r="F966" s="33" t="s">
        <v>2154</v>
      </c>
      <c r="G966" s="33" t="s">
        <v>445</v>
      </c>
      <c r="H966" s="33" t="n">
        <v>1</v>
      </c>
      <c r="I966" s="33" t="n">
        <v>1</v>
      </c>
      <c r="J966" s="33" t="n">
        <v>1</v>
      </c>
      <c r="K966" s="32" t="n">
        <v>75</v>
      </c>
      <c r="L966" s="33" t="str">
        <f aca="false">IF($B966="","",IFERROR(INDEX('Code Mapping'!$D$5:$D$1753,MATCH($B966,'Code Mapping'!$A$5:$A$1753,0)),"Unmapped"))</f>
        <v>Unmapped</v>
      </c>
      <c r="M966" s="33" t="str">
        <f aca="false">IF($B966="","",IFERROR(INDEX('Code Mapping'!$E$5:$E$1753,MATCH($B966,'Code Mapping'!$A$5:$A$1753,0)),"Unmapped"))</f>
        <v>Unmapped</v>
      </c>
      <c r="N966" s="33" t="str">
        <f aca="false">IF($F966="","",$F966)</f>
        <v>InflataCity 2025</v>
      </c>
    </row>
    <row r="967" customFormat="false" ht="15" hidden="false" customHeight="false" outlineLevel="0" collapsed="false">
      <c r="A967" s="33" t="n">
        <v>5748</v>
      </c>
      <c r="B967" s="33" t="s">
        <v>1238</v>
      </c>
      <c r="C967" s="33" t="s">
        <v>1028</v>
      </c>
      <c r="D967" s="33"/>
      <c r="E967" s="33" t="n">
        <v>96</v>
      </c>
      <c r="F967" s="33" t="s">
        <v>2154</v>
      </c>
      <c r="G967" s="33" t="s">
        <v>445</v>
      </c>
      <c r="H967" s="33" t="n">
        <v>1</v>
      </c>
      <c r="I967" s="33" t="n">
        <v>1</v>
      </c>
      <c r="J967" s="33" t="n">
        <v>1</v>
      </c>
      <c r="K967" s="32" t="n">
        <v>300</v>
      </c>
      <c r="L967" s="33" t="str">
        <f aca="false">IF($B967="","",IFERROR(INDEX('Code Mapping'!$D$5:$D$1753,MATCH($B967,'Code Mapping'!$A$5:$A$1753,0)),"Unmapped"))</f>
        <v>Unmapped</v>
      </c>
      <c r="M967" s="33" t="str">
        <f aca="false">IF($B967="","",IFERROR(INDEX('Code Mapping'!$E$5:$E$1753,MATCH($B967,'Code Mapping'!$A$5:$A$1753,0)),"Unmapped"))</f>
        <v>Unmapped</v>
      </c>
      <c r="N967" s="33" t="str">
        <f aca="false">IF($F967="","",$F967)</f>
        <v>InflataCity 2025</v>
      </c>
    </row>
    <row r="968" customFormat="false" ht="15" hidden="false" customHeight="false" outlineLevel="0" collapsed="false">
      <c r="A968" s="33" t="n">
        <v>6659</v>
      </c>
      <c r="B968" s="33" t="s">
        <v>1237</v>
      </c>
      <c r="C968" s="33" t="s">
        <v>1026</v>
      </c>
      <c r="D968" s="33"/>
      <c r="E968" s="33" t="n">
        <v>96</v>
      </c>
      <c r="F968" s="33" t="s">
        <v>2154</v>
      </c>
      <c r="G968" s="33" t="s">
        <v>445</v>
      </c>
      <c r="H968" s="33" t="n">
        <v>1</v>
      </c>
      <c r="I968" s="33" t="n">
        <v>1</v>
      </c>
      <c r="J968" s="33" t="n">
        <v>1</v>
      </c>
      <c r="K968" s="32" t="n">
        <v>75</v>
      </c>
      <c r="L968" s="33" t="str">
        <f aca="false">IF($B968="","",IFERROR(INDEX('Code Mapping'!$D$5:$D$1753,MATCH($B968,'Code Mapping'!$A$5:$A$1753,0)),"Unmapped"))</f>
        <v>Unmapped</v>
      </c>
      <c r="M968" s="33" t="str">
        <f aca="false">IF($B968="","",IFERROR(INDEX('Code Mapping'!$E$5:$E$1753,MATCH($B968,'Code Mapping'!$A$5:$A$1753,0)),"Unmapped"))</f>
        <v>Unmapped</v>
      </c>
      <c r="N968" s="33" t="str">
        <f aca="false">IF($F968="","",$F968)</f>
        <v>InflataCity 2025</v>
      </c>
    </row>
    <row r="969" customFormat="false" ht="15" hidden="false" customHeight="false" outlineLevel="0" collapsed="false">
      <c r="A969" s="33" t="n">
        <v>6536</v>
      </c>
      <c r="B969" s="33" t="s">
        <v>1235</v>
      </c>
      <c r="C969" s="33" t="s">
        <v>1026</v>
      </c>
      <c r="D969" s="33"/>
      <c r="E969" s="33" t="n">
        <v>96</v>
      </c>
      <c r="F969" s="33" t="s">
        <v>2154</v>
      </c>
      <c r="G969" s="33" t="s">
        <v>445</v>
      </c>
      <c r="H969" s="33" t="n">
        <v>1</v>
      </c>
      <c r="I969" s="33" t="n">
        <v>1</v>
      </c>
      <c r="J969" s="33" t="n">
        <v>1</v>
      </c>
      <c r="K969" s="32" t="n">
        <v>75</v>
      </c>
      <c r="L969" s="33" t="str">
        <f aca="false">IF($B969="","",IFERROR(INDEX('Code Mapping'!$D$5:$D$1753,MATCH($B969,'Code Mapping'!$A$5:$A$1753,0)),"Unmapped"))</f>
        <v>Unmapped</v>
      </c>
      <c r="M969" s="33" t="str">
        <f aca="false">IF($B969="","",IFERROR(INDEX('Code Mapping'!$E$5:$E$1753,MATCH($B969,'Code Mapping'!$A$5:$A$1753,0)),"Unmapped"))</f>
        <v>Unmapped</v>
      </c>
      <c r="N969" s="33" t="str">
        <f aca="false">IF($F969="","",$F969)</f>
        <v>InflataCity 2025</v>
      </c>
    </row>
    <row r="970" customFormat="false" ht="15" hidden="false" customHeight="false" outlineLevel="0" collapsed="false">
      <c r="A970" s="33" t="n">
        <v>5583</v>
      </c>
      <c r="B970" s="33" t="s">
        <v>1234</v>
      </c>
      <c r="C970" s="33" t="s">
        <v>1028</v>
      </c>
      <c r="D970" s="33"/>
      <c r="E970" s="33" t="n">
        <v>96</v>
      </c>
      <c r="F970" s="33" t="s">
        <v>2154</v>
      </c>
      <c r="G970" s="33" t="s">
        <v>445</v>
      </c>
      <c r="H970" s="33" t="n">
        <v>1</v>
      </c>
      <c r="I970" s="33" t="n">
        <v>1</v>
      </c>
      <c r="J970" s="33" t="n">
        <v>1</v>
      </c>
      <c r="K970" s="32" t="n">
        <v>300</v>
      </c>
      <c r="L970" s="33" t="str">
        <f aca="false">IF($B970="","",IFERROR(INDEX('Code Mapping'!$D$5:$D$1753,MATCH($B970,'Code Mapping'!$A$5:$A$1753,0)),"Unmapped"))</f>
        <v>Unmapped</v>
      </c>
      <c r="M970" s="33" t="str">
        <f aca="false">IF($B970="","",IFERROR(INDEX('Code Mapping'!$E$5:$E$1753,MATCH($B970,'Code Mapping'!$A$5:$A$1753,0)),"Unmapped"))</f>
        <v>Unmapped</v>
      </c>
      <c r="N970" s="33" t="str">
        <f aca="false">IF($F970="","",$F970)</f>
        <v>InflataCity 2025</v>
      </c>
    </row>
    <row r="971" customFormat="false" ht="15" hidden="false" customHeight="false" outlineLevel="0" collapsed="false">
      <c r="A971" s="33" t="n">
        <v>6504</v>
      </c>
      <c r="B971" s="33" t="s">
        <v>1236</v>
      </c>
      <c r="C971" s="33" t="s">
        <v>1026</v>
      </c>
      <c r="D971" s="33"/>
      <c r="E971" s="33" t="n">
        <v>96</v>
      </c>
      <c r="F971" s="33" t="s">
        <v>2154</v>
      </c>
      <c r="G971" s="33" t="s">
        <v>445</v>
      </c>
      <c r="H971" s="33" t="n">
        <v>1</v>
      </c>
      <c r="I971" s="33" t="n">
        <v>1</v>
      </c>
      <c r="J971" s="33" t="n">
        <v>1</v>
      </c>
      <c r="K971" s="32" t="n">
        <v>75</v>
      </c>
      <c r="L971" s="33" t="str">
        <f aca="false">IF($B971="","",IFERROR(INDEX('Code Mapping'!$D$5:$D$1753,MATCH($B971,'Code Mapping'!$A$5:$A$1753,0)),"Unmapped"))</f>
        <v>Unmapped</v>
      </c>
      <c r="M971" s="33" t="str">
        <f aca="false">IF($B971="","",IFERROR(INDEX('Code Mapping'!$E$5:$E$1753,MATCH($B971,'Code Mapping'!$A$5:$A$1753,0)),"Unmapped"))</f>
        <v>Unmapped</v>
      </c>
      <c r="N971" s="33" t="str">
        <f aca="false">IF($F971="","",$F971)</f>
        <v>InflataCity 2025</v>
      </c>
    </row>
    <row r="972" customFormat="false" ht="15" hidden="false" customHeight="false" outlineLevel="0" collapsed="false">
      <c r="A972" s="33" t="n">
        <v>6695</v>
      </c>
      <c r="B972" s="33" t="s">
        <v>1231</v>
      </c>
      <c r="C972" s="33" t="s">
        <v>1026</v>
      </c>
      <c r="D972" s="33"/>
      <c r="E972" s="33" t="n">
        <v>96</v>
      </c>
      <c r="F972" s="33" t="s">
        <v>2154</v>
      </c>
      <c r="G972" s="33" t="s">
        <v>445</v>
      </c>
      <c r="H972" s="33" t="n">
        <v>1</v>
      </c>
      <c r="I972" s="33" t="n">
        <v>1</v>
      </c>
      <c r="J972" s="33" t="n">
        <v>1</v>
      </c>
      <c r="K972" s="32" t="n">
        <v>75</v>
      </c>
      <c r="L972" s="33" t="str">
        <f aca="false">IF($B972="","",IFERROR(INDEX('Code Mapping'!$D$5:$D$1753,MATCH($B972,'Code Mapping'!$A$5:$A$1753,0)),"Unmapped"))</f>
        <v>Unmapped</v>
      </c>
      <c r="M972" s="33" t="str">
        <f aca="false">IF($B972="","",IFERROR(INDEX('Code Mapping'!$E$5:$E$1753,MATCH($B972,'Code Mapping'!$A$5:$A$1753,0)),"Unmapped"))</f>
        <v>Unmapped</v>
      </c>
      <c r="N972" s="33" t="str">
        <f aca="false">IF($F972="","",$F972)</f>
        <v>InflataCity 2025</v>
      </c>
    </row>
    <row r="973" customFormat="false" ht="15" hidden="false" customHeight="false" outlineLevel="0" collapsed="false">
      <c r="A973" s="33" t="n">
        <v>6517</v>
      </c>
      <c r="B973" s="33" t="s">
        <v>1226</v>
      </c>
      <c r="C973" s="33" t="s">
        <v>1026</v>
      </c>
      <c r="D973" s="33"/>
      <c r="E973" s="33" t="n">
        <v>96</v>
      </c>
      <c r="F973" s="33" t="s">
        <v>2154</v>
      </c>
      <c r="G973" s="33" t="s">
        <v>445</v>
      </c>
      <c r="H973" s="33" t="n">
        <v>1</v>
      </c>
      <c r="I973" s="33" t="n">
        <v>1</v>
      </c>
      <c r="J973" s="33" t="n">
        <v>1</v>
      </c>
      <c r="K973" s="32" t="n">
        <v>75</v>
      </c>
      <c r="L973" s="33" t="str">
        <f aca="false">IF($B973="","",IFERROR(INDEX('Code Mapping'!$D$5:$D$1753,MATCH($B973,'Code Mapping'!$A$5:$A$1753,0)),"Unmapped"))</f>
        <v>Unmapped</v>
      </c>
      <c r="M973" s="33" t="str">
        <f aca="false">IF($B973="","",IFERROR(INDEX('Code Mapping'!$E$5:$E$1753,MATCH($B973,'Code Mapping'!$A$5:$A$1753,0)),"Unmapped"))</f>
        <v>Unmapped</v>
      </c>
      <c r="N973" s="33" t="str">
        <f aca="false">IF($F973="","",$F973)</f>
        <v>InflataCity 2025</v>
      </c>
    </row>
    <row r="974" customFormat="false" ht="15" hidden="false" customHeight="false" outlineLevel="0" collapsed="false">
      <c r="A974" s="33" t="n">
        <v>6500</v>
      </c>
      <c r="B974" s="33" t="s">
        <v>1220</v>
      </c>
      <c r="C974" s="33" t="s">
        <v>1026</v>
      </c>
      <c r="D974" s="33"/>
      <c r="E974" s="33" t="n">
        <v>96</v>
      </c>
      <c r="F974" s="33" t="s">
        <v>2154</v>
      </c>
      <c r="G974" s="33" t="s">
        <v>445</v>
      </c>
      <c r="H974" s="33" t="n">
        <v>1</v>
      </c>
      <c r="I974" s="33" t="n">
        <v>1</v>
      </c>
      <c r="J974" s="33" t="n">
        <v>1</v>
      </c>
      <c r="K974" s="32" t="n">
        <v>75</v>
      </c>
      <c r="L974" s="33" t="str">
        <f aca="false">IF($B974="","",IFERROR(INDEX('Code Mapping'!$D$5:$D$1753,MATCH($B974,'Code Mapping'!$A$5:$A$1753,0)),"Unmapped"))</f>
        <v>Unmapped</v>
      </c>
      <c r="M974" s="33" t="str">
        <f aca="false">IF($B974="","",IFERROR(INDEX('Code Mapping'!$E$5:$E$1753,MATCH($B974,'Code Mapping'!$A$5:$A$1753,0)),"Unmapped"))</f>
        <v>Unmapped</v>
      </c>
      <c r="N974" s="33" t="str">
        <f aca="false">IF($F974="","",$F974)</f>
        <v>InflataCity 2025</v>
      </c>
    </row>
    <row r="975" customFormat="false" ht="15" hidden="false" customHeight="false" outlineLevel="0" collapsed="false">
      <c r="A975" s="33" t="n">
        <v>6589</v>
      </c>
      <c r="B975" s="33" t="s">
        <v>1221</v>
      </c>
      <c r="C975" s="33" t="s">
        <v>1026</v>
      </c>
      <c r="D975" s="33"/>
      <c r="E975" s="33" t="n">
        <v>96</v>
      </c>
      <c r="F975" s="33" t="s">
        <v>2154</v>
      </c>
      <c r="G975" s="33" t="s">
        <v>445</v>
      </c>
      <c r="H975" s="33" t="n">
        <v>1</v>
      </c>
      <c r="I975" s="33" t="n">
        <v>1</v>
      </c>
      <c r="J975" s="33" t="n">
        <v>1</v>
      </c>
      <c r="K975" s="32" t="n">
        <v>75</v>
      </c>
      <c r="L975" s="33" t="str">
        <f aca="false">IF($B975="","",IFERROR(INDEX('Code Mapping'!$D$5:$D$1753,MATCH($B975,'Code Mapping'!$A$5:$A$1753,0)),"Unmapped"))</f>
        <v>Unmapped</v>
      </c>
      <c r="M975" s="33" t="str">
        <f aca="false">IF($B975="","",IFERROR(INDEX('Code Mapping'!$E$5:$E$1753,MATCH($B975,'Code Mapping'!$A$5:$A$1753,0)),"Unmapped"))</f>
        <v>Unmapped</v>
      </c>
      <c r="N975" s="33" t="str">
        <f aca="false">IF($F975="","",$F975)</f>
        <v>InflataCity 2025</v>
      </c>
    </row>
    <row r="976" customFormat="false" ht="15" hidden="false" customHeight="false" outlineLevel="0" collapsed="false">
      <c r="A976" s="33" t="n">
        <v>5592</v>
      </c>
      <c r="B976" s="33" t="s">
        <v>1223</v>
      </c>
      <c r="C976" s="33" t="s">
        <v>1028</v>
      </c>
      <c r="D976" s="33"/>
      <c r="E976" s="33" t="n">
        <v>96</v>
      </c>
      <c r="F976" s="33" t="s">
        <v>2154</v>
      </c>
      <c r="G976" s="33" t="s">
        <v>445</v>
      </c>
      <c r="H976" s="33" t="n">
        <v>1</v>
      </c>
      <c r="I976" s="33" t="n">
        <v>1</v>
      </c>
      <c r="J976" s="33" t="n">
        <v>1</v>
      </c>
      <c r="K976" s="32" t="n">
        <v>300</v>
      </c>
      <c r="L976" s="33" t="str">
        <f aca="false">IF($B976="","",IFERROR(INDEX('Code Mapping'!$D$5:$D$1753,MATCH($B976,'Code Mapping'!$A$5:$A$1753,0)),"Unmapped"))</f>
        <v>Unmapped</v>
      </c>
      <c r="M976" s="33" t="str">
        <f aca="false">IF($B976="","",IFERROR(INDEX('Code Mapping'!$E$5:$E$1753,MATCH($B976,'Code Mapping'!$A$5:$A$1753,0)),"Unmapped"))</f>
        <v>Unmapped</v>
      </c>
      <c r="N976" s="33" t="str">
        <f aca="false">IF($F976="","",$F976)</f>
        <v>InflataCity 2025</v>
      </c>
    </row>
    <row r="977" customFormat="false" ht="15" hidden="false" customHeight="false" outlineLevel="0" collapsed="false">
      <c r="A977" s="33" t="n">
        <v>5726</v>
      </c>
      <c r="B977" s="33" t="s">
        <v>1224</v>
      </c>
      <c r="C977" s="33" t="s">
        <v>1028</v>
      </c>
      <c r="D977" s="33"/>
      <c r="E977" s="33" t="n">
        <v>96</v>
      </c>
      <c r="F977" s="33" t="s">
        <v>2154</v>
      </c>
      <c r="G977" s="33" t="s">
        <v>445</v>
      </c>
      <c r="H977" s="33" t="n">
        <v>1</v>
      </c>
      <c r="I977" s="33" t="n">
        <v>1</v>
      </c>
      <c r="J977" s="33" t="n">
        <v>1</v>
      </c>
      <c r="K977" s="32" t="n">
        <v>300</v>
      </c>
      <c r="L977" s="33" t="str">
        <f aca="false">IF($B977="","",IFERROR(INDEX('Code Mapping'!$D$5:$D$1753,MATCH($B977,'Code Mapping'!$A$5:$A$1753,0)),"Unmapped"))</f>
        <v>Unmapped</v>
      </c>
      <c r="M977" s="33" t="str">
        <f aca="false">IF($B977="","",IFERROR(INDEX('Code Mapping'!$E$5:$E$1753,MATCH($B977,'Code Mapping'!$A$5:$A$1753,0)),"Unmapped"))</f>
        <v>Unmapped</v>
      </c>
      <c r="N977" s="33" t="str">
        <f aca="false">IF($F977="","",$F977)</f>
        <v>InflataCity 2025</v>
      </c>
    </row>
    <row r="978" customFormat="false" ht="15" hidden="false" customHeight="false" outlineLevel="0" collapsed="false">
      <c r="A978" s="33" t="n">
        <v>5860</v>
      </c>
      <c r="B978" s="33" t="s">
        <v>1225</v>
      </c>
      <c r="C978" s="33" t="s">
        <v>1028</v>
      </c>
      <c r="D978" s="33"/>
      <c r="E978" s="33" t="n">
        <v>96</v>
      </c>
      <c r="F978" s="33" t="s">
        <v>2154</v>
      </c>
      <c r="G978" s="33" t="s">
        <v>445</v>
      </c>
      <c r="H978" s="33" t="n">
        <v>1</v>
      </c>
      <c r="I978" s="33" t="n">
        <v>1</v>
      </c>
      <c r="J978" s="33" t="n">
        <v>1</v>
      </c>
      <c r="K978" s="32" t="n">
        <v>300</v>
      </c>
      <c r="L978" s="33" t="str">
        <f aca="false">IF($B978="","",IFERROR(INDEX('Code Mapping'!$D$5:$D$1753,MATCH($B978,'Code Mapping'!$A$5:$A$1753,0)),"Unmapped"))</f>
        <v>Unmapped</v>
      </c>
      <c r="M978" s="33" t="str">
        <f aca="false">IF($B978="","",IFERROR(INDEX('Code Mapping'!$E$5:$E$1753,MATCH($B978,'Code Mapping'!$A$5:$A$1753,0)),"Unmapped"))</f>
        <v>Unmapped</v>
      </c>
      <c r="N978" s="33" t="str">
        <f aca="false">IF($F978="","",$F978)</f>
        <v>InflataCity 2025</v>
      </c>
    </row>
    <row r="979" customFormat="false" ht="15" hidden="false" customHeight="false" outlineLevel="0" collapsed="false">
      <c r="A979" s="33" t="n">
        <v>6661</v>
      </c>
      <c r="B979" s="33" t="s">
        <v>1222</v>
      </c>
      <c r="C979" s="33" t="s">
        <v>1026</v>
      </c>
      <c r="D979" s="33"/>
      <c r="E979" s="33" t="n">
        <v>96</v>
      </c>
      <c r="F979" s="33" t="s">
        <v>2154</v>
      </c>
      <c r="G979" s="33" t="s">
        <v>445</v>
      </c>
      <c r="H979" s="33" t="n">
        <v>1</v>
      </c>
      <c r="I979" s="33" t="n">
        <v>1</v>
      </c>
      <c r="J979" s="33" t="n">
        <v>1</v>
      </c>
      <c r="K979" s="32" t="n">
        <v>75</v>
      </c>
      <c r="L979" s="33" t="str">
        <f aca="false">IF($B979="","",IFERROR(INDEX('Code Mapping'!$D$5:$D$1753,MATCH($B979,'Code Mapping'!$A$5:$A$1753,0)),"Unmapped"))</f>
        <v>Unmapped</v>
      </c>
      <c r="M979" s="33" t="str">
        <f aca="false">IF($B979="","",IFERROR(INDEX('Code Mapping'!$E$5:$E$1753,MATCH($B979,'Code Mapping'!$A$5:$A$1753,0)),"Unmapped"))</f>
        <v>Unmapped</v>
      </c>
      <c r="N979" s="33" t="str">
        <f aca="false">IF($F979="","",$F979)</f>
        <v>InflataCity 2025</v>
      </c>
    </row>
    <row r="980" customFormat="false" ht="15" hidden="false" customHeight="false" outlineLevel="0" collapsed="false">
      <c r="A980" s="33" t="n">
        <v>6227</v>
      </c>
      <c r="B980" s="33" t="s">
        <v>1227</v>
      </c>
      <c r="C980" s="33" t="s">
        <v>1032</v>
      </c>
      <c r="D980" s="33"/>
      <c r="E980" s="33" t="n">
        <v>96</v>
      </c>
      <c r="F980" s="33" t="s">
        <v>2154</v>
      </c>
      <c r="G980" s="33" t="s">
        <v>445</v>
      </c>
      <c r="H980" s="33" t="n">
        <v>1</v>
      </c>
      <c r="I980" s="33" t="n">
        <v>1</v>
      </c>
      <c r="J980" s="33" t="n">
        <v>1</v>
      </c>
      <c r="K980" s="32" t="n">
        <v>350</v>
      </c>
      <c r="L980" s="33" t="str">
        <f aca="false">IF($B980="","",IFERROR(INDEX('Code Mapping'!$D$5:$D$1753,MATCH($B980,'Code Mapping'!$A$5:$A$1753,0)),"Unmapped"))</f>
        <v>Unmapped</v>
      </c>
      <c r="M980" s="33" t="str">
        <f aca="false">IF($B980="","",IFERROR(INDEX('Code Mapping'!$E$5:$E$1753,MATCH($B980,'Code Mapping'!$A$5:$A$1753,0)),"Unmapped"))</f>
        <v>Unmapped</v>
      </c>
      <c r="N980" s="33" t="str">
        <f aca="false">IF($F980="","",$F980)</f>
        <v>InflataCity 2025</v>
      </c>
    </row>
    <row r="981" customFormat="false" ht="15" hidden="false" customHeight="false" outlineLevel="0" collapsed="false">
      <c r="A981" s="33" t="n">
        <v>6301</v>
      </c>
      <c r="B981" s="33" t="s">
        <v>1228</v>
      </c>
      <c r="C981" s="33" t="s">
        <v>1026</v>
      </c>
      <c r="D981" s="33"/>
      <c r="E981" s="33" t="n">
        <v>96</v>
      </c>
      <c r="F981" s="33" t="s">
        <v>2154</v>
      </c>
      <c r="G981" s="33" t="s">
        <v>445</v>
      </c>
      <c r="H981" s="33" t="n">
        <v>1</v>
      </c>
      <c r="I981" s="33" t="n">
        <v>1</v>
      </c>
      <c r="J981" s="33" t="n">
        <v>1</v>
      </c>
      <c r="K981" s="32" t="n">
        <v>75</v>
      </c>
      <c r="L981" s="33" t="str">
        <f aca="false">IF($B981="","",IFERROR(INDEX('Code Mapping'!$D$5:$D$1753,MATCH($B981,'Code Mapping'!$A$5:$A$1753,0)),"Unmapped"))</f>
        <v>Unmapped</v>
      </c>
      <c r="M981" s="33" t="str">
        <f aca="false">IF($B981="","",IFERROR(INDEX('Code Mapping'!$E$5:$E$1753,MATCH($B981,'Code Mapping'!$A$5:$A$1753,0)),"Unmapped"))</f>
        <v>Unmapped</v>
      </c>
      <c r="N981" s="33" t="str">
        <f aca="false">IF($F981="","",$F981)</f>
        <v>InflataCity 2025</v>
      </c>
    </row>
    <row r="982" customFormat="false" ht="15" hidden="false" customHeight="false" outlineLevel="0" collapsed="false">
      <c r="A982" s="33" t="n">
        <v>6413</v>
      </c>
      <c r="B982" s="33" t="s">
        <v>1229</v>
      </c>
      <c r="C982" s="33" t="s">
        <v>1026</v>
      </c>
      <c r="D982" s="33"/>
      <c r="E982" s="33" t="n">
        <v>96</v>
      </c>
      <c r="F982" s="33" t="s">
        <v>2154</v>
      </c>
      <c r="G982" s="33" t="s">
        <v>445</v>
      </c>
      <c r="H982" s="33" t="n">
        <v>1</v>
      </c>
      <c r="I982" s="33" t="n">
        <v>1</v>
      </c>
      <c r="J982" s="33" t="n">
        <v>1</v>
      </c>
      <c r="K982" s="32" t="n">
        <v>75</v>
      </c>
      <c r="L982" s="33" t="str">
        <f aca="false">IF($B982="","",IFERROR(INDEX('Code Mapping'!$D$5:$D$1753,MATCH($B982,'Code Mapping'!$A$5:$A$1753,0)),"Unmapped"))</f>
        <v>Unmapped</v>
      </c>
      <c r="M982" s="33" t="str">
        <f aca="false">IF($B982="","",IFERROR(INDEX('Code Mapping'!$E$5:$E$1753,MATCH($B982,'Code Mapping'!$A$5:$A$1753,0)),"Unmapped"))</f>
        <v>Unmapped</v>
      </c>
      <c r="N982" s="33" t="str">
        <f aca="false">IF($F982="","",$F982)</f>
        <v>InflataCity 2025</v>
      </c>
    </row>
    <row r="983" customFormat="false" ht="15" hidden="false" customHeight="false" outlineLevel="0" collapsed="false">
      <c r="A983" s="33" t="n">
        <v>6590</v>
      </c>
      <c r="B983" s="33" t="s">
        <v>1230</v>
      </c>
      <c r="C983" s="33" t="s">
        <v>1026</v>
      </c>
      <c r="D983" s="33"/>
      <c r="E983" s="33" t="n">
        <v>96</v>
      </c>
      <c r="F983" s="33" t="s">
        <v>2154</v>
      </c>
      <c r="G983" s="33" t="s">
        <v>445</v>
      </c>
      <c r="H983" s="33" t="n">
        <v>1</v>
      </c>
      <c r="I983" s="33" t="n">
        <v>1</v>
      </c>
      <c r="J983" s="33" t="n">
        <v>1</v>
      </c>
      <c r="K983" s="32" t="n">
        <v>75</v>
      </c>
      <c r="L983" s="33" t="str">
        <f aca="false">IF($B983="","",IFERROR(INDEX('Code Mapping'!$D$5:$D$1753,MATCH($B983,'Code Mapping'!$A$5:$A$1753,0)),"Unmapped"))</f>
        <v>Unmapped</v>
      </c>
      <c r="M983" s="33" t="str">
        <f aca="false">IF($B983="","",IFERROR(INDEX('Code Mapping'!$E$5:$E$1753,MATCH($B983,'Code Mapping'!$A$5:$A$1753,0)),"Unmapped"))</f>
        <v>Unmapped</v>
      </c>
      <c r="N983" s="33" t="str">
        <f aca="false">IF($F983="","",$F983)</f>
        <v>InflataCity 2025</v>
      </c>
    </row>
    <row r="984" customFormat="false" ht="15" hidden="false" customHeight="false" outlineLevel="0" collapsed="false">
      <c r="A984" s="33" t="n">
        <v>5507</v>
      </c>
      <c r="B984" s="33" t="s">
        <v>2040</v>
      </c>
      <c r="C984" s="33" t="s">
        <v>2041</v>
      </c>
      <c r="D984" s="33"/>
      <c r="E984" s="33" t="n">
        <v>79</v>
      </c>
      <c r="F984" s="33" t="s">
        <v>2155</v>
      </c>
      <c r="G984" s="33" t="s">
        <v>441</v>
      </c>
      <c r="H984" s="33" t="n">
        <v>1</v>
      </c>
      <c r="I984" s="33" t="n">
        <v>1</v>
      </c>
      <c r="J984" s="33" t="n">
        <v>1</v>
      </c>
      <c r="K984" s="32" t="n">
        <v>60</v>
      </c>
      <c r="L984" s="33" t="str">
        <f aca="false">IF($B984="","",IFERROR(INDEX('Code Mapping'!$D$5:$D$1753,MATCH($B984,'Code Mapping'!$A$5:$A$1753,0)),"Unmapped"))</f>
        <v>Unmapped</v>
      </c>
      <c r="M984" s="33" t="str">
        <f aca="false">IF($B984="","",IFERROR(INDEX('Code Mapping'!$E$5:$E$1753,MATCH($B984,'Code Mapping'!$A$5:$A$1753,0)),"Unmapped"))</f>
        <v>Unmapped</v>
      </c>
      <c r="N984" s="33" t="str">
        <f aca="false">IF($F984="","",$F984)</f>
        <v>Stand Up Comedy Qatar @ Collectors</v>
      </c>
    </row>
    <row r="985" customFormat="false" ht="15" hidden="false" customHeight="false" outlineLevel="0" collapsed="false">
      <c r="A985" s="33" t="n">
        <v>5537</v>
      </c>
      <c r="B985" s="33" t="s">
        <v>1990</v>
      </c>
      <c r="C985" s="33" t="s">
        <v>1991</v>
      </c>
      <c r="D985" s="33"/>
      <c r="E985" s="33" t="n">
        <v>94</v>
      </c>
      <c r="F985" s="33" t="s">
        <v>2153</v>
      </c>
      <c r="G985" s="33" t="s">
        <v>441</v>
      </c>
      <c r="H985" s="33" t="n">
        <v>1</v>
      </c>
      <c r="I985" s="33" t="n">
        <v>4</v>
      </c>
      <c r="J985" s="33" t="n">
        <v>4</v>
      </c>
      <c r="K985" s="32" t="n">
        <v>450</v>
      </c>
      <c r="L985" s="33" t="str">
        <f aca="false">IF($B985="","",IFERROR(INDEX('Code Mapping'!$D$5:$D$1753,MATCH($B985,'Code Mapping'!$A$5:$A$1753,0)),"Unmapped"))</f>
        <v>Unmapped</v>
      </c>
      <c r="M985" s="33" t="str">
        <f aca="false">IF($B985="","",IFERROR(INDEX('Code Mapping'!$E$5:$E$1753,MATCH($B985,'Code Mapping'!$A$5:$A$1753,0)),"Unmapped"))</f>
        <v>Unmapped</v>
      </c>
      <c r="N985" s="33" t="str">
        <f aca="false">IF($F985="","",$F985)</f>
        <v>Driving School</v>
      </c>
    </row>
    <row r="986" customFormat="false" ht="15" hidden="false" customHeight="false" outlineLevel="0" collapsed="false">
      <c r="A986" s="33" t="n">
        <v>5516</v>
      </c>
      <c r="B986" s="33" t="s">
        <v>1984</v>
      </c>
      <c r="C986" s="33" t="s">
        <v>1985</v>
      </c>
      <c r="D986" s="33"/>
      <c r="E986" s="33" t="n">
        <v>91</v>
      </c>
      <c r="F986" s="33" t="s">
        <v>36</v>
      </c>
      <c r="G986" s="33" t="s">
        <v>441</v>
      </c>
      <c r="H986" s="33" t="n">
        <v>1</v>
      </c>
      <c r="I986" s="33" t="n">
        <v>4</v>
      </c>
      <c r="J986" s="33" t="n">
        <v>4</v>
      </c>
      <c r="K986" s="32" t="n">
        <v>18</v>
      </c>
      <c r="L986" s="33" t="str">
        <f aca="false">IF($B986="","",IFERROR(INDEX('Code Mapping'!$D$5:$D$1753,MATCH($B986,'Code Mapping'!$A$5:$A$1753,0)),"Unmapped"))</f>
        <v>Internal / promotion</v>
      </c>
      <c r="M986" s="33" t="str">
        <f aca="false">IF($B986="","",IFERROR(INDEX('Code Mapping'!$E$5:$E$1753,MATCH($B986,'Code Mapping'!$A$5:$A$1753,0)),"Unmapped"))</f>
        <v>Internal / promotion</v>
      </c>
      <c r="N986" s="33" t="str">
        <f aca="false">IF($F986="","",$F986)</f>
        <v>InflataPark</v>
      </c>
    </row>
    <row r="987" customFormat="false" ht="15" hidden="false" customHeight="false" outlineLevel="0" collapsed="false">
      <c r="A987" s="33" t="n">
        <v>5466</v>
      </c>
      <c r="B987" s="33" t="s">
        <v>2062</v>
      </c>
      <c r="C987" s="33" t="s">
        <v>2063</v>
      </c>
      <c r="D987" s="33"/>
      <c r="E987" s="33" t="n">
        <v>91</v>
      </c>
      <c r="F987" s="33" t="s">
        <v>36</v>
      </c>
      <c r="G987" s="33" t="s">
        <v>441</v>
      </c>
      <c r="H987" s="33" t="n">
        <v>1</v>
      </c>
      <c r="I987" s="33" t="n">
        <v>1</v>
      </c>
      <c r="J987" s="33" t="n">
        <v>1</v>
      </c>
      <c r="K987" s="32" t="n">
        <v>250</v>
      </c>
      <c r="L987" s="33" t="str">
        <f aca="false">IF($B987="","",IFERROR(INDEX('Code Mapping'!$D$5:$D$1753,MATCH($B987,'Code Mapping'!$A$5:$A$1753,0)),"Unmapped"))</f>
        <v>Unmapped</v>
      </c>
      <c r="M987" s="33" t="str">
        <f aca="false">IF($B987="","",IFERROR(INDEX('Code Mapping'!$E$5:$E$1753,MATCH($B987,'Code Mapping'!$A$5:$A$1753,0)),"Unmapped"))</f>
        <v>Unmapped</v>
      </c>
      <c r="N987" s="33" t="str">
        <f aca="false">IF($F987="","",$F987)</f>
        <v>InflataPark</v>
      </c>
    </row>
    <row r="988" customFormat="false" ht="15" hidden="false" customHeight="false" outlineLevel="0" collapsed="false">
      <c r="A988" s="33" t="n">
        <v>5519</v>
      </c>
      <c r="B988" s="33" t="s">
        <v>1971</v>
      </c>
      <c r="C988" s="33" t="s">
        <v>1784</v>
      </c>
      <c r="D988" s="33"/>
      <c r="E988" s="33" t="n">
        <v>91</v>
      </c>
      <c r="F988" s="33" t="s">
        <v>36</v>
      </c>
      <c r="G988" s="33" t="s">
        <v>441</v>
      </c>
      <c r="H988" s="33" t="n">
        <v>1</v>
      </c>
      <c r="I988" s="33" t="n">
        <v>6</v>
      </c>
      <c r="J988" s="33" t="n">
        <v>6</v>
      </c>
      <c r="K988" s="32" t="n">
        <v>49.5</v>
      </c>
      <c r="L988" s="33" t="str">
        <f aca="false">IF($B988="","",IFERROR(INDEX('Code Mapping'!$D$5:$D$1753,MATCH($B988,'Code Mapping'!$A$5:$A$1753,0)),"Unmapped"))</f>
        <v>Qatar Airways</v>
      </c>
      <c r="M988" s="33" t="str">
        <f aca="false">IF($B988="","",IFERROR(INDEX('Code Mapping'!$E$5:$E$1753,MATCH($B988,'Code Mapping'!$A$5:$A$1753,0)),"Unmapped"))</f>
        <v>Corporate discount</v>
      </c>
      <c r="N988" s="33" t="str">
        <f aca="false">IF($F988="","",$F988)</f>
        <v>InflataPark</v>
      </c>
    </row>
    <row r="989" customFormat="false" ht="15" hidden="false" customHeight="false" outlineLevel="0" collapsed="false">
      <c r="A989" s="33" t="n">
        <v>5526</v>
      </c>
      <c r="B989" s="33" t="s">
        <v>1783</v>
      </c>
      <c r="C989" s="33" t="s">
        <v>1784</v>
      </c>
      <c r="D989" s="33"/>
      <c r="E989" s="33" t="n">
        <v>94</v>
      </c>
      <c r="F989" s="33" t="s">
        <v>2153</v>
      </c>
      <c r="G989" s="33" t="s">
        <v>441</v>
      </c>
      <c r="H989" s="33" t="n">
        <v>3</v>
      </c>
      <c r="I989" s="33" t="n">
        <v>3</v>
      </c>
      <c r="J989" s="33" t="n">
        <v>3</v>
      </c>
      <c r="K989" s="32" t="n">
        <v>101.25</v>
      </c>
      <c r="L989" s="33" t="str">
        <f aca="false">IF($B989="","",IFERROR(INDEX('Code Mapping'!$D$5:$D$1753,MATCH($B989,'Code Mapping'!$A$5:$A$1753,0)),"Unmapped"))</f>
        <v>Qatar Airways</v>
      </c>
      <c r="M989" s="33" t="str">
        <f aca="false">IF($B989="","",IFERROR(INDEX('Code Mapping'!$E$5:$E$1753,MATCH($B989,'Code Mapping'!$A$5:$A$1753,0)),"Unmapped"))</f>
        <v>Corporate discount</v>
      </c>
      <c r="N989" s="33" t="str">
        <f aca="false">IF($F989="","",$F989)</f>
        <v>Driving School</v>
      </c>
    </row>
    <row r="990" customFormat="false" ht="15" hidden="false" customHeight="false" outlineLevel="0" collapsed="false">
      <c r="A990" s="33" t="n">
        <v>5515</v>
      </c>
      <c r="B990" s="33" t="s">
        <v>1779</v>
      </c>
      <c r="C990" s="33" t="s">
        <v>1780</v>
      </c>
      <c r="D990" s="33"/>
      <c r="E990" s="33" t="n">
        <v>94</v>
      </c>
      <c r="F990" s="33" t="s">
        <v>2153</v>
      </c>
      <c r="G990" s="33" t="s">
        <v>441</v>
      </c>
      <c r="H990" s="33" t="n">
        <v>1</v>
      </c>
      <c r="I990" s="33" t="n">
        <v>2</v>
      </c>
      <c r="J990" s="33" t="n">
        <v>2</v>
      </c>
      <c r="K990" s="32" t="n">
        <v>60</v>
      </c>
      <c r="L990" s="33" t="str">
        <f aca="false">IF($B990="","",IFERROR(INDEX('Code Mapping'!$D$5:$D$1753,MATCH($B990,'Code Mapping'!$A$5:$A$1753,0)),"Unmapped"))</f>
        <v>Unmapped</v>
      </c>
      <c r="M990" s="33" t="str">
        <f aca="false">IF($B990="","",IFERROR(INDEX('Code Mapping'!$E$5:$E$1753,MATCH($B990,'Code Mapping'!$A$5:$A$1753,0)),"Unmapped"))</f>
        <v>Unmapped</v>
      </c>
      <c r="N990" s="33" t="str">
        <f aca="false">IF($F990="","",$F990)</f>
        <v>Driving School</v>
      </c>
    </row>
    <row r="991" customFormat="false" ht="15" hidden="false" customHeight="false" outlineLevel="0" collapsed="false">
      <c r="A991" s="33" t="n">
        <v>5522</v>
      </c>
      <c r="B991" s="33" t="s">
        <v>1775</v>
      </c>
      <c r="C991" s="33" t="s">
        <v>1776</v>
      </c>
      <c r="D991" s="33"/>
      <c r="E991" s="33" t="n">
        <v>94</v>
      </c>
      <c r="F991" s="33" t="s">
        <v>2153</v>
      </c>
      <c r="G991" s="33" t="s">
        <v>441</v>
      </c>
      <c r="H991" s="33" t="n">
        <v>1</v>
      </c>
      <c r="I991" s="33" t="n">
        <v>1</v>
      </c>
      <c r="J991" s="33" t="n">
        <v>1</v>
      </c>
      <c r="K991" s="32" t="n">
        <v>33.75</v>
      </c>
      <c r="L991" s="33" t="str">
        <f aca="false">IF($B991="","",IFERROR(INDEX('Code Mapping'!$D$5:$D$1753,MATCH($B991,'Code Mapping'!$A$5:$A$1753,0)),"Unmapped"))</f>
        <v>Al Jazeera Imtiyazat</v>
      </c>
      <c r="M991" s="33" t="str">
        <f aca="false">IF($B991="","",IFERROR(INDEX('Code Mapping'!$E$5:$E$1753,MATCH($B991,'Code Mapping'!$A$5:$A$1753,0)),"Unmapped"))</f>
        <v>Corporate discount</v>
      </c>
      <c r="N991" s="33" t="str">
        <f aca="false">IF($F991="","",$F991)</f>
        <v>Driving School</v>
      </c>
    </row>
    <row r="992" customFormat="false" ht="15" hidden="false" customHeight="false" outlineLevel="0" collapsed="false">
      <c r="A992" s="33" t="n">
        <v>5469</v>
      </c>
      <c r="B992" s="33" t="s">
        <v>2068</v>
      </c>
      <c r="C992" s="33" t="s">
        <v>2069</v>
      </c>
      <c r="D992" s="33"/>
      <c r="E992" s="33" t="n">
        <v>91</v>
      </c>
      <c r="F992" s="33" t="s">
        <v>36</v>
      </c>
      <c r="G992" s="33" t="s">
        <v>441</v>
      </c>
      <c r="H992" s="33" t="n">
        <v>1</v>
      </c>
      <c r="I992" s="33" t="n">
        <v>1</v>
      </c>
      <c r="J992" s="33" t="n">
        <v>1</v>
      </c>
      <c r="K992" s="32" t="n">
        <v>250</v>
      </c>
      <c r="L992" s="33" t="str">
        <f aca="false">IF($B992="","",IFERROR(INDEX('Code Mapping'!$D$5:$D$1753,MATCH($B992,'Code Mapping'!$A$5:$A$1753,0)),"Unmapped"))</f>
        <v>Unmapped</v>
      </c>
      <c r="M992" s="33" t="str">
        <f aca="false">IF($B992="","",IFERROR(INDEX('Code Mapping'!$E$5:$E$1753,MATCH($B992,'Code Mapping'!$A$5:$A$1753,0)),"Unmapped"))</f>
        <v>Unmapped</v>
      </c>
      <c r="N992" s="33" t="str">
        <f aca="false">IF($F992="","",$F992)</f>
        <v>InflataPark</v>
      </c>
    </row>
    <row r="993" customFormat="false" ht="15" hidden="false" customHeight="false" outlineLevel="0" collapsed="false">
      <c r="A993" s="33" t="n">
        <v>5467</v>
      </c>
      <c r="B993" s="33" t="s">
        <v>2066</v>
      </c>
      <c r="C993" s="33" t="s">
        <v>2067</v>
      </c>
      <c r="D993" s="33"/>
      <c r="E993" s="33" t="n">
        <v>91</v>
      </c>
      <c r="F993" s="33" t="s">
        <v>36</v>
      </c>
      <c r="G993" s="33" t="s">
        <v>441</v>
      </c>
      <c r="H993" s="33" t="n">
        <v>1</v>
      </c>
      <c r="I993" s="33" t="n">
        <v>1</v>
      </c>
      <c r="J993" s="33" t="n">
        <v>1</v>
      </c>
      <c r="K993" s="32" t="n">
        <v>250</v>
      </c>
      <c r="L993" s="33" t="str">
        <f aca="false">IF($B993="","",IFERROR(INDEX('Code Mapping'!$D$5:$D$1753,MATCH($B993,'Code Mapping'!$A$5:$A$1753,0)),"Unmapped"))</f>
        <v>Unmapped</v>
      </c>
      <c r="M993" s="33" t="str">
        <f aca="false">IF($B993="","",IFERROR(INDEX('Code Mapping'!$E$5:$E$1753,MATCH($B993,'Code Mapping'!$A$5:$A$1753,0)),"Unmapped"))</f>
        <v>Unmapped</v>
      </c>
      <c r="N993" s="33" t="str">
        <f aca="false">IF($F993="","",$F993)</f>
        <v>InflataPark</v>
      </c>
    </row>
    <row r="994" customFormat="false" ht="15" hidden="false" customHeight="false" outlineLevel="0" collapsed="false">
      <c r="A994" s="33" t="n">
        <v>5524</v>
      </c>
      <c r="B994" s="33" t="s">
        <v>1785</v>
      </c>
      <c r="C994" s="33" t="s">
        <v>1786</v>
      </c>
      <c r="D994" s="33"/>
      <c r="E994" s="33" t="n">
        <v>94</v>
      </c>
      <c r="F994" s="33" t="s">
        <v>2153</v>
      </c>
      <c r="G994" s="33" t="s">
        <v>441</v>
      </c>
      <c r="H994" s="33" t="n">
        <v>2</v>
      </c>
      <c r="I994" s="33" t="n">
        <v>2</v>
      </c>
      <c r="J994" s="33" t="n">
        <v>2</v>
      </c>
      <c r="K994" s="32" t="n">
        <v>67.5</v>
      </c>
      <c r="L994" s="33" t="str">
        <f aca="false">IF($B994="","",IFERROR(INDEX('Code Mapping'!$D$5:$D$1753,MATCH($B994,'Code Mapping'!$A$5:$A$1753,0)),"Unmapped"))</f>
        <v>QIB</v>
      </c>
      <c r="M994" s="33" t="str">
        <f aca="false">IF($B994="","",IFERROR(INDEX('Code Mapping'!$E$5:$E$1753,MATCH($B994,'Code Mapping'!$A$5:$A$1753,0)),"Unmapped"))</f>
        <v>Corporate discount</v>
      </c>
      <c r="N994" s="33" t="str">
        <f aca="false">IF($F994="","",$F994)</f>
        <v>Driving School</v>
      </c>
    </row>
    <row r="995" customFormat="false" ht="15" hidden="false" customHeight="false" outlineLevel="0" collapsed="false">
      <c r="A995" s="33" t="n">
        <v>5465</v>
      </c>
      <c r="B995" s="33" t="s">
        <v>2060</v>
      </c>
      <c r="C995" s="33" t="s">
        <v>2061</v>
      </c>
      <c r="D995" s="33"/>
      <c r="E995" s="33" t="n">
        <v>91</v>
      </c>
      <c r="F995" s="33" t="s">
        <v>36</v>
      </c>
      <c r="G995" s="33" t="s">
        <v>441</v>
      </c>
      <c r="H995" s="33" t="n">
        <v>1</v>
      </c>
      <c r="I995" s="33" t="n">
        <v>1</v>
      </c>
      <c r="J995" s="33" t="n">
        <v>1</v>
      </c>
      <c r="K995" s="32" t="n">
        <v>250</v>
      </c>
      <c r="L995" s="33" t="str">
        <f aca="false">IF($B995="","",IFERROR(INDEX('Code Mapping'!$D$5:$D$1753,MATCH($B995,'Code Mapping'!$A$5:$A$1753,0)),"Unmapped"))</f>
        <v>Unmapped</v>
      </c>
      <c r="M995" s="33" t="str">
        <f aca="false">IF($B995="","",IFERROR(INDEX('Code Mapping'!$E$5:$E$1753,MATCH($B995,'Code Mapping'!$A$5:$A$1753,0)),"Unmapped"))</f>
        <v>Unmapped</v>
      </c>
      <c r="N995" s="33" t="str">
        <f aca="false">IF($F995="","",$F995)</f>
        <v>InflataPark</v>
      </c>
    </row>
    <row r="996" customFormat="false" ht="15" hidden="false" customHeight="false" outlineLevel="0" collapsed="false">
      <c r="A996" s="33" t="n">
        <v>5484</v>
      </c>
      <c r="B996" s="33" t="s">
        <v>205</v>
      </c>
      <c r="C996" s="33" t="s">
        <v>206</v>
      </c>
      <c r="D996" s="33"/>
      <c r="E996" s="33" t="n">
        <v>91</v>
      </c>
      <c r="F996" s="33" t="s">
        <v>36</v>
      </c>
      <c r="G996" s="33" t="s">
        <v>441</v>
      </c>
      <c r="H996" s="33" t="n">
        <v>163</v>
      </c>
      <c r="I996" s="33" t="n">
        <v>380</v>
      </c>
      <c r="J996" s="33" t="n">
        <v>380</v>
      </c>
      <c r="K996" s="32" t="n">
        <v>7000.5</v>
      </c>
      <c r="L996" s="33" t="str">
        <f aca="false">IF($B996="","",IFERROR(INDEX('Code Mapping'!$D$5:$D$1753,MATCH($B996,'Code Mapping'!$A$5:$A$1753,0)),"Unmapped"))</f>
        <v>Internal / promotion</v>
      </c>
      <c r="M996" s="33" t="str">
        <f aca="false">IF($B996="","",IFERROR(INDEX('Code Mapping'!$E$5:$E$1753,MATCH($B996,'Code Mapping'!$A$5:$A$1753,0)),"Unmapped"))</f>
        <v>Internal / promotion</v>
      </c>
      <c r="N996" s="33" t="str">
        <f aca="false">IF($F996="","",$F996)</f>
        <v>InflataPark</v>
      </c>
    </row>
    <row r="997" customFormat="false" ht="15" hidden="false" customHeight="false" outlineLevel="0" collapsed="false">
      <c r="A997" s="33" t="n">
        <v>5464</v>
      </c>
      <c r="B997" s="33" t="s">
        <v>2058</v>
      </c>
      <c r="C997" s="33" t="s">
        <v>2059</v>
      </c>
      <c r="D997" s="33"/>
      <c r="E997" s="33" t="n">
        <v>91</v>
      </c>
      <c r="F997" s="33" t="s">
        <v>36</v>
      </c>
      <c r="G997" s="33" t="s">
        <v>441</v>
      </c>
      <c r="H997" s="33" t="n">
        <v>1</v>
      </c>
      <c r="I997" s="33" t="n">
        <v>1</v>
      </c>
      <c r="J997" s="33" t="n">
        <v>1</v>
      </c>
      <c r="K997" s="32" t="n">
        <v>250</v>
      </c>
      <c r="L997" s="33" t="str">
        <f aca="false">IF($B997="","",IFERROR(INDEX('Code Mapping'!$D$5:$D$1753,MATCH($B997,'Code Mapping'!$A$5:$A$1753,0)),"Unmapped"))</f>
        <v>Unmapped</v>
      </c>
      <c r="M997" s="33" t="str">
        <f aca="false">IF($B997="","",IFERROR(INDEX('Code Mapping'!$E$5:$E$1753,MATCH($B997,'Code Mapping'!$A$5:$A$1753,0)),"Unmapped"))</f>
        <v>Unmapped</v>
      </c>
      <c r="N997" s="33" t="str">
        <f aca="false">IF($F997="","",$F997)</f>
        <v>InflataPark</v>
      </c>
    </row>
    <row r="998" customFormat="false" ht="15" hidden="false" customHeight="false" outlineLevel="0" collapsed="false">
      <c r="A998" s="33" t="n">
        <v>5520</v>
      </c>
      <c r="B998" s="33" t="s">
        <v>439</v>
      </c>
      <c r="C998" s="33" t="s">
        <v>440</v>
      </c>
      <c r="D998" s="33"/>
      <c r="E998" s="33" t="n">
        <v>91</v>
      </c>
      <c r="F998" s="33" t="s">
        <v>36</v>
      </c>
      <c r="G998" s="33" t="s">
        <v>441</v>
      </c>
      <c r="H998" s="33" t="n">
        <v>1</v>
      </c>
      <c r="I998" s="33" t="n">
        <v>8</v>
      </c>
      <c r="J998" s="33" t="n">
        <v>8</v>
      </c>
      <c r="K998" s="32" t="n">
        <v>400</v>
      </c>
      <c r="L998" s="33" t="str">
        <f aca="false">IF($B998="","",IFERROR(INDEX('Code Mapping'!$D$5:$D$1753,MATCH($B998,'Code Mapping'!$A$5:$A$1753,0)),"Unmapped"))</f>
        <v>Unmapped</v>
      </c>
      <c r="M998" s="33" t="str">
        <f aca="false">IF($B998="","",IFERROR(INDEX('Code Mapping'!$E$5:$E$1753,MATCH($B998,'Code Mapping'!$A$5:$A$1753,0)),"Unmapped"))</f>
        <v>Unmapped</v>
      </c>
      <c r="N998" s="33" t="str">
        <f aca="false">IF($F998="","",$F998)</f>
        <v>InflataPark</v>
      </c>
    </row>
    <row r="999" customFormat="false" ht="15" hidden="false" customHeight="false" outlineLevel="0" collapsed="false">
      <c r="A999" s="33" t="n">
        <v>5521</v>
      </c>
      <c r="B999" s="33" t="s">
        <v>442</v>
      </c>
      <c r="C999" s="33" t="s">
        <v>443</v>
      </c>
      <c r="D999" s="33"/>
      <c r="E999" s="33" t="n">
        <v>94</v>
      </c>
      <c r="F999" s="33" t="s">
        <v>2153</v>
      </c>
      <c r="G999" s="33" t="s">
        <v>441</v>
      </c>
      <c r="H999" s="33" t="n">
        <v>1</v>
      </c>
      <c r="I999" s="33" t="n">
        <v>8</v>
      </c>
      <c r="J999" s="33" t="n">
        <v>8</v>
      </c>
      <c r="K999" s="32" t="n">
        <v>360</v>
      </c>
      <c r="L999" s="33" t="str">
        <f aca="false">IF($B999="","",IFERROR(INDEX('Code Mapping'!$D$5:$D$1753,MATCH($B999,'Code Mapping'!$A$5:$A$1753,0)),"Unmapped"))</f>
        <v>Unmapped</v>
      </c>
      <c r="M999" s="33" t="str">
        <f aca="false">IF($B999="","",IFERROR(INDEX('Code Mapping'!$E$5:$E$1753,MATCH($B999,'Code Mapping'!$A$5:$A$1753,0)),"Unmapped"))</f>
        <v>Unmapped</v>
      </c>
      <c r="N999" s="33" t="str">
        <f aca="false">IF($F999="","",$F999)</f>
        <v>Driving School</v>
      </c>
    </row>
    <row r="1000" customFormat="false" ht="15" hidden="false" customHeight="false" outlineLevel="0" collapsed="false">
      <c r="A1000" s="33" t="n">
        <v>5536</v>
      </c>
      <c r="B1000" s="33" t="s">
        <v>480</v>
      </c>
      <c r="C1000" s="33" t="s">
        <v>481</v>
      </c>
      <c r="D1000" s="33"/>
      <c r="E1000" s="33" t="n">
        <v>91</v>
      </c>
      <c r="F1000" s="33" t="s">
        <v>36</v>
      </c>
      <c r="G1000" s="33" t="s">
        <v>441</v>
      </c>
      <c r="H1000" s="33" t="n">
        <v>2</v>
      </c>
      <c r="I1000" s="33" t="n">
        <v>21</v>
      </c>
      <c r="J1000" s="33" t="n">
        <v>21</v>
      </c>
      <c r="K1000" s="32" t="n">
        <v>787.5</v>
      </c>
      <c r="L1000" s="33" t="str">
        <f aca="false">IF($B1000="","",IFERROR(INDEX('Code Mapping'!$D$5:$D$1753,MATCH($B1000,'Code Mapping'!$A$5:$A$1753,0)),"Unmapped"))</f>
        <v>Unmapped</v>
      </c>
      <c r="M1000" s="33" t="str">
        <f aca="false">IF($B1000="","",IFERROR(INDEX('Code Mapping'!$E$5:$E$1753,MATCH($B1000,'Code Mapping'!$A$5:$A$1753,0)),"Unmapped"))</f>
        <v>Unmapped</v>
      </c>
      <c r="N1000" s="33" t="str">
        <f aca="false">IF($F1000="","",$F1000)</f>
        <v>InflataPark</v>
      </c>
    </row>
    <row r="1001" customFormat="false" ht="15" hidden="false" customHeight="false" outlineLevel="0" collapsed="false">
      <c r="A1001" s="33" t="n">
        <v>5514</v>
      </c>
      <c r="B1001" s="33" t="s">
        <v>451</v>
      </c>
      <c r="C1001" s="33" t="s">
        <v>452</v>
      </c>
      <c r="D1001" s="33"/>
      <c r="E1001" s="33" t="n">
        <v>91</v>
      </c>
      <c r="F1001" s="33" t="s">
        <v>36</v>
      </c>
      <c r="G1001" s="33" t="s">
        <v>441</v>
      </c>
      <c r="H1001" s="33" t="n">
        <v>4</v>
      </c>
      <c r="I1001" s="33" t="n">
        <v>6</v>
      </c>
      <c r="J1001" s="33" t="n">
        <v>6</v>
      </c>
      <c r="K1001" s="32" t="n">
        <v>88.5</v>
      </c>
      <c r="L1001" s="33" t="str">
        <f aca="false">IF($B1001="","",IFERROR(INDEX('Code Mapping'!$D$5:$D$1753,MATCH($B1001,'Code Mapping'!$A$5:$A$1753,0)),"Unmapped"))</f>
        <v>Al Jazeera Imtiyazat</v>
      </c>
      <c r="M1001" s="33" t="str">
        <f aca="false">IF($B1001="","",IFERROR(INDEX('Code Mapping'!$E$5:$E$1753,MATCH($B1001,'Code Mapping'!$A$5:$A$1753,0)),"Unmapped"))</f>
        <v>Corporate discount</v>
      </c>
      <c r="N1001" s="33" t="str">
        <f aca="false">IF($F1001="","",$F1001)</f>
        <v>InflataPark</v>
      </c>
    </row>
    <row r="1002" customFormat="false" ht="15" hidden="false" customHeight="false" outlineLevel="0" collapsed="false">
      <c r="A1002" s="33" t="n">
        <v>5506</v>
      </c>
      <c r="B1002" s="33" t="s">
        <v>486</v>
      </c>
      <c r="C1002" s="33" t="s">
        <v>487</v>
      </c>
      <c r="D1002" s="33"/>
      <c r="E1002" s="33" t="n">
        <v>79</v>
      </c>
      <c r="F1002" s="33" t="s">
        <v>2155</v>
      </c>
      <c r="G1002" s="33" t="s">
        <v>441</v>
      </c>
      <c r="H1002" s="33" t="n">
        <v>1</v>
      </c>
      <c r="I1002" s="33" t="n">
        <v>1</v>
      </c>
      <c r="J1002" s="33" t="n">
        <v>1</v>
      </c>
      <c r="K1002" s="32" t="n">
        <v>15</v>
      </c>
      <c r="L1002" s="33" t="str">
        <f aca="false">IF($B1002="","",IFERROR(INDEX('Code Mapping'!$D$5:$D$1753,MATCH($B1002,'Code Mapping'!$A$5:$A$1753,0)),"Unmapped"))</f>
        <v>Unmapped</v>
      </c>
      <c r="M1002" s="33" t="str">
        <f aca="false">IF($B1002="","",IFERROR(INDEX('Code Mapping'!$E$5:$E$1753,MATCH($B1002,'Code Mapping'!$A$5:$A$1753,0)),"Unmapped"))</f>
        <v>Unmapped</v>
      </c>
      <c r="N1002" s="33" t="str">
        <f aca="false">IF($F1002="","",$F1002)</f>
        <v>Stand Up Comedy Qatar @ Collectors</v>
      </c>
    </row>
    <row r="1003" customFormat="false" ht="15" hidden="false" customHeight="false" outlineLevel="0" collapsed="false">
      <c r="A1003" s="33" t="n">
        <v>5462</v>
      </c>
      <c r="B1003" s="33" t="s">
        <v>2054</v>
      </c>
      <c r="C1003" s="33" t="s">
        <v>2055</v>
      </c>
      <c r="D1003" s="33"/>
      <c r="E1003" s="33" t="n">
        <v>91</v>
      </c>
      <c r="F1003" s="33" t="s">
        <v>36</v>
      </c>
      <c r="G1003" s="33" t="s">
        <v>441</v>
      </c>
      <c r="H1003" s="33" t="n">
        <v>1</v>
      </c>
      <c r="I1003" s="33" t="n">
        <v>1</v>
      </c>
      <c r="J1003" s="33" t="n">
        <v>1</v>
      </c>
      <c r="K1003" s="32" t="n">
        <v>250</v>
      </c>
      <c r="L1003" s="33" t="str">
        <f aca="false">IF($B1003="","",IFERROR(INDEX('Code Mapping'!$D$5:$D$1753,MATCH($B1003,'Code Mapping'!$A$5:$A$1753,0)),"Unmapped"))</f>
        <v>Unmapped</v>
      </c>
      <c r="M1003" s="33" t="str">
        <f aca="false">IF($B1003="","",IFERROR(INDEX('Code Mapping'!$E$5:$E$1753,MATCH($B1003,'Code Mapping'!$A$5:$A$1753,0)),"Unmapped"))</f>
        <v>Unmapped</v>
      </c>
      <c r="N1003" s="33" t="str">
        <f aca="false">IF($F1003="","",$F1003)</f>
        <v>InflataPark</v>
      </c>
    </row>
    <row r="1004" customFormat="false" ht="15" hidden="false" customHeight="false" outlineLevel="0" collapsed="false">
      <c r="A1004" s="33" t="n">
        <v>5463</v>
      </c>
      <c r="B1004" s="33" t="s">
        <v>2056</v>
      </c>
      <c r="C1004" s="33" t="s">
        <v>2057</v>
      </c>
      <c r="D1004" s="33"/>
      <c r="E1004" s="33" t="n">
        <v>91</v>
      </c>
      <c r="F1004" s="33" t="s">
        <v>36</v>
      </c>
      <c r="G1004" s="33" t="s">
        <v>441</v>
      </c>
      <c r="H1004" s="33" t="n">
        <v>1</v>
      </c>
      <c r="I1004" s="33" t="n">
        <v>1</v>
      </c>
      <c r="J1004" s="33" t="n">
        <v>1</v>
      </c>
      <c r="K1004" s="32" t="n">
        <v>250</v>
      </c>
      <c r="L1004" s="33" t="str">
        <f aca="false">IF($B1004="","",IFERROR(INDEX('Code Mapping'!$D$5:$D$1753,MATCH($B1004,'Code Mapping'!$A$5:$A$1753,0)),"Unmapped"))</f>
        <v>Unmapped</v>
      </c>
      <c r="M1004" s="33" t="str">
        <f aca="false">IF($B1004="","",IFERROR(INDEX('Code Mapping'!$E$5:$E$1753,MATCH($B1004,'Code Mapping'!$A$5:$A$1753,0)),"Unmapped"))</f>
        <v>Unmapped</v>
      </c>
      <c r="N1004" s="33" t="str">
        <f aca="false">IF($F1004="","",$F1004)</f>
        <v>InflataPark</v>
      </c>
    </row>
    <row r="1005" customFormat="false" ht="15" hidden="false" customHeight="false" outlineLevel="0" collapsed="false">
      <c r="A1005" s="33" t="n">
        <v>5461</v>
      </c>
      <c r="B1005" s="33" t="s">
        <v>2052</v>
      </c>
      <c r="C1005" s="33" t="s">
        <v>2053</v>
      </c>
      <c r="D1005" s="33"/>
      <c r="E1005" s="33" t="n">
        <v>91</v>
      </c>
      <c r="F1005" s="33" t="s">
        <v>36</v>
      </c>
      <c r="G1005" s="33" t="s">
        <v>441</v>
      </c>
      <c r="H1005" s="33" t="n">
        <v>1</v>
      </c>
      <c r="I1005" s="33" t="n">
        <v>1</v>
      </c>
      <c r="J1005" s="33" t="n">
        <v>1</v>
      </c>
      <c r="K1005" s="32" t="n">
        <v>250</v>
      </c>
      <c r="L1005" s="33" t="str">
        <f aca="false">IF($B1005="","",IFERROR(INDEX('Code Mapping'!$D$5:$D$1753,MATCH($B1005,'Code Mapping'!$A$5:$A$1753,0)),"Unmapped"))</f>
        <v>Unmapped</v>
      </c>
      <c r="M1005" s="33" t="str">
        <f aca="false">IF($B1005="","",IFERROR(INDEX('Code Mapping'!$E$5:$E$1753,MATCH($B1005,'Code Mapping'!$A$5:$A$1753,0)),"Unmapped"))</f>
        <v>Unmapped</v>
      </c>
      <c r="N1005" s="33" t="str">
        <f aca="false">IF($F1005="","",$F1005)</f>
        <v>InflataPark</v>
      </c>
    </row>
    <row r="1006" customFormat="false" ht="15" hidden="false" customHeight="false" outlineLevel="0" collapsed="false">
      <c r="A1006" s="33" t="n">
        <v>5500</v>
      </c>
      <c r="B1006" s="33" t="s">
        <v>1936</v>
      </c>
      <c r="C1006" s="33" t="s">
        <v>1937</v>
      </c>
      <c r="D1006" s="33"/>
      <c r="E1006" s="33" t="n">
        <v>87</v>
      </c>
      <c r="F1006" s="33" t="s">
        <v>2156</v>
      </c>
      <c r="G1006" s="33" t="s">
        <v>456</v>
      </c>
      <c r="H1006" s="33" t="n">
        <v>23</v>
      </c>
      <c r="I1006" s="33" t="n">
        <v>48</v>
      </c>
      <c r="J1006" s="33" t="n">
        <v>48</v>
      </c>
      <c r="K1006" s="32" t="n">
        <v>1200</v>
      </c>
      <c r="L1006" s="33" t="str">
        <f aca="false">IF($B1006="","",IFERROR(INDEX('Code Mapping'!$D$5:$D$1753,MATCH($B1006,'Code Mapping'!$A$5:$A$1753,0)),"Unmapped"))</f>
        <v>My Book</v>
      </c>
      <c r="M1006" s="33" t="str">
        <f aca="false">IF($B1006="","",IFERROR(INDEX('Code Mapping'!$E$5:$E$1753,MATCH($B1006,'Code Mapping'!$A$5:$A$1753,0)),"Unmapped"))</f>
        <v>Aggregator BOGO</v>
      </c>
      <c r="N1006" s="33" t="str">
        <f aca="false">IF($F1006="","",$F1006)</f>
        <v>LEGO® SHOWS Qatar 2025</v>
      </c>
    </row>
    <row r="1007" customFormat="false" ht="15" hidden="false" customHeight="false" outlineLevel="0" collapsed="false">
      <c r="A1007" s="33" t="n">
        <v>5488</v>
      </c>
      <c r="B1007" s="33" t="s">
        <v>1772</v>
      </c>
      <c r="C1007" s="33" t="s">
        <v>1773</v>
      </c>
      <c r="D1007" s="33"/>
      <c r="E1007" s="33" t="n">
        <v>87</v>
      </c>
      <c r="F1007" s="33" t="s">
        <v>2156</v>
      </c>
      <c r="G1007" s="33" t="s">
        <v>456</v>
      </c>
      <c r="H1007" s="33" t="n">
        <v>16</v>
      </c>
      <c r="I1007" s="33" t="n">
        <v>23</v>
      </c>
      <c r="J1007" s="33" t="n">
        <v>23</v>
      </c>
      <c r="K1007" s="32" t="n">
        <v>1550</v>
      </c>
      <c r="L1007" s="33" t="str">
        <f aca="false">IF($B1007="","",IFERROR(INDEX('Code Mapping'!$D$5:$D$1753,MATCH($B1007,'Code Mapping'!$A$5:$A$1753,0)),"Unmapped"))</f>
        <v>Al Jazeera Imtiyazat</v>
      </c>
      <c r="M1007" s="33" t="str">
        <f aca="false">IF($B1007="","",IFERROR(INDEX('Code Mapping'!$E$5:$E$1753,MATCH($B1007,'Code Mapping'!$A$5:$A$1753,0)),"Unmapped"))</f>
        <v>Corporate discount</v>
      </c>
      <c r="N1007" s="33" t="str">
        <f aca="false">IF($F1007="","",$F1007)</f>
        <v>LEGO® SHOWS Qatar 2025</v>
      </c>
    </row>
    <row r="1008" customFormat="false" ht="15" hidden="false" customHeight="false" outlineLevel="0" collapsed="false">
      <c r="A1008" s="33" t="n">
        <v>5502</v>
      </c>
      <c r="B1008" s="33" t="s">
        <v>1793</v>
      </c>
      <c r="C1008" s="33" t="s">
        <v>1794</v>
      </c>
      <c r="D1008" s="33"/>
      <c r="E1008" s="33" t="n">
        <v>87</v>
      </c>
      <c r="F1008" s="33" t="s">
        <v>2156</v>
      </c>
      <c r="G1008" s="33" t="s">
        <v>456</v>
      </c>
      <c r="H1008" s="33" t="n">
        <v>3</v>
      </c>
      <c r="I1008" s="33" t="n">
        <v>5</v>
      </c>
      <c r="J1008" s="33" t="n">
        <v>5</v>
      </c>
      <c r="K1008" s="32" t="n">
        <v>500</v>
      </c>
      <c r="L1008" s="33" t="str">
        <f aca="false">IF($B1008="","",IFERROR(INDEX('Code Mapping'!$D$5:$D$1753,MATCH($B1008,'Code Mapping'!$A$5:$A$1753,0)),"Unmapped"))</f>
        <v>Unmapped</v>
      </c>
      <c r="M1008" s="33" t="str">
        <f aca="false">IF($B1008="","",IFERROR(INDEX('Code Mapping'!$E$5:$E$1753,MATCH($B1008,'Code Mapping'!$A$5:$A$1753,0)),"Unmapped"))</f>
        <v>Unmapped</v>
      </c>
      <c r="N1008" s="33" t="str">
        <f aca="false">IF($F1008="","",$F1008)</f>
        <v>LEGO® SHOWS Qatar 2025</v>
      </c>
    </row>
    <row r="1009" customFormat="false" ht="15" hidden="false" customHeight="false" outlineLevel="0" collapsed="false">
      <c r="A1009" s="33" t="n">
        <v>5508</v>
      </c>
      <c r="B1009" s="33" t="s">
        <v>2092</v>
      </c>
      <c r="C1009" s="33"/>
      <c r="D1009" s="33"/>
      <c r="E1009" s="33" t="n">
        <v>87</v>
      </c>
      <c r="F1009" s="33" t="s">
        <v>2156</v>
      </c>
      <c r="G1009" s="33" t="s">
        <v>456</v>
      </c>
      <c r="H1009" s="33" t="n">
        <v>21</v>
      </c>
      <c r="I1009" s="33" t="n">
        <v>50</v>
      </c>
      <c r="J1009" s="33" t="n">
        <v>50</v>
      </c>
      <c r="K1009" s="32" t="n">
        <v>1250</v>
      </c>
      <c r="L1009" s="33" t="str">
        <f aca="false">IF($B1009="","",IFERROR(INDEX('Code Mapping'!$D$5:$D$1753,MATCH($B1009,'Code Mapping'!$A$5:$A$1753,0)),"Unmapped"))</f>
        <v>Unmapped</v>
      </c>
      <c r="M1009" s="33" t="str">
        <f aca="false">IF($B1009="","",IFERROR(INDEX('Code Mapping'!$E$5:$E$1753,MATCH($B1009,'Code Mapping'!$A$5:$A$1753,0)),"Unmapped"))</f>
        <v>Unmapped</v>
      </c>
      <c r="N1009" s="33" t="str">
        <f aca="false">IF($F1009="","",$F1009)</f>
        <v>LEGO® SHOWS Qatar 2025</v>
      </c>
    </row>
    <row r="1010" customFormat="false" ht="15" hidden="false" customHeight="false" outlineLevel="0" collapsed="false">
      <c r="A1010" s="33" t="n">
        <v>5509</v>
      </c>
      <c r="B1010" s="33" t="s">
        <v>2093</v>
      </c>
      <c r="C1010" s="33" t="s">
        <v>2094</v>
      </c>
      <c r="D1010" s="33"/>
      <c r="E1010" s="33" t="n">
        <v>87</v>
      </c>
      <c r="F1010" s="33" t="s">
        <v>2156</v>
      </c>
      <c r="G1010" s="33" t="s">
        <v>456</v>
      </c>
      <c r="H1010" s="33" t="n">
        <v>20</v>
      </c>
      <c r="I1010" s="33" t="n">
        <v>56</v>
      </c>
      <c r="J1010" s="33" t="n">
        <v>56</v>
      </c>
      <c r="K1010" s="32" t="n">
        <v>2100</v>
      </c>
      <c r="L1010" s="33" t="str">
        <f aca="false">IF($B1010="","",IFERROR(INDEX('Code Mapping'!$D$5:$D$1753,MATCH($B1010,'Code Mapping'!$A$5:$A$1753,0)),"Unmapped"))</f>
        <v>Unmapped</v>
      </c>
      <c r="M1010" s="33" t="str">
        <f aca="false">IF($B1010="","",IFERROR(INDEX('Code Mapping'!$E$5:$E$1753,MATCH($B1010,'Code Mapping'!$A$5:$A$1753,0)),"Unmapped"))</f>
        <v>Unmapped</v>
      </c>
      <c r="N1010" s="33" t="str">
        <f aca="false">IF($F1010="","",$F1010)</f>
        <v>LEGO® SHOWS Qatar 2025</v>
      </c>
    </row>
    <row r="1011" customFormat="false" ht="15" hidden="false" customHeight="false" outlineLevel="0" collapsed="false">
      <c r="A1011" s="33" t="n">
        <v>5443</v>
      </c>
      <c r="B1011" s="33" t="s">
        <v>1873</v>
      </c>
      <c r="C1011" s="33" t="s">
        <v>1874</v>
      </c>
      <c r="D1011" s="33"/>
      <c r="E1011" s="33" t="n">
        <v>87</v>
      </c>
      <c r="F1011" s="33" t="s">
        <v>2156</v>
      </c>
      <c r="G1011" s="33" t="s">
        <v>456</v>
      </c>
      <c r="H1011" s="33" t="n">
        <v>2</v>
      </c>
      <c r="I1011" s="33" t="n">
        <v>6</v>
      </c>
      <c r="J1011" s="33" t="n">
        <v>6</v>
      </c>
      <c r="K1011" s="32" t="n">
        <v>150</v>
      </c>
      <c r="L1011" s="33" t="str">
        <f aca="false">IF($B1011="","",IFERROR(INDEX('Code Mapping'!$D$5:$D$1753,MATCH($B1011,'Code Mapping'!$A$5:$A$1753,0)),"Unmapped"))</f>
        <v>Unmapped</v>
      </c>
      <c r="M1011" s="33" t="str">
        <f aca="false">IF($B1011="","",IFERROR(INDEX('Code Mapping'!$E$5:$E$1753,MATCH($B1011,'Code Mapping'!$A$5:$A$1753,0)),"Unmapped"))</f>
        <v>Unmapped</v>
      </c>
      <c r="N1011" s="33" t="str">
        <f aca="false">IF($F1011="","",$F1011)</f>
        <v>LEGO® SHOWS Qatar 2025</v>
      </c>
    </row>
    <row r="1012" customFormat="false" ht="15" hidden="false" customHeight="false" outlineLevel="0" collapsed="false">
      <c r="A1012" s="33" t="n">
        <v>5444</v>
      </c>
      <c r="B1012" s="33" t="s">
        <v>1875</v>
      </c>
      <c r="C1012" s="33" t="s">
        <v>1876</v>
      </c>
      <c r="D1012" s="33"/>
      <c r="E1012" s="33" t="n">
        <v>87</v>
      </c>
      <c r="F1012" s="33" t="s">
        <v>2156</v>
      </c>
      <c r="G1012" s="33" t="s">
        <v>456</v>
      </c>
      <c r="H1012" s="33" t="n">
        <v>2</v>
      </c>
      <c r="I1012" s="33" t="n">
        <v>2</v>
      </c>
      <c r="J1012" s="33" t="n">
        <v>2</v>
      </c>
      <c r="K1012" s="32" t="n">
        <v>100</v>
      </c>
      <c r="L1012" s="33" t="str">
        <f aca="false">IF($B1012="","",IFERROR(INDEX('Code Mapping'!$D$5:$D$1753,MATCH($B1012,'Code Mapping'!$A$5:$A$1753,0)),"Unmapped"))</f>
        <v>Unmapped</v>
      </c>
      <c r="M1012" s="33" t="str">
        <f aca="false">IF($B1012="","",IFERROR(INDEX('Code Mapping'!$E$5:$E$1753,MATCH($B1012,'Code Mapping'!$A$5:$A$1753,0)),"Unmapped"))</f>
        <v>Unmapped</v>
      </c>
      <c r="N1012" s="33" t="str">
        <f aca="false">IF($F1012="","",$F1012)</f>
        <v>LEGO® SHOWS Qatar 2025</v>
      </c>
    </row>
    <row r="1013" customFormat="false" ht="15" hidden="false" customHeight="false" outlineLevel="0" collapsed="false">
      <c r="A1013" s="33" t="n">
        <v>5441</v>
      </c>
      <c r="B1013" s="33" t="s">
        <v>1954</v>
      </c>
      <c r="C1013" s="33" t="s">
        <v>1955</v>
      </c>
      <c r="D1013" s="33"/>
      <c r="E1013" s="33" t="n">
        <v>87</v>
      </c>
      <c r="F1013" s="33" t="s">
        <v>2156</v>
      </c>
      <c r="G1013" s="33" t="s">
        <v>456</v>
      </c>
      <c r="H1013" s="33" t="n">
        <v>13</v>
      </c>
      <c r="I1013" s="33" t="n">
        <v>30</v>
      </c>
      <c r="J1013" s="33" t="n">
        <v>30</v>
      </c>
      <c r="K1013" s="32" t="n">
        <v>750</v>
      </c>
      <c r="L1013" s="33" t="str">
        <f aca="false">IF($B1013="","",IFERROR(INDEX('Code Mapping'!$D$5:$D$1753,MATCH($B1013,'Code Mapping'!$A$5:$A$1753,0)),"Unmapped"))</f>
        <v>Unmapped</v>
      </c>
      <c r="M1013" s="33" t="str">
        <f aca="false">IF($B1013="","",IFERROR(INDEX('Code Mapping'!$E$5:$E$1753,MATCH($B1013,'Code Mapping'!$A$5:$A$1753,0)),"Unmapped"))</f>
        <v>Unmapped</v>
      </c>
      <c r="N1013" s="33" t="str">
        <f aca="false">IF($F1013="","",$F1013)</f>
        <v>LEGO® SHOWS Qatar 2025</v>
      </c>
    </row>
    <row r="1014" customFormat="false" ht="15" hidden="false" customHeight="false" outlineLevel="0" collapsed="false">
      <c r="A1014" s="33" t="n">
        <v>5499</v>
      </c>
      <c r="B1014" s="33" t="s">
        <v>1938</v>
      </c>
      <c r="C1014" s="33" t="s">
        <v>1939</v>
      </c>
      <c r="D1014" s="33"/>
      <c r="E1014" s="33" t="n">
        <v>87</v>
      </c>
      <c r="F1014" s="33" t="s">
        <v>2156</v>
      </c>
      <c r="G1014" s="33" t="s">
        <v>456</v>
      </c>
      <c r="H1014" s="33" t="n">
        <v>18</v>
      </c>
      <c r="I1014" s="33" t="n">
        <v>19</v>
      </c>
      <c r="J1014" s="33" t="n">
        <v>19</v>
      </c>
      <c r="K1014" s="32" t="n">
        <v>950</v>
      </c>
      <c r="L1014" s="33" t="str">
        <f aca="false">IF($B1014="","",IFERROR(INDEX('Code Mapping'!$D$5:$D$1753,MATCH($B1014,'Code Mapping'!$A$5:$A$1753,0)),"Unmapped"))</f>
        <v>My Book</v>
      </c>
      <c r="M1014" s="33" t="str">
        <f aca="false">IF($B1014="","",IFERROR(INDEX('Code Mapping'!$E$5:$E$1753,MATCH($B1014,'Code Mapping'!$A$5:$A$1753,0)),"Unmapped"))</f>
        <v>Aggregator BOGO</v>
      </c>
      <c r="N1014" s="33" t="str">
        <f aca="false">IF($F1014="","",$F1014)</f>
        <v>LEGO® SHOWS Qatar 2025</v>
      </c>
    </row>
    <row r="1015" customFormat="false" ht="15" hidden="false" customHeight="false" outlineLevel="0" collapsed="false">
      <c r="A1015" s="33" t="n">
        <v>5426</v>
      </c>
      <c r="B1015" s="33" t="s">
        <v>1964</v>
      </c>
      <c r="C1015" s="33" t="s">
        <v>1965</v>
      </c>
      <c r="D1015" s="33"/>
      <c r="E1015" s="33" t="n">
        <v>87</v>
      </c>
      <c r="F1015" s="33" t="s">
        <v>2156</v>
      </c>
      <c r="G1015" s="33" t="s">
        <v>456</v>
      </c>
      <c r="H1015" s="33" t="n">
        <v>301</v>
      </c>
      <c r="I1015" s="33" t="n">
        <v>734</v>
      </c>
      <c r="J1015" s="33" t="n">
        <v>734</v>
      </c>
      <c r="K1015" s="32" t="n">
        <v>26675</v>
      </c>
      <c r="L1015" s="33" t="str">
        <f aca="false">IF($B1015="","",IFERROR(INDEX('Code Mapping'!$D$5:$D$1753,MATCH($B1015,'Code Mapping'!$A$5:$A$1753,0)),"Unmapped"))</f>
        <v>Qatar Airways</v>
      </c>
      <c r="M1015" s="33" t="str">
        <f aca="false">IF($B1015="","",IFERROR(INDEX('Code Mapping'!$E$5:$E$1753,MATCH($B1015,'Code Mapping'!$A$5:$A$1753,0)),"Unmapped"))</f>
        <v>Corporate discount</v>
      </c>
      <c r="N1015" s="33" t="str">
        <f aca="false">IF($F1015="","",$F1015)</f>
        <v>LEGO® SHOWS Qatar 2025</v>
      </c>
    </row>
    <row r="1016" customFormat="false" ht="15" hidden="false" customHeight="false" outlineLevel="0" collapsed="false">
      <c r="A1016" s="33" t="n">
        <v>5497</v>
      </c>
      <c r="B1016" s="33" t="s">
        <v>1966</v>
      </c>
      <c r="C1016" s="33" t="s">
        <v>1967</v>
      </c>
      <c r="D1016" s="33"/>
      <c r="E1016" s="33" t="n">
        <v>87</v>
      </c>
      <c r="F1016" s="33" t="s">
        <v>2156</v>
      </c>
      <c r="G1016" s="33" t="s">
        <v>456</v>
      </c>
      <c r="H1016" s="33" t="n">
        <v>30</v>
      </c>
      <c r="I1016" s="33" t="n">
        <v>34</v>
      </c>
      <c r="J1016" s="33" t="n">
        <v>34</v>
      </c>
      <c r="K1016" s="32" t="n">
        <v>1700</v>
      </c>
      <c r="L1016" s="33" t="str">
        <f aca="false">IF($B1016="","",IFERROR(INDEX('Code Mapping'!$D$5:$D$1753,MATCH($B1016,'Code Mapping'!$A$5:$A$1753,0)),"Unmapped"))</f>
        <v>Qatar Airways</v>
      </c>
      <c r="M1016" s="33" t="str">
        <f aca="false">IF($B1016="","",IFERROR(INDEX('Code Mapping'!$E$5:$E$1753,MATCH($B1016,'Code Mapping'!$A$5:$A$1753,0)),"Unmapped"))</f>
        <v>Corporate discount</v>
      </c>
      <c r="N1016" s="33" t="str">
        <f aca="false">IF($F1016="","",$F1016)</f>
        <v>LEGO® SHOWS Qatar 2025</v>
      </c>
    </row>
    <row r="1017" customFormat="false" ht="15" hidden="false" customHeight="false" outlineLevel="0" collapsed="false">
      <c r="A1017" s="33" t="n">
        <v>5498</v>
      </c>
      <c r="B1017" s="33" t="s">
        <v>1968</v>
      </c>
      <c r="C1017" s="33" t="s">
        <v>1969</v>
      </c>
      <c r="D1017" s="33"/>
      <c r="E1017" s="33" t="n">
        <v>87</v>
      </c>
      <c r="F1017" s="33" t="s">
        <v>2156</v>
      </c>
      <c r="G1017" s="33" t="s">
        <v>456</v>
      </c>
      <c r="H1017" s="33" t="n">
        <v>28</v>
      </c>
      <c r="I1017" s="33" t="n">
        <v>72</v>
      </c>
      <c r="J1017" s="33" t="n">
        <v>72</v>
      </c>
      <c r="K1017" s="32" t="n">
        <v>1800</v>
      </c>
      <c r="L1017" s="33" t="str">
        <f aca="false">IF($B1017="","",IFERROR(INDEX('Code Mapping'!$D$5:$D$1753,MATCH($B1017,'Code Mapping'!$A$5:$A$1753,0)),"Unmapped"))</f>
        <v>Qatar Airways</v>
      </c>
      <c r="M1017" s="33" t="str">
        <f aca="false">IF($B1017="","",IFERROR(INDEX('Code Mapping'!$E$5:$E$1753,MATCH($B1017,'Code Mapping'!$A$5:$A$1753,0)),"Unmapped"))</f>
        <v>Corporate discount</v>
      </c>
      <c r="N1017" s="33" t="str">
        <f aca="false">IF($F1017="","",$F1017)</f>
        <v>LEGO® SHOWS Qatar 2025</v>
      </c>
    </row>
    <row r="1018" customFormat="false" ht="15" hidden="false" customHeight="false" outlineLevel="0" collapsed="false">
      <c r="A1018" s="33" t="n">
        <v>5510</v>
      </c>
      <c r="B1018" s="33" t="s">
        <v>2097</v>
      </c>
      <c r="C1018" s="33" t="s">
        <v>2098</v>
      </c>
      <c r="D1018" s="33"/>
      <c r="E1018" s="33" t="n">
        <v>87</v>
      </c>
      <c r="F1018" s="33" t="s">
        <v>2156</v>
      </c>
      <c r="G1018" s="33" t="s">
        <v>456</v>
      </c>
      <c r="H1018" s="33" t="n">
        <v>74</v>
      </c>
      <c r="I1018" s="33" t="n">
        <v>289</v>
      </c>
      <c r="J1018" s="33" t="n">
        <v>289</v>
      </c>
      <c r="K1018" s="32" t="n">
        <v>10115</v>
      </c>
      <c r="L1018" s="33" t="str">
        <f aca="false">IF($B1018="","",IFERROR(INDEX('Code Mapping'!$D$5:$D$1753,MATCH($B1018,'Code Mapping'!$A$5:$A$1753,0)),"Unmapped"))</f>
        <v>Unmapped</v>
      </c>
      <c r="M1018" s="33" t="str">
        <f aca="false">IF($B1018="","",IFERROR(INDEX('Code Mapping'!$E$5:$E$1753,MATCH($B1018,'Code Mapping'!$A$5:$A$1753,0)),"Unmapped"))</f>
        <v>Unmapped</v>
      </c>
      <c r="N1018" s="33" t="str">
        <f aca="false">IF($F1018="","",$F1018)</f>
        <v>LEGO® SHOWS Qatar 2025</v>
      </c>
    </row>
    <row r="1019" customFormat="false" ht="15" hidden="false" customHeight="false" outlineLevel="0" collapsed="false">
      <c r="A1019" s="33" t="n">
        <v>5512</v>
      </c>
      <c r="B1019" s="33" t="s">
        <v>2012</v>
      </c>
      <c r="C1019" s="33" t="s">
        <v>2013</v>
      </c>
      <c r="D1019" s="33"/>
      <c r="E1019" s="33" t="n">
        <v>79</v>
      </c>
      <c r="F1019" s="33" t="s">
        <v>2155</v>
      </c>
      <c r="G1019" s="33" t="s">
        <v>456</v>
      </c>
      <c r="H1019" s="33" t="n">
        <v>1</v>
      </c>
      <c r="I1019" s="33" t="n">
        <v>1</v>
      </c>
      <c r="J1019" s="33" t="n">
        <v>1</v>
      </c>
      <c r="K1019" s="32" t="n">
        <v>60</v>
      </c>
      <c r="L1019" s="33" t="str">
        <f aca="false">IF($B1019="","",IFERROR(INDEX('Code Mapping'!$D$5:$D$1753,MATCH($B1019,'Code Mapping'!$A$5:$A$1753,0)),"Unmapped"))</f>
        <v>Unmapped</v>
      </c>
      <c r="M1019" s="33" t="str">
        <f aca="false">IF($B1019="","",IFERROR(INDEX('Code Mapping'!$E$5:$E$1753,MATCH($B1019,'Code Mapping'!$A$5:$A$1753,0)),"Unmapped"))</f>
        <v>Unmapped</v>
      </c>
      <c r="N1019" s="33" t="str">
        <f aca="false">IF($F1019="","",$F1019)</f>
        <v>Stand Up Comedy Qatar @ Collectors</v>
      </c>
    </row>
    <row r="1020" customFormat="false" ht="15" hidden="false" customHeight="false" outlineLevel="0" collapsed="false">
      <c r="A1020" s="33" t="n">
        <v>5503</v>
      </c>
      <c r="B1020" s="33" t="s">
        <v>2034</v>
      </c>
      <c r="C1020" s="33"/>
      <c r="D1020" s="33"/>
      <c r="E1020" s="33" t="n">
        <v>87</v>
      </c>
      <c r="F1020" s="33" t="s">
        <v>2156</v>
      </c>
      <c r="G1020" s="33" t="s">
        <v>456</v>
      </c>
      <c r="H1020" s="33" t="n">
        <v>1</v>
      </c>
      <c r="I1020" s="33" t="n">
        <v>2</v>
      </c>
      <c r="J1020" s="33" t="n">
        <v>2</v>
      </c>
      <c r="K1020" s="32" t="n">
        <v>25</v>
      </c>
      <c r="L1020" s="33" t="str">
        <f aca="false">IF($B1020="","",IFERROR(INDEX('Code Mapping'!$D$5:$D$1753,MATCH($B1020,'Code Mapping'!$A$5:$A$1753,0)),"Unmapped"))</f>
        <v>Unmapped</v>
      </c>
      <c r="M1020" s="33" t="str">
        <f aca="false">IF($B1020="","",IFERROR(INDEX('Code Mapping'!$E$5:$E$1753,MATCH($B1020,'Code Mapping'!$A$5:$A$1753,0)),"Unmapped"))</f>
        <v>Unmapped</v>
      </c>
      <c r="N1020" s="33" t="str">
        <f aca="false">IF($F1020="","",$F1020)</f>
        <v>LEGO® SHOWS Qatar 2025</v>
      </c>
    </row>
    <row r="1021" customFormat="false" ht="15" hidden="false" customHeight="false" outlineLevel="0" collapsed="false">
      <c r="A1021" s="33" t="n">
        <v>5501</v>
      </c>
      <c r="B1021" s="33" t="s">
        <v>2035</v>
      </c>
      <c r="C1021" s="33" t="s">
        <v>2036</v>
      </c>
      <c r="D1021" s="33"/>
      <c r="E1021" s="33" t="n">
        <v>87</v>
      </c>
      <c r="F1021" s="33" t="s">
        <v>2156</v>
      </c>
      <c r="G1021" s="33" t="s">
        <v>456</v>
      </c>
      <c r="H1021" s="33" t="n">
        <v>4</v>
      </c>
      <c r="I1021" s="33" t="n">
        <v>16</v>
      </c>
      <c r="J1021" s="33" t="n">
        <v>16</v>
      </c>
      <c r="K1021" s="32" t="n">
        <v>400</v>
      </c>
      <c r="L1021" s="33" t="str">
        <f aca="false">IF($B1021="","",IFERROR(INDEX('Code Mapping'!$D$5:$D$1753,MATCH($B1021,'Code Mapping'!$A$5:$A$1753,0)),"Unmapped"))</f>
        <v>Unmapped</v>
      </c>
      <c r="M1021" s="33" t="str">
        <f aca="false">IF($B1021="","",IFERROR(INDEX('Code Mapping'!$E$5:$E$1753,MATCH($B1021,'Code Mapping'!$A$5:$A$1753,0)),"Unmapped"))</f>
        <v>Unmapped</v>
      </c>
      <c r="N1021" s="33" t="str">
        <f aca="false">IF($F1021="","",$F1021)</f>
        <v>LEGO® SHOWS Qatar 2025</v>
      </c>
    </row>
    <row r="1022" customFormat="false" ht="15" hidden="false" customHeight="false" outlineLevel="0" collapsed="false">
      <c r="A1022" s="33" t="n">
        <v>5456</v>
      </c>
      <c r="B1022" s="33" t="s">
        <v>2090</v>
      </c>
      <c r="C1022" s="33" t="s">
        <v>2091</v>
      </c>
      <c r="D1022" s="33"/>
      <c r="E1022" s="33" t="n">
        <v>91</v>
      </c>
      <c r="F1022" s="33" t="s">
        <v>36</v>
      </c>
      <c r="G1022" s="33" t="s">
        <v>456</v>
      </c>
      <c r="H1022" s="33" t="n">
        <v>1</v>
      </c>
      <c r="I1022" s="33" t="n">
        <v>1</v>
      </c>
      <c r="J1022" s="33" t="n">
        <v>1</v>
      </c>
      <c r="K1022" s="32" t="n">
        <v>250</v>
      </c>
      <c r="L1022" s="33" t="str">
        <f aca="false">IF($B1022="","",IFERROR(INDEX('Code Mapping'!$D$5:$D$1753,MATCH($B1022,'Code Mapping'!$A$5:$A$1753,0)),"Unmapped"))</f>
        <v>Unmapped</v>
      </c>
      <c r="M1022" s="33" t="str">
        <f aca="false">IF($B1022="","",IFERROR(INDEX('Code Mapping'!$E$5:$E$1753,MATCH($B1022,'Code Mapping'!$A$5:$A$1753,0)),"Unmapped"))</f>
        <v>Unmapped</v>
      </c>
      <c r="N1022" s="33" t="str">
        <f aca="false">IF($F1022="","",$F1022)</f>
        <v>InflataPark</v>
      </c>
    </row>
    <row r="1023" customFormat="false" ht="15" hidden="false" customHeight="false" outlineLevel="0" collapsed="false">
      <c r="A1023" s="33" t="n">
        <v>5455</v>
      </c>
      <c r="B1023" s="33" t="s">
        <v>2088</v>
      </c>
      <c r="C1023" s="33" t="s">
        <v>2089</v>
      </c>
      <c r="D1023" s="33"/>
      <c r="E1023" s="33" t="n">
        <v>91</v>
      </c>
      <c r="F1023" s="33" t="s">
        <v>36</v>
      </c>
      <c r="G1023" s="33" t="s">
        <v>456</v>
      </c>
      <c r="H1023" s="33" t="n">
        <v>1</v>
      </c>
      <c r="I1023" s="33" t="n">
        <v>1</v>
      </c>
      <c r="J1023" s="33" t="n">
        <v>1</v>
      </c>
      <c r="K1023" s="32" t="n">
        <v>250</v>
      </c>
      <c r="L1023" s="33" t="str">
        <f aca="false">IF($B1023="","",IFERROR(INDEX('Code Mapping'!$D$5:$D$1753,MATCH($B1023,'Code Mapping'!$A$5:$A$1753,0)),"Unmapped"))</f>
        <v>Unmapped</v>
      </c>
      <c r="M1023" s="33" t="str">
        <f aca="false">IF($B1023="","",IFERROR(INDEX('Code Mapping'!$E$5:$E$1753,MATCH($B1023,'Code Mapping'!$A$5:$A$1753,0)),"Unmapped"))</f>
        <v>Unmapped</v>
      </c>
      <c r="N1023" s="33" t="str">
        <f aca="false">IF($F1023="","",$F1023)</f>
        <v>InflataPark</v>
      </c>
    </row>
    <row r="1024" customFormat="false" ht="15" hidden="false" customHeight="false" outlineLevel="0" collapsed="false">
      <c r="A1024" s="33" t="n">
        <v>5454</v>
      </c>
      <c r="B1024" s="33" t="s">
        <v>2086</v>
      </c>
      <c r="C1024" s="33" t="s">
        <v>2087</v>
      </c>
      <c r="D1024" s="33"/>
      <c r="E1024" s="33" t="n">
        <v>91</v>
      </c>
      <c r="F1024" s="33" t="s">
        <v>36</v>
      </c>
      <c r="G1024" s="33" t="s">
        <v>456</v>
      </c>
      <c r="H1024" s="33" t="n">
        <v>1</v>
      </c>
      <c r="I1024" s="33" t="n">
        <v>1</v>
      </c>
      <c r="J1024" s="33" t="n">
        <v>1</v>
      </c>
      <c r="K1024" s="32" t="n">
        <v>250</v>
      </c>
      <c r="L1024" s="33" t="str">
        <f aca="false">IF($B1024="","",IFERROR(INDEX('Code Mapping'!$D$5:$D$1753,MATCH($B1024,'Code Mapping'!$A$5:$A$1753,0)),"Unmapped"))</f>
        <v>Unmapped</v>
      </c>
      <c r="M1024" s="33" t="str">
        <f aca="false">IF($B1024="","",IFERROR(INDEX('Code Mapping'!$E$5:$E$1753,MATCH($B1024,'Code Mapping'!$A$5:$A$1753,0)),"Unmapped"))</f>
        <v>Unmapped</v>
      </c>
      <c r="N1024" s="33" t="str">
        <f aca="false">IF($F1024="","",$F1024)</f>
        <v>InflataPark</v>
      </c>
    </row>
    <row r="1025" customFormat="false" ht="15" hidden="false" customHeight="false" outlineLevel="0" collapsed="false">
      <c r="A1025" s="33" t="n">
        <v>5491</v>
      </c>
      <c r="B1025" s="33" t="s">
        <v>495</v>
      </c>
      <c r="C1025" s="33" t="s">
        <v>496</v>
      </c>
      <c r="D1025" s="33"/>
      <c r="E1025" s="33" t="n">
        <v>87</v>
      </c>
      <c r="F1025" s="33" t="s">
        <v>2156</v>
      </c>
      <c r="G1025" s="33" t="s">
        <v>456</v>
      </c>
      <c r="H1025" s="33" t="n">
        <v>26</v>
      </c>
      <c r="I1025" s="33" t="n">
        <v>28</v>
      </c>
      <c r="J1025" s="33" t="n">
        <v>28</v>
      </c>
      <c r="K1025" s="32" t="n">
        <v>1400</v>
      </c>
      <c r="L1025" s="33" t="str">
        <f aca="false">IF($B1025="","",IFERROR(INDEX('Code Mapping'!$D$5:$D$1753,MATCH($B1025,'Code Mapping'!$A$5:$A$1753,0)),"Unmapped"))</f>
        <v>HMC (not on master)</v>
      </c>
      <c r="M1025" s="33" t="str">
        <f aca="false">IF($B1025="","",IFERROR(INDEX('Code Mapping'!$E$5:$E$1753,MATCH($B1025,'Code Mapping'!$A$5:$A$1753,0)),"Unmapped"))</f>
        <v>Not on master</v>
      </c>
      <c r="N1025" s="33" t="str">
        <f aca="false">IF($F1025="","",$F1025)</f>
        <v>LEGO® SHOWS Qatar 2025</v>
      </c>
    </row>
    <row r="1026" customFormat="false" ht="15" hidden="false" customHeight="false" outlineLevel="0" collapsed="false">
      <c r="A1026" s="33" t="n">
        <v>5514</v>
      </c>
      <c r="B1026" s="33" t="s">
        <v>451</v>
      </c>
      <c r="C1026" s="33" t="s">
        <v>452</v>
      </c>
      <c r="D1026" s="33"/>
      <c r="E1026" s="33" t="n">
        <v>91</v>
      </c>
      <c r="F1026" s="33" t="s">
        <v>36</v>
      </c>
      <c r="G1026" s="33" t="s">
        <v>456</v>
      </c>
      <c r="H1026" s="33" t="n">
        <v>1</v>
      </c>
      <c r="I1026" s="33" t="n">
        <v>1</v>
      </c>
      <c r="J1026" s="33" t="n">
        <v>1</v>
      </c>
      <c r="K1026" s="32" t="n">
        <v>37.5</v>
      </c>
      <c r="L1026" s="33" t="str">
        <f aca="false">IF($B1026="","",IFERROR(INDEX('Code Mapping'!$D$5:$D$1753,MATCH($B1026,'Code Mapping'!$A$5:$A$1753,0)),"Unmapped"))</f>
        <v>Al Jazeera Imtiyazat</v>
      </c>
      <c r="M1026" s="33" t="str">
        <f aca="false">IF($B1026="","",IFERROR(INDEX('Code Mapping'!$E$5:$E$1753,MATCH($B1026,'Code Mapping'!$A$5:$A$1753,0)),"Unmapped"))</f>
        <v>Corporate discount</v>
      </c>
      <c r="N1026" s="33" t="str">
        <f aca="false">IF($F1026="","",$F1026)</f>
        <v>InflataPark</v>
      </c>
    </row>
    <row r="1027" customFormat="false" ht="15" hidden="false" customHeight="false" outlineLevel="0" collapsed="false">
      <c r="A1027" s="33" t="n">
        <v>5495</v>
      </c>
      <c r="B1027" s="33" t="s">
        <v>454</v>
      </c>
      <c r="C1027" s="33" t="s">
        <v>455</v>
      </c>
      <c r="D1027" s="33"/>
      <c r="E1027" s="33" t="n">
        <v>87</v>
      </c>
      <c r="F1027" s="33" t="s">
        <v>2156</v>
      </c>
      <c r="G1027" s="33" t="s">
        <v>456</v>
      </c>
      <c r="H1027" s="33" t="n">
        <v>10</v>
      </c>
      <c r="I1027" s="33" t="n">
        <v>12</v>
      </c>
      <c r="J1027" s="33" t="n">
        <v>12</v>
      </c>
      <c r="K1027" s="32" t="n">
        <v>600</v>
      </c>
      <c r="L1027" s="33" t="str">
        <f aca="false">IF($B1027="","",IFERROR(INDEX('Code Mapping'!$D$5:$D$1753,MATCH($B1027,'Code Mapping'!$A$5:$A$1753,0)),"Unmapped"))</f>
        <v>Unmapped</v>
      </c>
      <c r="M1027" s="33" t="str">
        <f aca="false">IF($B1027="","",IFERROR(INDEX('Code Mapping'!$E$5:$E$1753,MATCH($B1027,'Code Mapping'!$A$5:$A$1753,0)),"Unmapped"))</f>
        <v>Unmapped</v>
      </c>
      <c r="N1027" s="33" t="str">
        <f aca="false">IF($F1027="","",$F1027)</f>
        <v>LEGO® SHOWS Qatar 2025</v>
      </c>
    </row>
    <row r="1028" customFormat="false" ht="15" hidden="false" customHeight="false" outlineLevel="0" collapsed="false">
      <c r="A1028" s="33" t="n">
        <v>5496</v>
      </c>
      <c r="B1028" s="33" t="s">
        <v>457</v>
      </c>
      <c r="C1028" s="33" t="s">
        <v>458</v>
      </c>
      <c r="D1028" s="33"/>
      <c r="E1028" s="33" t="n">
        <v>87</v>
      </c>
      <c r="F1028" s="33" t="s">
        <v>2156</v>
      </c>
      <c r="G1028" s="33" t="s">
        <v>456</v>
      </c>
      <c r="H1028" s="33" t="n">
        <v>3</v>
      </c>
      <c r="I1028" s="33" t="n">
        <v>8</v>
      </c>
      <c r="J1028" s="33" t="n">
        <v>8</v>
      </c>
      <c r="K1028" s="32" t="n">
        <v>200</v>
      </c>
      <c r="L1028" s="33" t="str">
        <f aca="false">IF($B1028="","",IFERROR(INDEX('Code Mapping'!$D$5:$D$1753,MATCH($B1028,'Code Mapping'!$A$5:$A$1753,0)),"Unmapped"))</f>
        <v>Unmapped</v>
      </c>
      <c r="M1028" s="33" t="str">
        <f aca="false">IF($B1028="","",IFERROR(INDEX('Code Mapping'!$E$5:$E$1753,MATCH($B1028,'Code Mapping'!$A$5:$A$1753,0)),"Unmapped"))</f>
        <v>Unmapped</v>
      </c>
      <c r="N1028" s="33" t="str">
        <f aca="false">IF($F1028="","",$F1028)</f>
        <v>LEGO® SHOWS Qatar 2025</v>
      </c>
    </row>
    <row r="1029" customFormat="false" ht="15" hidden="false" customHeight="false" outlineLevel="0" collapsed="false">
      <c r="A1029" s="33" t="n">
        <v>5486</v>
      </c>
      <c r="B1029" s="33" t="s">
        <v>462</v>
      </c>
      <c r="C1029" s="33" t="s">
        <v>463</v>
      </c>
      <c r="D1029" s="33"/>
      <c r="E1029" s="33" t="n">
        <v>87</v>
      </c>
      <c r="F1029" s="33" t="s">
        <v>2156</v>
      </c>
      <c r="G1029" s="33" t="s">
        <v>456</v>
      </c>
      <c r="H1029" s="33" t="n">
        <v>2</v>
      </c>
      <c r="I1029" s="33" t="n">
        <v>2</v>
      </c>
      <c r="J1029" s="33" t="n">
        <v>2</v>
      </c>
      <c r="K1029" s="32" t="n">
        <v>100</v>
      </c>
      <c r="L1029" s="33" t="str">
        <f aca="false">IF($B1029="","",IFERROR(INDEX('Code Mapping'!$D$5:$D$1753,MATCH($B1029,'Code Mapping'!$A$5:$A$1753,0)),"Unmapped"))</f>
        <v>Bein</v>
      </c>
      <c r="M1029" s="33" t="str">
        <f aca="false">IF($B1029="","",IFERROR(INDEX('Code Mapping'!$E$5:$E$1753,MATCH($B1029,'Code Mapping'!$A$5:$A$1753,0)),"Unmapped"))</f>
        <v>Corporate discount</v>
      </c>
      <c r="N1029" s="33" t="str">
        <f aca="false">IF($F1029="","",$F1029)</f>
        <v>LEGO® SHOWS Qatar 2025</v>
      </c>
    </row>
    <row r="1030" customFormat="false" ht="15" hidden="false" customHeight="false" outlineLevel="0" collapsed="false">
      <c r="A1030" s="33" t="n">
        <v>5487</v>
      </c>
      <c r="B1030" s="33" t="s">
        <v>464</v>
      </c>
      <c r="C1030" s="33" t="s">
        <v>465</v>
      </c>
      <c r="D1030" s="33"/>
      <c r="E1030" s="33" t="n">
        <v>87</v>
      </c>
      <c r="F1030" s="33" t="s">
        <v>2156</v>
      </c>
      <c r="G1030" s="33" t="s">
        <v>456</v>
      </c>
      <c r="H1030" s="33" t="n">
        <v>1</v>
      </c>
      <c r="I1030" s="33" t="n">
        <v>4</v>
      </c>
      <c r="J1030" s="33" t="n">
        <v>4</v>
      </c>
      <c r="K1030" s="32" t="n">
        <v>100</v>
      </c>
      <c r="L1030" s="33" t="str">
        <f aca="false">IF($B1030="","",IFERROR(INDEX('Code Mapping'!$D$5:$D$1753,MATCH($B1030,'Code Mapping'!$A$5:$A$1753,0)),"Unmapped"))</f>
        <v>Bein</v>
      </c>
      <c r="M1030" s="33" t="str">
        <f aca="false">IF($B1030="","",IFERROR(INDEX('Code Mapping'!$E$5:$E$1753,MATCH($B1030,'Code Mapping'!$A$5:$A$1753,0)),"Unmapped"))</f>
        <v>Corporate discount</v>
      </c>
      <c r="N1030" s="33" t="str">
        <f aca="false">IF($F1030="","",$F1030)</f>
        <v>LEGO® SHOWS Qatar 2025</v>
      </c>
    </row>
    <row r="1031" customFormat="false" ht="15" hidden="false" customHeight="false" outlineLevel="0" collapsed="false">
      <c r="A1031" s="33" t="n">
        <v>5453</v>
      </c>
      <c r="B1031" s="33" t="s">
        <v>2084</v>
      </c>
      <c r="C1031" s="33" t="s">
        <v>2085</v>
      </c>
      <c r="D1031" s="33"/>
      <c r="E1031" s="33" t="n">
        <v>91</v>
      </c>
      <c r="F1031" s="33" t="s">
        <v>36</v>
      </c>
      <c r="G1031" s="33" t="s">
        <v>456</v>
      </c>
      <c r="H1031" s="33" t="n">
        <v>1</v>
      </c>
      <c r="I1031" s="33" t="n">
        <v>1</v>
      </c>
      <c r="J1031" s="33" t="n">
        <v>1</v>
      </c>
      <c r="K1031" s="32" t="n">
        <v>250</v>
      </c>
      <c r="L1031" s="33" t="str">
        <f aca="false">IF($B1031="","",IFERROR(INDEX('Code Mapping'!$D$5:$D$1753,MATCH($B1031,'Code Mapping'!$A$5:$A$1753,0)),"Unmapped"))</f>
        <v>Unmapped</v>
      </c>
      <c r="M1031" s="33" t="str">
        <f aca="false">IF($B1031="","",IFERROR(INDEX('Code Mapping'!$E$5:$E$1753,MATCH($B1031,'Code Mapping'!$A$5:$A$1753,0)),"Unmapped"))</f>
        <v>Unmapped</v>
      </c>
      <c r="N1031" s="33" t="str">
        <f aca="false">IF($F1031="","",$F1031)</f>
        <v>InflataPark</v>
      </c>
    </row>
    <row r="1032" customFormat="false" ht="15" hidden="false" customHeight="false" outlineLevel="0" collapsed="false">
      <c r="A1032" s="33" t="n">
        <v>5447</v>
      </c>
      <c r="B1032" s="33" t="s">
        <v>491</v>
      </c>
      <c r="C1032" s="33" t="s">
        <v>492</v>
      </c>
      <c r="D1032" s="33"/>
      <c r="E1032" s="33" t="n">
        <v>87</v>
      </c>
      <c r="F1032" s="33" t="s">
        <v>2156</v>
      </c>
      <c r="G1032" s="33" t="s">
        <v>456</v>
      </c>
      <c r="H1032" s="33" t="n">
        <v>1</v>
      </c>
      <c r="I1032" s="33" t="n">
        <v>4</v>
      </c>
      <c r="J1032" s="33" t="n">
        <v>4</v>
      </c>
      <c r="K1032" s="32" t="n">
        <v>100</v>
      </c>
      <c r="L1032" s="33" t="str">
        <f aca="false">IF($B1032="","",IFERROR(INDEX('Code Mapping'!$D$5:$D$1753,MATCH($B1032,'Code Mapping'!$A$5:$A$1753,0)),"Unmapped"))</f>
        <v>Unmapped</v>
      </c>
      <c r="M1032" s="33" t="str">
        <f aca="false">IF($B1032="","",IFERROR(INDEX('Code Mapping'!$E$5:$E$1753,MATCH($B1032,'Code Mapping'!$A$5:$A$1753,0)),"Unmapped"))</f>
        <v>Unmapped</v>
      </c>
      <c r="N1032" s="33" t="str">
        <f aca="false">IF($F1032="","",$F1032)</f>
        <v>LEGO® SHOWS Qatar 2025</v>
      </c>
    </row>
    <row r="1033" customFormat="false" ht="15" hidden="false" customHeight="false" outlineLevel="0" collapsed="false">
      <c r="A1033" s="33" t="n">
        <v>5484</v>
      </c>
      <c r="B1033" s="33" t="s">
        <v>205</v>
      </c>
      <c r="C1033" s="33" t="s">
        <v>206</v>
      </c>
      <c r="D1033" s="33"/>
      <c r="E1033" s="33" t="n">
        <v>91</v>
      </c>
      <c r="F1033" s="33" t="s">
        <v>36</v>
      </c>
      <c r="G1033" s="33" t="s">
        <v>456</v>
      </c>
      <c r="H1033" s="33" t="n">
        <v>102</v>
      </c>
      <c r="I1033" s="33" t="n">
        <v>239</v>
      </c>
      <c r="J1033" s="33" t="n">
        <v>239</v>
      </c>
      <c r="K1033" s="32" t="n">
        <v>3259.5</v>
      </c>
      <c r="L1033" s="33" t="str">
        <f aca="false">IF($B1033="","",IFERROR(INDEX('Code Mapping'!$D$5:$D$1753,MATCH($B1033,'Code Mapping'!$A$5:$A$1753,0)),"Unmapped"))</f>
        <v>Internal / promotion</v>
      </c>
      <c r="M1033" s="33" t="str">
        <f aca="false">IF($B1033="","",IFERROR(INDEX('Code Mapping'!$E$5:$E$1753,MATCH($B1033,'Code Mapping'!$A$5:$A$1753,0)),"Unmapped"))</f>
        <v>Internal / promotion</v>
      </c>
      <c r="N1033" s="33" t="str">
        <f aca="false">IF($F1033="","",$F1033)</f>
        <v>InflataPark</v>
      </c>
    </row>
    <row r="1034" customFormat="false" ht="15" hidden="false" customHeight="false" outlineLevel="0" collapsed="false">
      <c r="A1034" s="33" t="n">
        <v>5492</v>
      </c>
      <c r="B1034" s="33" t="s">
        <v>497</v>
      </c>
      <c r="C1034" s="33" t="s">
        <v>498</v>
      </c>
      <c r="D1034" s="33"/>
      <c r="E1034" s="33" t="n">
        <v>87</v>
      </c>
      <c r="F1034" s="33" t="s">
        <v>2156</v>
      </c>
      <c r="G1034" s="33" t="s">
        <v>456</v>
      </c>
      <c r="H1034" s="33" t="n">
        <v>25</v>
      </c>
      <c r="I1034" s="33" t="n">
        <v>57</v>
      </c>
      <c r="J1034" s="33" t="n">
        <v>57</v>
      </c>
      <c r="K1034" s="32" t="n">
        <v>1140</v>
      </c>
      <c r="L1034" s="33" t="str">
        <f aca="false">IF($B1034="","",IFERROR(INDEX('Code Mapping'!$D$5:$D$1753,MATCH($B1034,'Code Mapping'!$A$5:$A$1753,0)),"Unmapped"))</f>
        <v>HMC (not on master)</v>
      </c>
      <c r="M1034" s="33" t="str">
        <f aca="false">IF($B1034="","",IFERROR(INDEX('Code Mapping'!$E$5:$E$1753,MATCH($B1034,'Code Mapping'!$A$5:$A$1753,0)),"Unmapped"))</f>
        <v>Not on master</v>
      </c>
      <c r="N1034" s="33" t="str">
        <f aca="false">IF($F1034="","",$F1034)</f>
        <v>LEGO® SHOWS Qatar 2025</v>
      </c>
    </row>
    <row r="1035" customFormat="false" ht="15" hidden="false" customHeight="false" outlineLevel="0" collapsed="false">
      <c r="A1035" s="33" t="n">
        <v>5448</v>
      </c>
      <c r="B1035" s="33" t="s">
        <v>2046</v>
      </c>
      <c r="C1035" s="33" t="s">
        <v>2047</v>
      </c>
      <c r="D1035" s="33"/>
      <c r="E1035" s="33" t="n">
        <v>91</v>
      </c>
      <c r="F1035" s="33" t="s">
        <v>36</v>
      </c>
      <c r="G1035" s="33" t="s">
        <v>456</v>
      </c>
      <c r="H1035" s="33" t="n">
        <v>1</v>
      </c>
      <c r="I1035" s="33" t="n">
        <v>1</v>
      </c>
      <c r="J1035" s="33" t="n">
        <v>1</v>
      </c>
      <c r="K1035" s="32" t="n">
        <v>250</v>
      </c>
      <c r="L1035" s="33" t="str">
        <f aca="false">IF($B1035="","",IFERROR(INDEX('Code Mapping'!$D$5:$D$1753,MATCH($B1035,'Code Mapping'!$A$5:$A$1753,0)),"Unmapped"))</f>
        <v>Unmapped</v>
      </c>
      <c r="M1035" s="33" t="str">
        <f aca="false">IF($B1035="","",IFERROR(INDEX('Code Mapping'!$E$5:$E$1753,MATCH($B1035,'Code Mapping'!$A$5:$A$1753,0)),"Unmapped"))</f>
        <v>Unmapped</v>
      </c>
      <c r="N1035" s="33" t="str">
        <f aca="false">IF($F1035="","",$F1035)</f>
        <v>InflataPark</v>
      </c>
    </row>
    <row r="1036" customFormat="false" ht="15" hidden="false" customHeight="false" outlineLevel="0" collapsed="false">
      <c r="A1036" s="33" t="n">
        <v>5457</v>
      </c>
      <c r="B1036" s="33" t="s">
        <v>2048</v>
      </c>
      <c r="C1036" s="33" t="s">
        <v>2049</v>
      </c>
      <c r="D1036" s="33"/>
      <c r="E1036" s="33" t="n">
        <v>91</v>
      </c>
      <c r="F1036" s="33" t="s">
        <v>36</v>
      </c>
      <c r="G1036" s="33" t="s">
        <v>456</v>
      </c>
      <c r="H1036" s="33" t="n">
        <v>1</v>
      </c>
      <c r="I1036" s="33" t="n">
        <v>1</v>
      </c>
      <c r="J1036" s="33" t="n">
        <v>1</v>
      </c>
      <c r="K1036" s="32" t="n">
        <v>250</v>
      </c>
      <c r="L1036" s="33" t="str">
        <f aca="false">IF($B1036="","",IFERROR(INDEX('Code Mapping'!$D$5:$D$1753,MATCH($B1036,'Code Mapping'!$A$5:$A$1753,0)),"Unmapped"))</f>
        <v>Unmapped</v>
      </c>
      <c r="M1036" s="33" t="str">
        <f aca="false">IF($B1036="","",IFERROR(INDEX('Code Mapping'!$E$5:$E$1753,MATCH($B1036,'Code Mapping'!$A$5:$A$1753,0)),"Unmapped"))</f>
        <v>Unmapped</v>
      </c>
      <c r="N1036" s="33" t="str">
        <f aca="false">IF($F1036="","",$F1036)</f>
        <v>InflataPark</v>
      </c>
    </row>
    <row r="1037" customFormat="false" ht="15" hidden="false" customHeight="false" outlineLevel="0" collapsed="false">
      <c r="A1037" s="33" t="n">
        <v>5458</v>
      </c>
      <c r="B1037" s="33" t="s">
        <v>2050</v>
      </c>
      <c r="C1037" s="33" t="s">
        <v>2051</v>
      </c>
      <c r="D1037" s="33"/>
      <c r="E1037" s="33" t="n">
        <v>91</v>
      </c>
      <c r="F1037" s="33" t="s">
        <v>36</v>
      </c>
      <c r="G1037" s="33" t="s">
        <v>456</v>
      </c>
      <c r="H1037" s="33" t="n">
        <v>1</v>
      </c>
      <c r="I1037" s="33" t="n">
        <v>1</v>
      </c>
      <c r="J1037" s="33" t="n">
        <v>1</v>
      </c>
      <c r="K1037" s="32" t="n">
        <v>250</v>
      </c>
      <c r="L1037" s="33" t="str">
        <f aca="false">IF($B1037="","",IFERROR(INDEX('Code Mapping'!$D$5:$D$1753,MATCH($B1037,'Code Mapping'!$A$5:$A$1753,0)),"Unmapped"))</f>
        <v>Unmapped</v>
      </c>
      <c r="M1037" s="33" t="str">
        <f aca="false">IF($B1037="","",IFERROR(INDEX('Code Mapping'!$E$5:$E$1753,MATCH($B1037,'Code Mapping'!$A$5:$A$1753,0)),"Unmapped"))</f>
        <v>Unmapped</v>
      </c>
      <c r="N1037" s="33" t="str">
        <f aca="false">IF($F1037="","",$F1037)</f>
        <v>InflataPark</v>
      </c>
    </row>
    <row r="1038" customFormat="false" ht="15" hidden="false" customHeight="false" outlineLevel="0" collapsed="false">
      <c r="A1038" s="33" t="n">
        <v>5449</v>
      </c>
      <c r="B1038" s="33" t="s">
        <v>2064</v>
      </c>
      <c r="C1038" s="33" t="s">
        <v>2065</v>
      </c>
      <c r="D1038" s="33"/>
      <c r="E1038" s="33" t="n">
        <v>91</v>
      </c>
      <c r="F1038" s="33" t="s">
        <v>36</v>
      </c>
      <c r="G1038" s="33" t="s">
        <v>456</v>
      </c>
      <c r="H1038" s="33" t="n">
        <v>1</v>
      </c>
      <c r="I1038" s="33" t="n">
        <v>1</v>
      </c>
      <c r="J1038" s="33" t="n">
        <v>1</v>
      </c>
      <c r="K1038" s="32" t="n">
        <v>250</v>
      </c>
      <c r="L1038" s="33" t="str">
        <f aca="false">IF($B1038="","",IFERROR(INDEX('Code Mapping'!$D$5:$D$1753,MATCH($B1038,'Code Mapping'!$A$5:$A$1753,0)),"Unmapped"))</f>
        <v>Unmapped</v>
      </c>
      <c r="M1038" s="33" t="str">
        <f aca="false">IF($B1038="","",IFERROR(INDEX('Code Mapping'!$E$5:$E$1753,MATCH($B1038,'Code Mapping'!$A$5:$A$1753,0)),"Unmapped"))</f>
        <v>Unmapped</v>
      </c>
      <c r="N1038" s="33" t="str">
        <f aca="false">IF($F1038="","",$F1038)</f>
        <v>InflataPark</v>
      </c>
    </row>
    <row r="1039" customFormat="false" ht="15" hidden="false" customHeight="false" outlineLevel="0" collapsed="false">
      <c r="A1039" s="33" t="n">
        <v>5450</v>
      </c>
      <c r="B1039" s="33" t="s">
        <v>2078</v>
      </c>
      <c r="C1039" s="33" t="s">
        <v>2079</v>
      </c>
      <c r="D1039" s="33"/>
      <c r="E1039" s="33" t="n">
        <v>91</v>
      </c>
      <c r="F1039" s="33" t="s">
        <v>36</v>
      </c>
      <c r="G1039" s="33" t="s">
        <v>456</v>
      </c>
      <c r="H1039" s="33" t="n">
        <v>1</v>
      </c>
      <c r="I1039" s="33" t="n">
        <v>1</v>
      </c>
      <c r="J1039" s="33" t="n">
        <v>1</v>
      </c>
      <c r="K1039" s="32" t="n">
        <v>250</v>
      </c>
      <c r="L1039" s="33" t="str">
        <f aca="false">IF($B1039="","",IFERROR(INDEX('Code Mapping'!$D$5:$D$1753,MATCH($B1039,'Code Mapping'!$A$5:$A$1753,0)),"Unmapped"))</f>
        <v>Unmapped</v>
      </c>
      <c r="M1039" s="33" t="str">
        <f aca="false">IF($B1039="","",IFERROR(INDEX('Code Mapping'!$E$5:$E$1753,MATCH($B1039,'Code Mapping'!$A$5:$A$1753,0)),"Unmapped"))</f>
        <v>Unmapped</v>
      </c>
      <c r="N1039" s="33" t="str">
        <f aca="false">IF($F1039="","",$F1039)</f>
        <v>InflataPark</v>
      </c>
    </row>
    <row r="1040" customFormat="false" ht="15" hidden="false" customHeight="false" outlineLevel="0" collapsed="false">
      <c r="A1040" s="33" t="n">
        <v>5452</v>
      </c>
      <c r="B1040" s="33" t="s">
        <v>2082</v>
      </c>
      <c r="C1040" s="33" t="s">
        <v>2083</v>
      </c>
      <c r="D1040" s="33"/>
      <c r="E1040" s="33" t="n">
        <v>91</v>
      </c>
      <c r="F1040" s="33" t="s">
        <v>36</v>
      </c>
      <c r="G1040" s="33" t="s">
        <v>456</v>
      </c>
      <c r="H1040" s="33" t="n">
        <v>1</v>
      </c>
      <c r="I1040" s="33" t="n">
        <v>1</v>
      </c>
      <c r="J1040" s="33" t="n">
        <v>1</v>
      </c>
      <c r="K1040" s="32" t="n">
        <v>250</v>
      </c>
      <c r="L1040" s="33" t="str">
        <f aca="false">IF($B1040="","",IFERROR(INDEX('Code Mapping'!$D$5:$D$1753,MATCH($B1040,'Code Mapping'!$A$5:$A$1753,0)),"Unmapped"))</f>
        <v>Unmapped</v>
      </c>
      <c r="M1040" s="33" t="str">
        <f aca="false">IF($B1040="","",IFERROR(INDEX('Code Mapping'!$E$5:$E$1753,MATCH($B1040,'Code Mapping'!$A$5:$A$1753,0)),"Unmapped"))</f>
        <v>Unmapped</v>
      </c>
      <c r="N1040" s="33" t="str">
        <f aca="false">IF($F1040="","",$F1040)</f>
        <v>InflataPark</v>
      </c>
    </row>
    <row r="1041" customFormat="false" ht="15" hidden="false" customHeight="false" outlineLevel="0" collapsed="false">
      <c r="A1041" s="33" t="n">
        <v>5451</v>
      </c>
      <c r="B1041" s="33" t="s">
        <v>2080</v>
      </c>
      <c r="C1041" s="33" t="s">
        <v>2081</v>
      </c>
      <c r="D1041" s="33"/>
      <c r="E1041" s="33" t="n">
        <v>91</v>
      </c>
      <c r="F1041" s="33" t="s">
        <v>36</v>
      </c>
      <c r="G1041" s="33" t="s">
        <v>456</v>
      </c>
      <c r="H1041" s="33" t="n">
        <v>1</v>
      </c>
      <c r="I1041" s="33" t="n">
        <v>1</v>
      </c>
      <c r="J1041" s="33" t="n">
        <v>1</v>
      </c>
      <c r="K1041" s="32" t="n">
        <v>250</v>
      </c>
      <c r="L1041" s="33" t="str">
        <f aca="false">IF($B1041="","",IFERROR(INDEX('Code Mapping'!$D$5:$D$1753,MATCH($B1041,'Code Mapping'!$A$5:$A$1753,0)),"Unmapped"))</f>
        <v>Unmapped</v>
      </c>
      <c r="M1041" s="33" t="str">
        <f aca="false">IF($B1041="","",IFERROR(INDEX('Code Mapping'!$E$5:$E$1753,MATCH($B1041,'Code Mapping'!$A$5:$A$1753,0)),"Unmapped"))</f>
        <v>Unmapped</v>
      </c>
      <c r="N1041" s="33" t="str">
        <f aca="false">IF($F1041="","",$F1041)</f>
        <v>InflataPark</v>
      </c>
    </row>
    <row r="1042" customFormat="false" ht="15" hidden="false" customHeight="false" outlineLevel="0" collapsed="false">
      <c r="A1042" s="33" t="n">
        <v>5439</v>
      </c>
      <c r="B1042" s="33" t="s">
        <v>2014</v>
      </c>
      <c r="C1042" s="33" t="s">
        <v>2015</v>
      </c>
      <c r="D1042" s="33"/>
      <c r="E1042" s="33" t="n">
        <v>79</v>
      </c>
      <c r="F1042" s="33" t="s">
        <v>2155</v>
      </c>
      <c r="G1042" s="33" t="s">
        <v>2016</v>
      </c>
      <c r="H1042" s="33" t="n">
        <v>2</v>
      </c>
      <c r="I1042" s="33" t="n">
        <v>5</v>
      </c>
      <c r="J1042" s="33" t="n">
        <v>5</v>
      </c>
      <c r="K1042" s="32" t="n">
        <v>75</v>
      </c>
      <c r="L1042" s="33" t="str">
        <f aca="false">IF($B1042="","",IFERROR(INDEX('Code Mapping'!$D$5:$D$1753,MATCH($B1042,'Code Mapping'!$A$5:$A$1753,0)),"Unmapped"))</f>
        <v>Unmapped</v>
      </c>
      <c r="M1042" s="33" t="str">
        <f aca="false">IF($B1042="","",IFERROR(INDEX('Code Mapping'!$E$5:$E$1753,MATCH($B1042,'Code Mapping'!$A$5:$A$1753,0)),"Unmapped"))</f>
        <v>Unmapped</v>
      </c>
      <c r="N1042" s="33" t="str">
        <f aca="false">IF($F1042="","",$F1042)</f>
        <v>Stand Up Comedy Qatar @ Collectors</v>
      </c>
    </row>
    <row r="1043" customFormat="false" ht="15" hidden="false" customHeight="false" outlineLevel="0" collapsed="false">
      <c r="A1043" s="33" t="n">
        <v>5437</v>
      </c>
      <c r="B1043" s="33" t="s">
        <v>1993</v>
      </c>
      <c r="C1043" s="33" t="s">
        <v>1994</v>
      </c>
      <c r="D1043" s="33"/>
      <c r="E1043" s="33" t="n">
        <v>79</v>
      </c>
      <c r="F1043" s="33" t="s">
        <v>2155</v>
      </c>
      <c r="G1043" s="33" t="s">
        <v>1995</v>
      </c>
      <c r="H1043" s="33" t="n">
        <v>1</v>
      </c>
      <c r="I1043" s="33" t="n">
        <v>2</v>
      </c>
      <c r="J1043" s="33" t="n">
        <v>2</v>
      </c>
      <c r="K1043" s="32" t="n">
        <v>30</v>
      </c>
      <c r="L1043" s="33" t="str">
        <f aca="false">IF($B1043="","",IFERROR(INDEX('Code Mapping'!$D$5:$D$1753,MATCH($B1043,'Code Mapping'!$A$5:$A$1753,0)),"Unmapped"))</f>
        <v>Unmapped</v>
      </c>
      <c r="M1043" s="33" t="str">
        <f aca="false">IF($B1043="","",IFERROR(INDEX('Code Mapping'!$E$5:$E$1753,MATCH($B1043,'Code Mapping'!$A$5:$A$1753,0)),"Unmapped"))</f>
        <v>Unmapped</v>
      </c>
      <c r="N1043" s="33" t="str">
        <f aca="false">IF($F1043="","",$F1043)</f>
        <v>Stand Up Comedy Qatar @ Collectors</v>
      </c>
    </row>
    <row r="1044" customFormat="false" ht="15" hidden="false" customHeight="false" outlineLevel="0" collapsed="false">
      <c r="A1044" s="33" t="n">
        <v>5433</v>
      </c>
      <c r="B1044" s="33" t="s">
        <v>2029</v>
      </c>
      <c r="C1044" s="33"/>
      <c r="D1044" s="33"/>
      <c r="E1044" s="33" t="n">
        <v>71</v>
      </c>
      <c r="F1044" s="33" t="s">
        <v>2157</v>
      </c>
      <c r="G1044" s="33" t="s">
        <v>1961</v>
      </c>
      <c r="H1044" s="33" t="n">
        <v>1</v>
      </c>
      <c r="I1044" s="33" t="n">
        <v>1</v>
      </c>
      <c r="J1044" s="33" t="n">
        <v>1</v>
      </c>
      <c r="K1044" s="32" t="n">
        <v>39.9</v>
      </c>
      <c r="L1044" s="33" t="str">
        <f aca="false">IF($B1044="","",IFERROR(INDEX('Code Mapping'!$D$5:$D$1753,MATCH($B1044,'Code Mapping'!$A$5:$A$1753,0)),"Unmapped"))</f>
        <v>Unmapped</v>
      </c>
      <c r="M1044" s="33" t="str">
        <f aca="false">IF($B1044="","",IFERROR(INDEX('Code Mapping'!$E$5:$E$1753,MATCH($B1044,'Code Mapping'!$A$5:$A$1753,0)),"Unmapped"))</f>
        <v>Unmapped</v>
      </c>
      <c r="N1044" s="33" t="str">
        <f aca="false">IF($F1044="","",$F1044)</f>
        <v>Urban Arena-Space Tribe</v>
      </c>
    </row>
    <row r="1045" customFormat="false" ht="15" hidden="false" customHeight="false" outlineLevel="0" collapsed="false">
      <c r="A1045" s="33" t="n">
        <v>5434</v>
      </c>
      <c r="B1045" s="33" t="s">
        <v>2030</v>
      </c>
      <c r="C1045" s="33"/>
      <c r="D1045" s="33"/>
      <c r="E1045" s="33" t="n">
        <v>71</v>
      </c>
      <c r="F1045" s="33" t="s">
        <v>2157</v>
      </c>
      <c r="G1045" s="33" t="s">
        <v>1961</v>
      </c>
      <c r="H1045" s="33" t="n">
        <v>1</v>
      </c>
      <c r="I1045" s="33" t="n">
        <v>1</v>
      </c>
      <c r="J1045" s="33" t="n">
        <v>1</v>
      </c>
      <c r="K1045" s="32" t="n">
        <v>39.9</v>
      </c>
      <c r="L1045" s="33" t="str">
        <f aca="false">IF($B1045="","",IFERROR(INDEX('Code Mapping'!$D$5:$D$1753,MATCH($B1045,'Code Mapping'!$A$5:$A$1753,0)),"Unmapped"))</f>
        <v>Unmapped</v>
      </c>
      <c r="M1045" s="33" t="str">
        <f aca="false">IF($B1045="","",IFERROR(INDEX('Code Mapping'!$E$5:$E$1753,MATCH($B1045,'Code Mapping'!$A$5:$A$1753,0)),"Unmapped"))</f>
        <v>Unmapped</v>
      </c>
      <c r="N1045" s="33" t="str">
        <f aca="false">IF($F1045="","",$F1045)</f>
        <v>Urban Arena-Space Tribe</v>
      </c>
    </row>
    <row r="1046" customFormat="false" ht="15" hidden="false" customHeight="false" outlineLevel="0" collapsed="false">
      <c r="A1046" s="33" t="n">
        <v>5431</v>
      </c>
      <c r="B1046" s="33" t="s">
        <v>2112</v>
      </c>
      <c r="C1046" s="33" t="s">
        <v>2113</v>
      </c>
      <c r="D1046" s="33"/>
      <c r="E1046" s="33" t="n">
        <v>71</v>
      </c>
      <c r="F1046" s="33" t="s">
        <v>2157</v>
      </c>
      <c r="G1046" s="33" t="s">
        <v>1961</v>
      </c>
      <c r="H1046" s="33" t="n">
        <v>2</v>
      </c>
      <c r="I1046" s="33" t="n">
        <v>2</v>
      </c>
      <c r="J1046" s="33" t="n">
        <v>2</v>
      </c>
      <c r="K1046" s="32" t="n">
        <v>79.8</v>
      </c>
      <c r="L1046" s="33" t="str">
        <f aca="false">IF($B1046="","",IFERROR(INDEX('Code Mapping'!$D$5:$D$1753,MATCH($B1046,'Code Mapping'!$A$5:$A$1753,0)),"Unmapped"))</f>
        <v>Unmapped</v>
      </c>
      <c r="M1046" s="33" t="str">
        <f aca="false">IF($B1046="","",IFERROR(INDEX('Code Mapping'!$E$5:$E$1753,MATCH($B1046,'Code Mapping'!$A$5:$A$1753,0)),"Unmapped"))</f>
        <v>Unmapped</v>
      </c>
      <c r="N1046" s="33" t="str">
        <f aca="false">IF($F1046="","",$F1046)</f>
        <v>Urban Arena-Space Tribe</v>
      </c>
    </row>
    <row r="1047" customFormat="false" ht="15" hidden="false" customHeight="false" outlineLevel="0" collapsed="false">
      <c r="A1047" s="33" t="n">
        <v>2955</v>
      </c>
      <c r="B1047" s="33" t="s">
        <v>1959</v>
      </c>
      <c r="C1047" s="33" t="s">
        <v>1960</v>
      </c>
      <c r="D1047" s="33"/>
      <c r="E1047" s="33" t="n">
        <v>62</v>
      </c>
      <c r="F1047" s="33" t="s">
        <v>2158</v>
      </c>
      <c r="G1047" s="33" t="s">
        <v>1961</v>
      </c>
      <c r="H1047" s="33" t="n">
        <v>4</v>
      </c>
      <c r="I1047" s="33" t="n">
        <v>40</v>
      </c>
      <c r="J1047" s="33" t="n">
        <v>40</v>
      </c>
      <c r="K1047" s="32" t="n">
        <v>360</v>
      </c>
      <c r="L1047" s="33" t="str">
        <f aca="false">IF($B1047="","",IFERROR(INDEX('Code Mapping'!$D$5:$D$1753,MATCH($B1047,'Code Mapping'!$A$5:$A$1753,0)),"Unmapped"))</f>
        <v>Unmapped</v>
      </c>
      <c r="M1047" s="33" t="str">
        <f aca="false">IF($B1047="","",IFERROR(INDEX('Code Mapping'!$E$5:$E$1753,MATCH($B1047,'Code Mapping'!$A$5:$A$1753,0)),"Unmapped"))</f>
        <v>Unmapped</v>
      </c>
      <c r="N1047" s="33" t="str">
        <f aca="false">IF($F1047="","",$F1047)</f>
        <v>Urban Arena - Paintless Paintball and Bazooka Ball</v>
      </c>
    </row>
    <row r="1048" customFormat="false" ht="15" hidden="false" customHeight="false" outlineLevel="0" collapsed="false">
      <c r="A1048" s="33" t="n">
        <v>5086</v>
      </c>
      <c r="B1048" s="33" t="s">
        <v>1707</v>
      </c>
      <c r="C1048" s="33" t="s">
        <v>1545</v>
      </c>
      <c r="D1048" s="33"/>
      <c r="E1048" s="33" t="n">
        <v>74</v>
      </c>
      <c r="F1048" s="33" t="s">
        <v>2159</v>
      </c>
      <c r="G1048" s="33" t="s">
        <v>1548</v>
      </c>
      <c r="H1048" s="33" t="n">
        <v>1</v>
      </c>
      <c r="I1048" s="33" t="n">
        <v>1</v>
      </c>
      <c r="J1048" s="33" t="n">
        <v>1</v>
      </c>
      <c r="K1048" s="32" t="n">
        <v>300</v>
      </c>
      <c r="L1048" s="33" t="str">
        <f aca="false">IF($B1048="","",IFERROR(INDEX('Code Mapping'!$D$5:$D$1753,MATCH($B1048,'Code Mapping'!$A$5:$A$1753,0)),"Unmapped"))</f>
        <v>Unmapped</v>
      </c>
      <c r="M1048" s="33" t="str">
        <f aca="false">IF($B1048="","",IFERROR(INDEX('Code Mapping'!$E$5:$E$1753,MATCH($B1048,'Code Mapping'!$A$5:$A$1753,0)),"Unmapped"))</f>
        <v>Unmapped</v>
      </c>
      <c r="N1048" s="33" t="str">
        <f aca="false">IF($F1048="","",$F1048)</f>
        <v>InflataRun 2024</v>
      </c>
    </row>
    <row r="1049" customFormat="false" ht="15" hidden="false" customHeight="false" outlineLevel="0" collapsed="false">
      <c r="A1049" s="33" t="n">
        <v>4950</v>
      </c>
      <c r="B1049" s="33" t="s">
        <v>1692</v>
      </c>
      <c r="C1049" s="33" t="s">
        <v>1545</v>
      </c>
      <c r="D1049" s="33"/>
      <c r="E1049" s="33" t="n">
        <v>74</v>
      </c>
      <c r="F1049" s="33" t="s">
        <v>2159</v>
      </c>
      <c r="G1049" s="33" t="s">
        <v>1548</v>
      </c>
      <c r="H1049" s="33" t="n">
        <v>1</v>
      </c>
      <c r="I1049" s="33" t="n">
        <v>1</v>
      </c>
      <c r="J1049" s="33" t="n">
        <v>1</v>
      </c>
      <c r="K1049" s="32" t="n">
        <v>300</v>
      </c>
      <c r="L1049" s="33" t="str">
        <f aca="false">IF($B1049="","",IFERROR(INDEX('Code Mapping'!$D$5:$D$1753,MATCH($B1049,'Code Mapping'!$A$5:$A$1753,0)),"Unmapped"))</f>
        <v>Unmapped</v>
      </c>
      <c r="M1049" s="33" t="str">
        <f aca="false">IF($B1049="","",IFERROR(INDEX('Code Mapping'!$E$5:$E$1753,MATCH($B1049,'Code Mapping'!$A$5:$A$1753,0)),"Unmapped"))</f>
        <v>Unmapped</v>
      </c>
      <c r="N1049" s="33" t="str">
        <f aca="false">IF($F1049="","",$F1049)</f>
        <v>InflataRun 2024</v>
      </c>
    </row>
    <row r="1050" customFormat="false" ht="15" hidden="false" customHeight="false" outlineLevel="0" collapsed="false">
      <c r="A1050" s="33" t="n">
        <v>3601</v>
      </c>
      <c r="B1050" s="33" t="s">
        <v>1694</v>
      </c>
      <c r="C1050" s="33" t="s">
        <v>1554</v>
      </c>
      <c r="D1050" s="33"/>
      <c r="E1050" s="33" t="n">
        <v>74</v>
      </c>
      <c r="F1050" s="33" t="s">
        <v>2159</v>
      </c>
      <c r="G1050" s="33" t="s">
        <v>1548</v>
      </c>
      <c r="H1050" s="33" t="n">
        <v>1</v>
      </c>
      <c r="I1050" s="33" t="n">
        <v>1</v>
      </c>
      <c r="J1050" s="33" t="n">
        <v>1</v>
      </c>
      <c r="K1050" s="32" t="n">
        <v>75</v>
      </c>
      <c r="L1050" s="33" t="str">
        <f aca="false">IF($B1050="","",IFERROR(INDEX('Code Mapping'!$D$5:$D$1753,MATCH($B1050,'Code Mapping'!$A$5:$A$1753,0)),"Unmapped"))</f>
        <v>Unmapped</v>
      </c>
      <c r="M1050" s="33" t="str">
        <f aca="false">IF($B1050="","",IFERROR(INDEX('Code Mapping'!$E$5:$E$1753,MATCH($B1050,'Code Mapping'!$A$5:$A$1753,0)),"Unmapped"))</f>
        <v>Unmapped</v>
      </c>
      <c r="N1050" s="33" t="str">
        <f aca="false">IF($F1050="","",$F1050)</f>
        <v>InflataRun 2024</v>
      </c>
    </row>
    <row r="1051" customFormat="false" ht="15" hidden="false" customHeight="false" outlineLevel="0" collapsed="false">
      <c r="A1051" s="33" t="n">
        <v>3583</v>
      </c>
      <c r="B1051" s="33" t="s">
        <v>1698</v>
      </c>
      <c r="C1051" s="33" t="s">
        <v>1554</v>
      </c>
      <c r="D1051" s="33"/>
      <c r="E1051" s="33" t="n">
        <v>74</v>
      </c>
      <c r="F1051" s="33" t="s">
        <v>2159</v>
      </c>
      <c r="G1051" s="33" t="s">
        <v>1548</v>
      </c>
      <c r="H1051" s="33" t="n">
        <v>1</v>
      </c>
      <c r="I1051" s="33" t="n">
        <v>1</v>
      </c>
      <c r="J1051" s="33" t="n">
        <v>1</v>
      </c>
      <c r="K1051" s="32" t="n">
        <v>75</v>
      </c>
      <c r="L1051" s="33" t="str">
        <f aca="false">IF($B1051="","",IFERROR(INDEX('Code Mapping'!$D$5:$D$1753,MATCH($B1051,'Code Mapping'!$A$5:$A$1753,0)),"Unmapped"))</f>
        <v>Unmapped</v>
      </c>
      <c r="M1051" s="33" t="str">
        <f aca="false">IF($B1051="","",IFERROR(INDEX('Code Mapping'!$E$5:$E$1753,MATCH($B1051,'Code Mapping'!$A$5:$A$1753,0)),"Unmapped"))</f>
        <v>Unmapped</v>
      </c>
      <c r="N1051" s="33" t="str">
        <f aca="false">IF($F1051="","",$F1051)</f>
        <v>InflataRun 2024</v>
      </c>
    </row>
    <row r="1052" customFormat="false" ht="15" hidden="false" customHeight="false" outlineLevel="0" collapsed="false">
      <c r="A1052" s="33" t="n">
        <v>3632</v>
      </c>
      <c r="B1052" s="33" t="s">
        <v>1699</v>
      </c>
      <c r="C1052" s="33" t="s">
        <v>1554</v>
      </c>
      <c r="D1052" s="33"/>
      <c r="E1052" s="33" t="n">
        <v>74</v>
      </c>
      <c r="F1052" s="33" t="s">
        <v>2159</v>
      </c>
      <c r="G1052" s="33" t="s">
        <v>1548</v>
      </c>
      <c r="H1052" s="33" t="n">
        <v>1</v>
      </c>
      <c r="I1052" s="33" t="n">
        <v>1</v>
      </c>
      <c r="J1052" s="33" t="n">
        <v>1</v>
      </c>
      <c r="K1052" s="32" t="n">
        <v>75</v>
      </c>
      <c r="L1052" s="33" t="str">
        <f aca="false">IF($B1052="","",IFERROR(INDEX('Code Mapping'!$D$5:$D$1753,MATCH($B1052,'Code Mapping'!$A$5:$A$1753,0)),"Unmapped"))</f>
        <v>Unmapped</v>
      </c>
      <c r="M1052" s="33" t="str">
        <f aca="false">IF($B1052="","",IFERROR(INDEX('Code Mapping'!$E$5:$E$1753,MATCH($B1052,'Code Mapping'!$A$5:$A$1753,0)),"Unmapped"))</f>
        <v>Unmapped</v>
      </c>
      <c r="N1052" s="33" t="str">
        <f aca="false">IF($F1052="","",$F1052)</f>
        <v>InflataRun 2024</v>
      </c>
    </row>
    <row r="1053" customFormat="false" ht="15" hidden="false" customHeight="false" outlineLevel="0" collapsed="false">
      <c r="A1053" s="33" t="n">
        <v>4790</v>
      </c>
      <c r="B1053" s="33" t="s">
        <v>1700</v>
      </c>
      <c r="C1053" s="33" t="s">
        <v>1545</v>
      </c>
      <c r="D1053" s="33"/>
      <c r="E1053" s="33" t="n">
        <v>74</v>
      </c>
      <c r="F1053" s="33" t="s">
        <v>2159</v>
      </c>
      <c r="G1053" s="33" t="s">
        <v>1548</v>
      </c>
      <c r="H1053" s="33" t="n">
        <v>1</v>
      </c>
      <c r="I1053" s="33" t="n">
        <v>1</v>
      </c>
      <c r="J1053" s="33" t="n">
        <v>1</v>
      </c>
      <c r="K1053" s="32" t="n">
        <v>300</v>
      </c>
      <c r="L1053" s="33" t="str">
        <f aca="false">IF($B1053="","",IFERROR(INDEX('Code Mapping'!$D$5:$D$1753,MATCH($B1053,'Code Mapping'!$A$5:$A$1753,0)),"Unmapped"))</f>
        <v>Unmapped</v>
      </c>
      <c r="M1053" s="33" t="str">
        <f aca="false">IF($B1053="","",IFERROR(INDEX('Code Mapping'!$E$5:$E$1753,MATCH($B1053,'Code Mapping'!$A$5:$A$1753,0)),"Unmapped"))</f>
        <v>Unmapped</v>
      </c>
      <c r="N1053" s="33" t="str">
        <f aca="false">IF($F1053="","",$F1053)</f>
        <v>InflataRun 2024</v>
      </c>
    </row>
    <row r="1054" customFormat="false" ht="15" hidden="false" customHeight="false" outlineLevel="0" collapsed="false">
      <c r="A1054" s="33" t="n">
        <v>3630</v>
      </c>
      <c r="B1054" s="33" t="s">
        <v>1703</v>
      </c>
      <c r="C1054" s="33" t="s">
        <v>1554</v>
      </c>
      <c r="D1054" s="33"/>
      <c r="E1054" s="33" t="n">
        <v>74</v>
      </c>
      <c r="F1054" s="33" t="s">
        <v>2159</v>
      </c>
      <c r="G1054" s="33" t="s">
        <v>1548</v>
      </c>
      <c r="H1054" s="33" t="n">
        <v>1</v>
      </c>
      <c r="I1054" s="33" t="n">
        <v>1</v>
      </c>
      <c r="J1054" s="33" t="n">
        <v>1</v>
      </c>
      <c r="K1054" s="32" t="n">
        <v>75</v>
      </c>
      <c r="L1054" s="33" t="str">
        <f aca="false">IF($B1054="","",IFERROR(INDEX('Code Mapping'!$D$5:$D$1753,MATCH($B1054,'Code Mapping'!$A$5:$A$1753,0)),"Unmapped"))</f>
        <v>Unmapped</v>
      </c>
      <c r="M1054" s="33" t="str">
        <f aca="false">IF($B1054="","",IFERROR(INDEX('Code Mapping'!$E$5:$E$1753,MATCH($B1054,'Code Mapping'!$A$5:$A$1753,0)),"Unmapped"))</f>
        <v>Unmapped</v>
      </c>
      <c r="N1054" s="33" t="str">
        <f aca="false">IF($F1054="","",$F1054)</f>
        <v>InflataRun 2024</v>
      </c>
    </row>
    <row r="1055" customFormat="false" ht="15" hidden="false" customHeight="false" outlineLevel="0" collapsed="false">
      <c r="A1055" s="33" t="n">
        <v>4872</v>
      </c>
      <c r="B1055" s="33" t="s">
        <v>1706</v>
      </c>
      <c r="C1055" s="33" t="s">
        <v>1545</v>
      </c>
      <c r="D1055" s="33"/>
      <c r="E1055" s="33" t="n">
        <v>74</v>
      </c>
      <c r="F1055" s="33" t="s">
        <v>2159</v>
      </c>
      <c r="G1055" s="33" t="s">
        <v>1548</v>
      </c>
      <c r="H1055" s="33" t="n">
        <v>1</v>
      </c>
      <c r="I1055" s="33" t="n">
        <v>1</v>
      </c>
      <c r="J1055" s="33" t="n">
        <v>1</v>
      </c>
      <c r="K1055" s="32" t="n">
        <v>300</v>
      </c>
      <c r="L1055" s="33" t="str">
        <f aca="false">IF($B1055="","",IFERROR(INDEX('Code Mapping'!$D$5:$D$1753,MATCH($B1055,'Code Mapping'!$A$5:$A$1753,0)),"Unmapped"))</f>
        <v>Unmapped</v>
      </c>
      <c r="M1055" s="33" t="str">
        <f aca="false">IF($B1055="","",IFERROR(INDEX('Code Mapping'!$E$5:$E$1753,MATCH($B1055,'Code Mapping'!$A$5:$A$1753,0)),"Unmapped"))</f>
        <v>Unmapped</v>
      </c>
      <c r="N1055" s="33" t="str">
        <f aca="false">IF($F1055="","",$F1055)</f>
        <v>InflataRun 2024</v>
      </c>
    </row>
    <row r="1056" customFormat="false" ht="15" hidden="false" customHeight="false" outlineLevel="0" collapsed="false">
      <c r="A1056" s="33" t="n">
        <v>4800</v>
      </c>
      <c r="B1056" s="33" t="s">
        <v>1709</v>
      </c>
      <c r="C1056" s="33" t="s">
        <v>1545</v>
      </c>
      <c r="D1056" s="33"/>
      <c r="E1056" s="33" t="n">
        <v>74</v>
      </c>
      <c r="F1056" s="33" t="s">
        <v>2159</v>
      </c>
      <c r="G1056" s="33" t="s">
        <v>1548</v>
      </c>
      <c r="H1056" s="33" t="n">
        <v>1</v>
      </c>
      <c r="I1056" s="33" t="n">
        <v>1</v>
      </c>
      <c r="J1056" s="33" t="n">
        <v>1</v>
      </c>
      <c r="K1056" s="32" t="n">
        <v>300</v>
      </c>
      <c r="L1056" s="33" t="str">
        <f aca="false">IF($B1056="","",IFERROR(INDEX('Code Mapping'!$D$5:$D$1753,MATCH($B1056,'Code Mapping'!$A$5:$A$1753,0)),"Unmapped"))</f>
        <v>Unmapped</v>
      </c>
      <c r="M1056" s="33" t="str">
        <f aca="false">IF($B1056="","",IFERROR(INDEX('Code Mapping'!$E$5:$E$1753,MATCH($B1056,'Code Mapping'!$A$5:$A$1753,0)),"Unmapped"))</f>
        <v>Unmapped</v>
      </c>
      <c r="N1056" s="33" t="str">
        <f aca="false">IF($F1056="","",$F1056)</f>
        <v>InflataRun 2024</v>
      </c>
    </row>
    <row r="1057" customFormat="false" ht="15" hidden="false" customHeight="false" outlineLevel="0" collapsed="false">
      <c r="A1057" s="33" t="n">
        <v>4983</v>
      </c>
      <c r="B1057" s="33" t="s">
        <v>1690</v>
      </c>
      <c r="C1057" s="33" t="s">
        <v>1545</v>
      </c>
      <c r="D1057" s="33"/>
      <c r="E1057" s="33" t="n">
        <v>74</v>
      </c>
      <c r="F1057" s="33" t="s">
        <v>2159</v>
      </c>
      <c r="G1057" s="33" t="s">
        <v>1548</v>
      </c>
      <c r="H1057" s="33" t="n">
        <v>1</v>
      </c>
      <c r="I1057" s="33" t="n">
        <v>1</v>
      </c>
      <c r="J1057" s="33" t="n">
        <v>1</v>
      </c>
      <c r="K1057" s="32" t="n">
        <v>300</v>
      </c>
      <c r="L1057" s="33" t="str">
        <f aca="false">IF($B1057="","",IFERROR(INDEX('Code Mapping'!$D$5:$D$1753,MATCH($B1057,'Code Mapping'!$A$5:$A$1753,0)),"Unmapped"))</f>
        <v>Unmapped</v>
      </c>
      <c r="M1057" s="33" t="str">
        <f aca="false">IF($B1057="","",IFERROR(INDEX('Code Mapping'!$E$5:$E$1753,MATCH($B1057,'Code Mapping'!$A$5:$A$1753,0)),"Unmapped"))</f>
        <v>Unmapped</v>
      </c>
      <c r="N1057" s="33" t="str">
        <f aca="false">IF($F1057="","",$F1057)</f>
        <v>InflataRun 2024</v>
      </c>
    </row>
    <row r="1058" customFormat="false" ht="15" hidden="false" customHeight="false" outlineLevel="0" collapsed="false">
      <c r="A1058" s="33" t="n">
        <v>3633</v>
      </c>
      <c r="B1058" s="33" t="s">
        <v>1710</v>
      </c>
      <c r="C1058" s="33" t="s">
        <v>1554</v>
      </c>
      <c r="D1058" s="33"/>
      <c r="E1058" s="33" t="n">
        <v>74</v>
      </c>
      <c r="F1058" s="33" t="s">
        <v>2159</v>
      </c>
      <c r="G1058" s="33" t="s">
        <v>1548</v>
      </c>
      <c r="H1058" s="33" t="n">
        <v>1</v>
      </c>
      <c r="I1058" s="33" t="n">
        <v>1</v>
      </c>
      <c r="J1058" s="33" t="n">
        <v>1</v>
      </c>
      <c r="K1058" s="32" t="n">
        <v>75</v>
      </c>
      <c r="L1058" s="33" t="str">
        <f aca="false">IF($B1058="","",IFERROR(INDEX('Code Mapping'!$D$5:$D$1753,MATCH($B1058,'Code Mapping'!$A$5:$A$1753,0)),"Unmapped"))</f>
        <v>Unmapped</v>
      </c>
      <c r="M1058" s="33" t="str">
        <f aca="false">IF($B1058="","",IFERROR(INDEX('Code Mapping'!$E$5:$E$1753,MATCH($B1058,'Code Mapping'!$A$5:$A$1753,0)),"Unmapped"))</f>
        <v>Unmapped</v>
      </c>
      <c r="N1058" s="33" t="str">
        <f aca="false">IF($F1058="","",$F1058)</f>
        <v>InflataRun 2024</v>
      </c>
    </row>
    <row r="1059" customFormat="false" ht="15" hidden="false" customHeight="false" outlineLevel="0" collapsed="false">
      <c r="A1059" s="33" t="n">
        <v>5008</v>
      </c>
      <c r="B1059" s="33" t="s">
        <v>1711</v>
      </c>
      <c r="C1059" s="33" t="s">
        <v>1545</v>
      </c>
      <c r="D1059" s="33"/>
      <c r="E1059" s="33" t="n">
        <v>74</v>
      </c>
      <c r="F1059" s="33" t="s">
        <v>2159</v>
      </c>
      <c r="G1059" s="33" t="s">
        <v>1548</v>
      </c>
      <c r="H1059" s="33" t="n">
        <v>1</v>
      </c>
      <c r="I1059" s="33" t="n">
        <v>1</v>
      </c>
      <c r="J1059" s="33" t="n">
        <v>1</v>
      </c>
      <c r="K1059" s="32" t="n">
        <v>300</v>
      </c>
      <c r="L1059" s="33" t="str">
        <f aca="false">IF($B1059="","",IFERROR(INDEX('Code Mapping'!$D$5:$D$1753,MATCH($B1059,'Code Mapping'!$A$5:$A$1753,0)),"Unmapped"))</f>
        <v>Unmapped</v>
      </c>
      <c r="M1059" s="33" t="str">
        <f aca="false">IF($B1059="","",IFERROR(INDEX('Code Mapping'!$E$5:$E$1753,MATCH($B1059,'Code Mapping'!$A$5:$A$1753,0)),"Unmapped"))</f>
        <v>Unmapped</v>
      </c>
      <c r="N1059" s="33" t="str">
        <f aca="false">IF($F1059="","",$F1059)</f>
        <v>InflataRun 2024</v>
      </c>
    </row>
    <row r="1060" customFormat="false" ht="15" hidden="false" customHeight="false" outlineLevel="0" collapsed="false">
      <c r="A1060" s="33" t="n">
        <v>4822</v>
      </c>
      <c r="B1060" s="33" t="s">
        <v>1712</v>
      </c>
      <c r="C1060" s="33" t="s">
        <v>1545</v>
      </c>
      <c r="D1060" s="33"/>
      <c r="E1060" s="33" t="n">
        <v>74</v>
      </c>
      <c r="F1060" s="33" t="s">
        <v>2159</v>
      </c>
      <c r="G1060" s="33" t="s">
        <v>1548</v>
      </c>
      <c r="H1060" s="33" t="n">
        <v>1</v>
      </c>
      <c r="I1060" s="33" t="n">
        <v>1</v>
      </c>
      <c r="J1060" s="33" t="n">
        <v>1</v>
      </c>
      <c r="K1060" s="32" t="n">
        <v>300</v>
      </c>
      <c r="L1060" s="33" t="str">
        <f aca="false">IF($B1060="","",IFERROR(INDEX('Code Mapping'!$D$5:$D$1753,MATCH($B1060,'Code Mapping'!$A$5:$A$1753,0)),"Unmapped"))</f>
        <v>Unmapped</v>
      </c>
      <c r="M1060" s="33" t="str">
        <f aca="false">IF($B1060="","",IFERROR(INDEX('Code Mapping'!$E$5:$E$1753,MATCH($B1060,'Code Mapping'!$A$5:$A$1753,0)),"Unmapped"))</f>
        <v>Unmapped</v>
      </c>
      <c r="N1060" s="33" t="str">
        <f aca="false">IF($F1060="","",$F1060)</f>
        <v>InflataRun 2024</v>
      </c>
    </row>
    <row r="1061" customFormat="false" ht="15" hidden="false" customHeight="false" outlineLevel="0" collapsed="false">
      <c r="A1061" s="33" t="n">
        <v>4807</v>
      </c>
      <c r="B1061" s="33" t="s">
        <v>1715</v>
      </c>
      <c r="C1061" s="33" t="s">
        <v>1545</v>
      </c>
      <c r="D1061" s="33"/>
      <c r="E1061" s="33" t="n">
        <v>74</v>
      </c>
      <c r="F1061" s="33" t="s">
        <v>2159</v>
      </c>
      <c r="G1061" s="33" t="s">
        <v>1548</v>
      </c>
      <c r="H1061" s="33" t="n">
        <v>1</v>
      </c>
      <c r="I1061" s="33" t="n">
        <v>1</v>
      </c>
      <c r="J1061" s="33" t="n">
        <v>1</v>
      </c>
      <c r="K1061" s="32" t="n">
        <v>300</v>
      </c>
      <c r="L1061" s="33" t="str">
        <f aca="false">IF($B1061="","",IFERROR(INDEX('Code Mapping'!$D$5:$D$1753,MATCH($B1061,'Code Mapping'!$A$5:$A$1753,0)),"Unmapped"))</f>
        <v>Unmapped</v>
      </c>
      <c r="M1061" s="33" t="str">
        <f aca="false">IF($B1061="","",IFERROR(INDEX('Code Mapping'!$E$5:$E$1753,MATCH($B1061,'Code Mapping'!$A$5:$A$1753,0)),"Unmapped"))</f>
        <v>Unmapped</v>
      </c>
      <c r="N1061" s="33" t="str">
        <f aca="false">IF($F1061="","",$F1061)</f>
        <v>InflataRun 2024</v>
      </c>
    </row>
    <row r="1062" customFormat="false" ht="15" hidden="false" customHeight="false" outlineLevel="0" collapsed="false">
      <c r="A1062" s="33" t="n">
        <v>4853</v>
      </c>
      <c r="B1062" s="33" t="s">
        <v>1717</v>
      </c>
      <c r="C1062" s="33" t="s">
        <v>1545</v>
      </c>
      <c r="D1062" s="33"/>
      <c r="E1062" s="33" t="n">
        <v>74</v>
      </c>
      <c r="F1062" s="33" t="s">
        <v>2159</v>
      </c>
      <c r="G1062" s="33" t="s">
        <v>1548</v>
      </c>
      <c r="H1062" s="33" t="n">
        <v>1</v>
      </c>
      <c r="I1062" s="33" t="n">
        <v>1</v>
      </c>
      <c r="J1062" s="33" t="n">
        <v>1</v>
      </c>
      <c r="K1062" s="32" t="n">
        <v>300</v>
      </c>
      <c r="L1062" s="33" t="str">
        <f aca="false">IF($B1062="","",IFERROR(INDEX('Code Mapping'!$D$5:$D$1753,MATCH($B1062,'Code Mapping'!$A$5:$A$1753,0)),"Unmapped"))</f>
        <v>Unmapped</v>
      </c>
      <c r="M1062" s="33" t="str">
        <f aca="false">IF($B1062="","",IFERROR(INDEX('Code Mapping'!$E$5:$E$1753,MATCH($B1062,'Code Mapping'!$A$5:$A$1753,0)),"Unmapped"))</f>
        <v>Unmapped</v>
      </c>
      <c r="N1062" s="33" t="str">
        <f aca="false">IF($F1062="","",$F1062)</f>
        <v>InflataRun 2024</v>
      </c>
    </row>
    <row r="1063" customFormat="false" ht="15" hidden="false" customHeight="false" outlineLevel="0" collapsed="false">
      <c r="A1063" s="33" t="n">
        <v>4924</v>
      </c>
      <c r="B1063" s="33" t="s">
        <v>1719</v>
      </c>
      <c r="C1063" s="33" t="s">
        <v>1545</v>
      </c>
      <c r="D1063" s="33"/>
      <c r="E1063" s="33" t="n">
        <v>74</v>
      </c>
      <c r="F1063" s="33" t="s">
        <v>2159</v>
      </c>
      <c r="G1063" s="33" t="s">
        <v>1548</v>
      </c>
      <c r="H1063" s="33" t="n">
        <v>1</v>
      </c>
      <c r="I1063" s="33" t="n">
        <v>1</v>
      </c>
      <c r="J1063" s="33" t="n">
        <v>1</v>
      </c>
      <c r="K1063" s="32" t="n">
        <v>300</v>
      </c>
      <c r="L1063" s="33" t="str">
        <f aca="false">IF($B1063="","",IFERROR(INDEX('Code Mapping'!$D$5:$D$1753,MATCH($B1063,'Code Mapping'!$A$5:$A$1753,0)),"Unmapped"))</f>
        <v>Unmapped</v>
      </c>
      <c r="M1063" s="33" t="str">
        <f aca="false">IF($B1063="","",IFERROR(INDEX('Code Mapping'!$E$5:$E$1753,MATCH($B1063,'Code Mapping'!$A$5:$A$1753,0)),"Unmapped"))</f>
        <v>Unmapped</v>
      </c>
      <c r="N1063" s="33" t="str">
        <f aca="false">IF($F1063="","",$F1063)</f>
        <v>InflataRun 2024</v>
      </c>
    </row>
    <row r="1064" customFormat="false" ht="15" hidden="false" customHeight="false" outlineLevel="0" collapsed="false">
      <c r="A1064" s="33" t="n">
        <v>3642</v>
      </c>
      <c r="B1064" s="33" t="s">
        <v>1720</v>
      </c>
      <c r="C1064" s="33" t="s">
        <v>1554</v>
      </c>
      <c r="D1064" s="33"/>
      <c r="E1064" s="33" t="n">
        <v>74</v>
      </c>
      <c r="F1064" s="33" t="s">
        <v>2159</v>
      </c>
      <c r="G1064" s="33" t="s">
        <v>1548</v>
      </c>
      <c r="H1064" s="33" t="n">
        <v>1</v>
      </c>
      <c r="I1064" s="33" t="n">
        <v>1</v>
      </c>
      <c r="J1064" s="33" t="n">
        <v>1</v>
      </c>
      <c r="K1064" s="32" t="n">
        <v>75</v>
      </c>
      <c r="L1064" s="33" t="str">
        <f aca="false">IF($B1064="","",IFERROR(INDEX('Code Mapping'!$D$5:$D$1753,MATCH($B1064,'Code Mapping'!$A$5:$A$1753,0)),"Unmapped"))</f>
        <v>Unmapped</v>
      </c>
      <c r="M1064" s="33" t="str">
        <f aca="false">IF($B1064="","",IFERROR(INDEX('Code Mapping'!$E$5:$E$1753,MATCH($B1064,'Code Mapping'!$A$5:$A$1753,0)),"Unmapped"))</f>
        <v>Unmapped</v>
      </c>
      <c r="N1064" s="33" t="str">
        <f aca="false">IF($F1064="","",$F1064)</f>
        <v>InflataRun 2024</v>
      </c>
    </row>
    <row r="1065" customFormat="false" ht="15" hidden="false" customHeight="false" outlineLevel="0" collapsed="false">
      <c r="A1065" s="33" t="n">
        <v>4801</v>
      </c>
      <c r="B1065" s="33" t="s">
        <v>1691</v>
      </c>
      <c r="C1065" s="33" t="s">
        <v>1545</v>
      </c>
      <c r="D1065" s="33"/>
      <c r="E1065" s="33" t="n">
        <v>74</v>
      </c>
      <c r="F1065" s="33" t="s">
        <v>2159</v>
      </c>
      <c r="G1065" s="33" t="s">
        <v>1548</v>
      </c>
      <c r="H1065" s="33" t="n">
        <v>1</v>
      </c>
      <c r="I1065" s="33" t="n">
        <v>1</v>
      </c>
      <c r="J1065" s="33" t="n">
        <v>1</v>
      </c>
      <c r="K1065" s="32" t="n">
        <v>300</v>
      </c>
      <c r="L1065" s="33" t="str">
        <f aca="false">IF($B1065="","",IFERROR(INDEX('Code Mapping'!$D$5:$D$1753,MATCH($B1065,'Code Mapping'!$A$5:$A$1753,0)),"Unmapped"))</f>
        <v>Unmapped</v>
      </c>
      <c r="M1065" s="33" t="str">
        <f aca="false">IF($B1065="","",IFERROR(INDEX('Code Mapping'!$E$5:$E$1753,MATCH($B1065,'Code Mapping'!$A$5:$A$1753,0)),"Unmapped"))</f>
        <v>Unmapped</v>
      </c>
      <c r="N1065" s="33" t="str">
        <f aca="false">IF($F1065="","",$F1065)</f>
        <v>InflataRun 2024</v>
      </c>
    </row>
    <row r="1066" customFormat="false" ht="15" hidden="false" customHeight="false" outlineLevel="0" collapsed="false">
      <c r="A1066" s="33" t="n">
        <v>4943</v>
      </c>
      <c r="B1066" s="33" t="s">
        <v>1689</v>
      </c>
      <c r="C1066" s="33" t="s">
        <v>1545</v>
      </c>
      <c r="D1066" s="33"/>
      <c r="E1066" s="33" t="n">
        <v>74</v>
      </c>
      <c r="F1066" s="33" t="s">
        <v>2159</v>
      </c>
      <c r="G1066" s="33" t="s">
        <v>1548</v>
      </c>
      <c r="H1066" s="33" t="n">
        <v>1</v>
      </c>
      <c r="I1066" s="33" t="n">
        <v>1</v>
      </c>
      <c r="J1066" s="33" t="n">
        <v>1</v>
      </c>
      <c r="K1066" s="32" t="n">
        <v>300</v>
      </c>
      <c r="L1066" s="33" t="str">
        <f aca="false">IF($B1066="","",IFERROR(INDEX('Code Mapping'!$D$5:$D$1753,MATCH($B1066,'Code Mapping'!$A$5:$A$1753,0)),"Unmapped"))</f>
        <v>Unmapped</v>
      </c>
      <c r="M1066" s="33" t="str">
        <f aca="false">IF($B1066="","",IFERROR(INDEX('Code Mapping'!$E$5:$E$1753,MATCH($B1066,'Code Mapping'!$A$5:$A$1753,0)),"Unmapped"))</f>
        <v>Unmapped</v>
      </c>
      <c r="N1066" s="33" t="str">
        <f aca="false">IF($F1066="","",$F1066)</f>
        <v>InflataRun 2024</v>
      </c>
    </row>
    <row r="1067" customFormat="false" ht="15" hidden="false" customHeight="false" outlineLevel="0" collapsed="false">
      <c r="A1067" s="33" t="n">
        <v>4890</v>
      </c>
      <c r="B1067" s="33" t="s">
        <v>1658</v>
      </c>
      <c r="C1067" s="33" t="s">
        <v>1545</v>
      </c>
      <c r="D1067" s="33"/>
      <c r="E1067" s="33" t="n">
        <v>74</v>
      </c>
      <c r="F1067" s="33" t="s">
        <v>2159</v>
      </c>
      <c r="G1067" s="33" t="s">
        <v>1548</v>
      </c>
      <c r="H1067" s="33" t="n">
        <v>1</v>
      </c>
      <c r="I1067" s="33" t="n">
        <v>1</v>
      </c>
      <c r="J1067" s="33" t="n">
        <v>1</v>
      </c>
      <c r="K1067" s="32" t="n">
        <v>300</v>
      </c>
      <c r="L1067" s="33" t="str">
        <f aca="false">IF($B1067="","",IFERROR(INDEX('Code Mapping'!$D$5:$D$1753,MATCH($B1067,'Code Mapping'!$A$5:$A$1753,0)),"Unmapped"))</f>
        <v>Unmapped</v>
      </c>
      <c r="M1067" s="33" t="str">
        <f aca="false">IF($B1067="","",IFERROR(INDEX('Code Mapping'!$E$5:$E$1753,MATCH($B1067,'Code Mapping'!$A$5:$A$1753,0)),"Unmapped"))</f>
        <v>Unmapped</v>
      </c>
      <c r="N1067" s="33" t="str">
        <f aca="false">IF($F1067="","",$F1067)</f>
        <v>InflataRun 2024</v>
      </c>
    </row>
    <row r="1068" customFormat="false" ht="15" hidden="false" customHeight="false" outlineLevel="0" collapsed="false">
      <c r="A1068" s="33" t="n">
        <v>4949</v>
      </c>
      <c r="B1068" s="33" t="s">
        <v>1672</v>
      </c>
      <c r="C1068" s="33" t="s">
        <v>1545</v>
      </c>
      <c r="D1068" s="33"/>
      <c r="E1068" s="33" t="n">
        <v>74</v>
      </c>
      <c r="F1068" s="33" t="s">
        <v>2159</v>
      </c>
      <c r="G1068" s="33" t="s">
        <v>1548</v>
      </c>
      <c r="H1068" s="33" t="n">
        <v>1</v>
      </c>
      <c r="I1068" s="33" t="n">
        <v>1</v>
      </c>
      <c r="J1068" s="33" t="n">
        <v>1</v>
      </c>
      <c r="K1068" s="32" t="n">
        <v>300</v>
      </c>
      <c r="L1068" s="33" t="str">
        <f aca="false">IF($B1068="","",IFERROR(INDEX('Code Mapping'!$D$5:$D$1753,MATCH($B1068,'Code Mapping'!$A$5:$A$1753,0)),"Unmapped"))</f>
        <v>Unmapped</v>
      </c>
      <c r="M1068" s="33" t="str">
        <f aca="false">IF($B1068="","",IFERROR(INDEX('Code Mapping'!$E$5:$E$1753,MATCH($B1068,'Code Mapping'!$A$5:$A$1753,0)),"Unmapped"))</f>
        <v>Unmapped</v>
      </c>
      <c r="N1068" s="33" t="str">
        <f aca="false">IF($F1068="","",$F1068)</f>
        <v>InflataRun 2024</v>
      </c>
    </row>
    <row r="1069" customFormat="false" ht="15" hidden="false" customHeight="false" outlineLevel="0" collapsed="false">
      <c r="A1069" s="33" t="n">
        <v>5049</v>
      </c>
      <c r="B1069" s="33" t="s">
        <v>1660</v>
      </c>
      <c r="C1069" s="33" t="s">
        <v>1545</v>
      </c>
      <c r="D1069" s="33"/>
      <c r="E1069" s="33" t="n">
        <v>74</v>
      </c>
      <c r="F1069" s="33" t="s">
        <v>2159</v>
      </c>
      <c r="G1069" s="33" t="s">
        <v>1548</v>
      </c>
      <c r="H1069" s="33" t="n">
        <v>1</v>
      </c>
      <c r="I1069" s="33" t="n">
        <v>1</v>
      </c>
      <c r="J1069" s="33" t="n">
        <v>1</v>
      </c>
      <c r="K1069" s="32" t="n">
        <v>300</v>
      </c>
      <c r="L1069" s="33" t="str">
        <f aca="false">IF($B1069="","",IFERROR(INDEX('Code Mapping'!$D$5:$D$1753,MATCH($B1069,'Code Mapping'!$A$5:$A$1753,0)),"Unmapped"))</f>
        <v>Unmapped</v>
      </c>
      <c r="M1069" s="33" t="str">
        <f aca="false">IF($B1069="","",IFERROR(INDEX('Code Mapping'!$E$5:$E$1753,MATCH($B1069,'Code Mapping'!$A$5:$A$1753,0)),"Unmapped"))</f>
        <v>Unmapped</v>
      </c>
      <c r="N1069" s="33" t="str">
        <f aca="false">IF($F1069="","",$F1069)</f>
        <v>InflataRun 2024</v>
      </c>
    </row>
    <row r="1070" customFormat="false" ht="15" hidden="false" customHeight="false" outlineLevel="0" collapsed="false">
      <c r="A1070" s="33" t="n">
        <v>4999</v>
      </c>
      <c r="B1070" s="33" t="s">
        <v>1661</v>
      </c>
      <c r="C1070" s="33" t="s">
        <v>1545</v>
      </c>
      <c r="D1070" s="33"/>
      <c r="E1070" s="33" t="n">
        <v>74</v>
      </c>
      <c r="F1070" s="33" t="s">
        <v>2159</v>
      </c>
      <c r="G1070" s="33" t="s">
        <v>1548</v>
      </c>
      <c r="H1070" s="33" t="n">
        <v>1</v>
      </c>
      <c r="I1070" s="33" t="n">
        <v>1</v>
      </c>
      <c r="J1070" s="33" t="n">
        <v>1</v>
      </c>
      <c r="K1070" s="32" t="n">
        <v>300</v>
      </c>
      <c r="L1070" s="33" t="str">
        <f aca="false">IF($B1070="","",IFERROR(INDEX('Code Mapping'!$D$5:$D$1753,MATCH($B1070,'Code Mapping'!$A$5:$A$1753,0)),"Unmapped"))</f>
        <v>Unmapped</v>
      </c>
      <c r="M1070" s="33" t="str">
        <f aca="false">IF($B1070="","",IFERROR(INDEX('Code Mapping'!$E$5:$E$1753,MATCH($B1070,'Code Mapping'!$A$5:$A$1753,0)),"Unmapped"))</f>
        <v>Unmapped</v>
      </c>
      <c r="N1070" s="33" t="str">
        <f aca="false">IF($F1070="","",$F1070)</f>
        <v>InflataRun 2024</v>
      </c>
    </row>
    <row r="1071" customFormat="false" ht="15" hidden="false" customHeight="false" outlineLevel="0" collapsed="false">
      <c r="A1071" s="33" t="n">
        <v>4877</v>
      </c>
      <c r="B1071" s="33" t="s">
        <v>1662</v>
      </c>
      <c r="C1071" s="33" t="s">
        <v>1545</v>
      </c>
      <c r="D1071" s="33"/>
      <c r="E1071" s="33" t="n">
        <v>74</v>
      </c>
      <c r="F1071" s="33" t="s">
        <v>2159</v>
      </c>
      <c r="G1071" s="33" t="s">
        <v>1548</v>
      </c>
      <c r="H1071" s="33" t="n">
        <v>1</v>
      </c>
      <c r="I1071" s="33" t="n">
        <v>1</v>
      </c>
      <c r="J1071" s="33" t="n">
        <v>1</v>
      </c>
      <c r="K1071" s="32" t="n">
        <v>300</v>
      </c>
      <c r="L1071" s="33" t="str">
        <f aca="false">IF($B1071="","",IFERROR(INDEX('Code Mapping'!$D$5:$D$1753,MATCH($B1071,'Code Mapping'!$A$5:$A$1753,0)),"Unmapped"))</f>
        <v>Unmapped</v>
      </c>
      <c r="M1071" s="33" t="str">
        <f aca="false">IF($B1071="","",IFERROR(INDEX('Code Mapping'!$E$5:$E$1753,MATCH($B1071,'Code Mapping'!$A$5:$A$1753,0)),"Unmapped"))</f>
        <v>Unmapped</v>
      </c>
      <c r="N1071" s="33" t="str">
        <f aca="false">IF($F1071="","",$F1071)</f>
        <v>InflataRun 2024</v>
      </c>
    </row>
    <row r="1072" customFormat="false" ht="15" hidden="false" customHeight="false" outlineLevel="0" collapsed="false">
      <c r="A1072" s="33" t="n">
        <v>4809</v>
      </c>
      <c r="B1072" s="33" t="s">
        <v>1663</v>
      </c>
      <c r="C1072" s="33" t="s">
        <v>1545</v>
      </c>
      <c r="D1072" s="33"/>
      <c r="E1072" s="33" t="n">
        <v>74</v>
      </c>
      <c r="F1072" s="33" t="s">
        <v>2159</v>
      </c>
      <c r="G1072" s="33" t="s">
        <v>1548</v>
      </c>
      <c r="H1072" s="33" t="n">
        <v>1</v>
      </c>
      <c r="I1072" s="33" t="n">
        <v>1</v>
      </c>
      <c r="J1072" s="33" t="n">
        <v>1</v>
      </c>
      <c r="K1072" s="32" t="n">
        <v>300</v>
      </c>
      <c r="L1072" s="33" t="str">
        <f aca="false">IF($B1072="","",IFERROR(INDEX('Code Mapping'!$D$5:$D$1753,MATCH($B1072,'Code Mapping'!$A$5:$A$1753,0)),"Unmapped"))</f>
        <v>Unmapped</v>
      </c>
      <c r="M1072" s="33" t="str">
        <f aca="false">IF($B1072="","",IFERROR(INDEX('Code Mapping'!$E$5:$E$1753,MATCH($B1072,'Code Mapping'!$A$5:$A$1753,0)),"Unmapped"))</f>
        <v>Unmapped</v>
      </c>
      <c r="N1072" s="33" t="str">
        <f aca="false">IF($F1072="","",$F1072)</f>
        <v>InflataRun 2024</v>
      </c>
    </row>
    <row r="1073" customFormat="false" ht="15" hidden="false" customHeight="false" outlineLevel="0" collapsed="false">
      <c r="A1073" s="33" t="n">
        <v>4932</v>
      </c>
      <c r="B1073" s="33" t="s">
        <v>1665</v>
      </c>
      <c r="C1073" s="33" t="s">
        <v>1545</v>
      </c>
      <c r="D1073" s="33"/>
      <c r="E1073" s="33" t="n">
        <v>74</v>
      </c>
      <c r="F1073" s="33" t="s">
        <v>2159</v>
      </c>
      <c r="G1073" s="33" t="s">
        <v>1548</v>
      </c>
      <c r="H1073" s="33" t="n">
        <v>1</v>
      </c>
      <c r="I1073" s="33" t="n">
        <v>1</v>
      </c>
      <c r="J1073" s="33" t="n">
        <v>1</v>
      </c>
      <c r="K1073" s="32" t="n">
        <v>300</v>
      </c>
      <c r="L1073" s="33" t="str">
        <f aca="false">IF($B1073="","",IFERROR(INDEX('Code Mapping'!$D$5:$D$1753,MATCH($B1073,'Code Mapping'!$A$5:$A$1753,0)),"Unmapped"))</f>
        <v>Unmapped</v>
      </c>
      <c r="M1073" s="33" t="str">
        <f aca="false">IF($B1073="","",IFERROR(INDEX('Code Mapping'!$E$5:$E$1753,MATCH($B1073,'Code Mapping'!$A$5:$A$1753,0)),"Unmapped"))</f>
        <v>Unmapped</v>
      </c>
      <c r="N1073" s="33" t="str">
        <f aca="false">IF($F1073="","",$F1073)</f>
        <v>InflataRun 2024</v>
      </c>
    </row>
    <row r="1074" customFormat="false" ht="15" hidden="false" customHeight="false" outlineLevel="0" collapsed="false">
      <c r="A1074" s="33" t="n">
        <v>3623</v>
      </c>
      <c r="B1074" s="33" t="s">
        <v>1667</v>
      </c>
      <c r="C1074" s="33" t="s">
        <v>1554</v>
      </c>
      <c r="D1074" s="33"/>
      <c r="E1074" s="33" t="n">
        <v>74</v>
      </c>
      <c r="F1074" s="33" t="s">
        <v>2159</v>
      </c>
      <c r="G1074" s="33" t="s">
        <v>1548</v>
      </c>
      <c r="H1074" s="33" t="n">
        <v>1</v>
      </c>
      <c r="I1074" s="33" t="n">
        <v>1</v>
      </c>
      <c r="J1074" s="33" t="n">
        <v>1</v>
      </c>
      <c r="K1074" s="32" t="n">
        <v>75</v>
      </c>
      <c r="L1074" s="33" t="str">
        <f aca="false">IF($B1074="","",IFERROR(INDEX('Code Mapping'!$D$5:$D$1753,MATCH($B1074,'Code Mapping'!$A$5:$A$1753,0)),"Unmapped"))</f>
        <v>Unmapped</v>
      </c>
      <c r="M1074" s="33" t="str">
        <f aca="false">IF($B1074="","",IFERROR(INDEX('Code Mapping'!$E$5:$E$1753,MATCH($B1074,'Code Mapping'!$A$5:$A$1753,0)),"Unmapped"))</f>
        <v>Unmapped</v>
      </c>
      <c r="N1074" s="33" t="str">
        <f aca="false">IF($F1074="","",$F1074)</f>
        <v>InflataRun 2024</v>
      </c>
    </row>
    <row r="1075" customFormat="false" ht="15" hidden="false" customHeight="false" outlineLevel="0" collapsed="false">
      <c r="A1075" s="33" t="n">
        <v>4880</v>
      </c>
      <c r="B1075" s="33" t="s">
        <v>1670</v>
      </c>
      <c r="C1075" s="33" t="s">
        <v>1545</v>
      </c>
      <c r="D1075" s="33"/>
      <c r="E1075" s="33" t="n">
        <v>74</v>
      </c>
      <c r="F1075" s="33" t="s">
        <v>2159</v>
      </c>
      <c r="G1075" s="33" t="s">
        <v>1548</v>
      </c>
      <c r="H1075" s="33" t="n">
        <v>1</v>
      </c>
      <c r="I1075" s="33" t="n">
        <v>1</v>
      </c>
      <c r="J1075" s="33" t="n">
        <v>1</v>
      </c>
      <c r="K1075" s="32" t="n">
        <v>300</v>
      </c>
      <c r="L1075" s="33" t="str">
        <f aca="false">IF($B1075="","",IFERROR(INDEX('Code Mapping'!$D$5:$D$1753,MATCH($B1075,'Code Mapping'!$A$5:$A$1753,0)),"Unmapped"))</f>
        <v>Unmapped</v>
      </c>
      <c r="M1075" s="33" t="str">
        <f aca="false">IF($B1075="","",IFERROR(INDEX('Code Mapping'!$E$5:$E$1753,MATCH($B1075,'Code Mapping'!$A$5:$A$1753,0)),"Unmapped"))</f>
        <v>Unmapped</v>
      </c>
      <c r="N1075" s="33" t="str">
        <f aca="false">IF($F1075="","",$F1075)</f>
        <v>InflataRun 2024</v>
      </c>
    </row>
    <row r="1076" customFormat="false" ht="15" hidden="false" customHeight="false" outlineLevel="0" collapsed="false">
      <c r="A1076" s="33" t="n">
        <v>4786</v>
      </c>
      <c r="B1076" s="33" t="s">
        <v>1673</v>
      </c>
      <c r="C1076" s="33" t="s">
        <v>1545</v>
      </c>
      <c r="D1076" s="33"/>
      <c r="E1076" s="33" t="n">
        <v>74</v>
      </c>
      <c r="F1076" s="33" t="s">
        <v>2159</v>
      </c>
      <c r="G1076" s="33" t="s">
        <v>1548</v>
      </c>
      <c r="H1076" s="33" t="n">
        <v>1</v>
      </c>
      <c r="I1076" s="33" t="n">
        <v>1</v>
      </c>
      <c r="J1076" s="33" t="n">
        <v>1</v>
      </c>
      <c r="K1076" s="32" t="n">
        <v>300</v>
      </c>
      <c r="L1076" s="33" t="str">
        <f aca="false">IF($B1076="","",IFERROR(INDEX('Code Mapping'!$D$5:$D$1753,MATCH($B1076,'Code Mapping'!$A$5:$A$1753,0)),"Unmapped"))</f>
        <v>Unmapped</v>
      </c>
      <c r="M1076" s="33" t="str">
        <f aca="false">IF($B1076="","",IFERROR(INDEX('Code Mapping'!$E$5:$E$1753,MATCH($B1076,'Code Mapping'!$A$5:$A$1753,0)),"Unmapped"))</f>
        <v>Unmapped</v>
      </c>
      <c r="N1076" s="33" t="str">
        <f aca="false">IF($F1076="","",$F1076)</f>
        <v>InflataRun 2024</v>
      </c>
    </row>
    <row r="1077" customFormat="false" ht="15" hidden="false" customHeight="false" outlineLevel="0" collapsed="false">
      <c r="A1077" s="33" t="n">
        <v>5053</v>
      </c>
      <c r="B1077" s="33" t="s">
        <v>1688</v>
      </c>
      <c r="C1077" s="33" t="s">
        <v>1545</v>
      </c>
      <c r="D1077" s="33"/>
      <c r="E1077" s="33" t="n">
        <v>74</v>
      </c>
      <c r="F1077" s="33" t="s">
        <v>2159</v>
      </c>
      <c r="G1077" s="33" t="s">
        <v>1548</v>
      </c>
      <c r="H1077" s="33" t="n">
        <v>1</v>
      </c>
      <c r="I1077" s="33" t="n">
        <v>1</v>
      </c>
      <c r="J1077" s="33" t="n">
        <v>1</v>
      </c>
      <c r="K1077" s="32" t="n">
        <v>300</v>
      </c>
      <c r="L1077" s="33" t="str">
        <f aca="false">IF($B1077="","",IFERROR(INDEX('Code Mapping'!$D$5:$D$1753,MATCH($B1077,'Code Mapping'!$A$5:$A$1753,0)),"Unmapped"))</f>
        <v>Unmapped</v>
      </c>
      <c r="M1077" s="33" t="str">
        <f aca="false">IF($B1077="","",IFERROR(INDEX('Code Mapping'!$E$5:$E$1753,MATCH($B1077,'Code Mapping'!$A$5:$A$1753,0)),"Unmapped"))</f>
        <v>Unmapped</v>
      </c>
      <c r="N1077" s="33" t="str">
        <f aca="false">IF($F1077="","",$F1077)</f>
        <v>InflataRun 2024</v>
      </c>
    </row>
    <row r="1078" customFormat="false" ht="15" hidden="false" customHeight="false" outlineLevel="0" collapsed="false">
      <c r="A1078" s="33" t="n">
        <v>4960</v>
      </c>
      <c r="B1078" s="33" t="s">
        <v>1674</v>
      </c>
      <c r="C1078" s="33" t="s">
        <v>1545</v>
      </c>
      <c r="D1078" s="33"/>
      <c r="E1078" s="33" t="n">
        <v>74</v>
      </c>
      <c r="F1078" s="33" t="s">
        <v>2159</v>
      </c>
      <c r="G1078" s="33" t="s">
        <v>1548</v>
      </c>
      <c r="H1078" s="33" t="n">
        <v>1</v>
      </c>
      <c r="I1078" s="33" t="n">
        <v>1</v>
      </c>
      <c r="J1078" s="33" t="n">
        <v>1</v>
      </c>
      <c r="K1078" s="32" t="n">
        <v>300</v>
      </c>
      <c r="L1078" s="33" t="str">
        <f aca="false">IF($B1078="","",IFERROR(INDEX('Code Mapping'!$D$5:$D$1753,MATCH($B1078,'Code Mapping'!$A$5:$A$1753,0)),"Unmapped"))</f>
        <v>Unmapped</v>
      </c>
      <c r="M1078" s="33" t="str">
        <f aca="false">IF($B1078="","",IFERROR(INDEX('Code Mapping'!$E$5:$E$1753,MATCH($B1078,'Code Mapping'!$A$5:$A$1753,0)),"Unmapped"))</f>
        <v>Unmapped</v>
      </c>
      <c r="N1078" s="33" t="str">
        <f aca="false">IF($F1078="","",$F1078)</f>
        <v>InflataRun 2024</v>
      </c>
    </row>
    <row r="1079" customFormat="false" ht="15" hidden="false" customHeight="false" outlineLevel="0" collapsed="false">
      <c r="A1079" s="33" t="n">
        <v>4882</v>
      </c>
      <c r="B1079" s="33" t="s">
        <v>1677</v>
      </c>
      <c r="C1079" s="33" t="s">
        <v>1545</v>
      </c>
      <c r="D1079" s="33"/>
      <c r="E1079" s="33" t="n">
        <v>74</v>
      </c>
      <c r="F1079" s="33" t="s">
        <v>2159</v>
      </c>
      <c r="G1079" s="33" t="s">
        <v>1548</v>
      </c>
      <c r="H1079" s="33" t="n">
        <v>1</v>
      </c>
      <c r="I1079" s="33" t="n">
        <v>1</v>
      </c>
      <c r="J1079" s="33" t="n">
        <v>1</v>
      </c>
      <c r="K1079" s="32" t="n">
        <v>300</v>
      </c>
      <c r="L1079" s="33" t="str">
        <f aca="false">IF($B1079="","",IFERROR(INDEX('Code Mapping'!$D$5:$D$1753,MATCH($B1079,'Code Mapping'!$A$5:$A$1753,0)),"Unmapped"))</f>
        <v>Unmapped</v>
      </c>
      <c r="M1079" s="33" t="str">
        <f aca="false">IF($B1079="","",IFERROR(INDEX('Code Mapping'!$E$5:$E$1753,MATCH($B1079,'Code Mapping'!$A$5:$A$1753,0)),"Unmapped"))</f>
        <v>Unmapped</v>
      </c>
      <c r="N1079" s="33" t="str">
        <f aca="false">IF($F1079="","",$F1079)</f>
        <v>InflataRun 2024</v>
      </c>
    </row>
    <row r="1080" customFormat="false" ht="15" hidden="false" customHeight="false" outlineLevel="0" collapsed="false">
      <c r="A1080" s="33" t="n">
        <v>4914</v>
      </c>
      <c r="B1080" s="33" t="s">
        <v>1681</v>
      </c>
      <c r="C1080" s="33" t="s">
        <v>1545</v>
      </c>
      <c r="D1080" s="33"/>
      <c r="E1080" s="33" t="n">
        <v>74</v>
      </c>
      <c r="F1080" s="33" t="s">
        <v>2159</v>
      </c>
      <c r="G1080" s="33" t="s">
        <v>1548</v>
      </c>
      <c r="H1080" s="33" t="n">
        <v>1</v>
      </c>
      <c r="I1080" s="33" t="n">
        <v>1</v>
      </c>
      <c r="J1080" s="33" t="n">
        <v>1</v>
      </c>
      <c r="K1080" s="32" t="n">
        <v>300</v>
      </c>
      <c r="L1080" s="33" t="str">
        <f aca="false">IF($B1080="","",IFERROR(INDEX('Code Mapping'!$D$5:$D$1753,MATCH($B1080,'Code Mapping'!$A$5:$A$1753,0)),"Unmapped"))</f>
        <v>Unmapped</v>
      </c>
      <c r="M1080" s="33" t="str">
        <f aca="false">IF($B1080="","",IFERROR(INDEX('Code Mapping'!$E$5:$E$1753,MATCH($B1080,'Code Mapping'!$A$5:$A$1753,0)),"Unmapped"))</f>
        <v>Unmapped</v>
      </c>
      <c r="N1080" s="33" t="str">
        <f aca="false">IF($F1080="","",$F1080)</f>
        <v>InflataRun 2024</v>
      </c>
    </row>
    <row r="1081" customFormat="false" ht="15" hidden="false" customHeight="false" outlineLevel="0" collapsed="false">
      <c r="A1081" s="33" t="n">
        <v>4897</v>
      </c>
      <c r="B1081" s="33" t="s">
        <v>1682</v>
      </c>
      <c r="C1081" s="33" t="s">
        <v>1545</v>
      </c>
      <c r="D1081" s="33"/>
      <c r="E1081" s="33" t="n">
        <v>74</v>
      </c>
      <c r="F1081" s="33" t="s">
        <v>2159</v>
      </c>
      <c r="G1081" s="33" t="s">
        <v>1548</v>
      </c>
      <c r="H1081" s="33" t="n">
        <v>1</v>
      </c>
      <c r="I1081" s="33" t="n">
        <v>1</v>
      </c>
      <c r="J1081" s="33" t="n">
        <v>1</v>
      </c>
      <c r="K1081" s="32" t="n">
        <v>300</v>
      </c>
      <c r="L1081" s="33" t="str">
        <f aca="false">IF($B1081="","",IFERROR(INDEX('Code Mapping'!$D$5:$D$1753,MATCH($B1081,'Code Mapping'!$A$5:$A$1753,0)),"Unmapped"))</f>
        <v>Unmapped</v>
      </c>
      <c r="M1081" s="33" t="str">
        <f aca="false">IF($B1081="","",IFERROR(INDEX('Code Mapping'!$E$5:$E$1753,MATCH($B1081,'Code Mapping'!$A$5:$A$1753,0)),"Unmapped"))</f>
        <v>Unmapped</v>
      </c>
      <c r="N1081" s="33" t="str">
        <f aca="false">IF($F1081="","",$F1081)</f>
        <v>InflataRun 2024</v>
      </c>
    </row>
    <row r="1082" customFormat="false" ht="15" hidden="false" customHeight="false" outlineLevel="0" collapsed="false">
      <c r="A1082" s="33" t="n">
        <v>4936</v>
      </c>
      <c r="B1082" s="33" t="s">
        <v>1683</v>
      </c>
      <c r="C1082" s="33" t="s">
        <v>1545</v>
      </c>
      <c r="D1082" s="33"/>
      <c r="E1082" s="33" t="n">
        <v>74</v>
      </c>
      <c r="F1082" s="33" t="s">
        <v>2159</v>
      </c>
      <c r="G1082" s="33" t="s">
        <v>1548</v>
      </c>
      <c r="H1082" s="33" t="n">
        <v>1</v>
      </c>
      <c r="I1082" s="33" t="n">
        <v>1</v>
      </c>
      <c r="J1082" s="33" t="n">
        <v>1</v>
      </c>
      <c r="K1082" s="32" t="n">
        <v>300</v>
      </c>
      <c r="L1082" s="33" t="str">
        <f aca="false">IF($B1082="","",IFERROR(INDEX('Code Mapping'!$D$5:$D$1753,MATCH($B1082,'Code Mapping'!$A$5:$A$1753,0)),"Unmapped"))</f>
        <v>Unmapped</v>
      </c>
      <c r="M1082" s="33" t="str">
        <f aca="false">IF($B1082="","",IFERROR(INDEX('Code Mapping'!$E$5:$E$1753,MATCH($B1082,'Code Mapping'!$A$5:$A$1753,0)),"Unmapped"))</f>
        <v>Unmapped</v>
      </c>
      <c r="N1082" s="33" t="str">
        <f aca="false">IF($F1082="","",$F1082)</f>
        <v>InflataRun 2024</v>
      </c>
    </row>
    <row r="1083" customFormat="false" ht="15" hidden="false" customHeight="false" outlineLevel="0" collapsed="false">
      <c r="A1083" s="33" t="n">
        <v>4988</v>
      </c>
      <c r="B1083" s="33" t="s">
        <v>1684</v>
      </c>
      <c r="C1083" s="33" t="s">
        <v>1545</v>
      </c>
      <c r="D1083" s="33"/>
      <c r="E1083" s="33" t="n">
        <v>74</v>
      </c>
      <c r="F1083" s="33" t="s">
        <v>2159</v>
      </c>
      <c r="G1083" s="33" t="s">
        <v>1548</v>
      </c>
      <c r="H1083" s="33" t="n">
        <v>1</v>
      </c>
      <c r="I1083" s="33" t="n">
        <v>1</v>
      </c>
      <c r="J1083" s="33" t="n">
        <v>1</v>
      </c>
      <c r="K1083" s="32" t="n">
        <v>300</v>
      </c>
      <c r="L1083" s="33" t="str">
        <f aca="false">IF($B1083="","",IFERROR(INDEX('Code Mapping'!$D$5:$D$1753,MATCH($B1083,'Code Mapping'!$A$5:$A$1753,0)),"Unmapped"))</f>
        <v>Unmapped</v>
      </c>
      <c r="M1083" s="33" t="str">
        <f aca="false">IF($B1083="","",IFERROR(INDEX('Code Mapping'!$E$5:$E$1753,MATCH($B1083,'Code Mapping'!$A$5:$A$1753,0)),"Unmapped"))</f>
        <v>Unmapped</v>
      </c>
      <c r="N1083" s="33" t="str">
        <f aca="false">IF($F1083="","",$F1083)</f>
        <v>InflataRun 2024</v>
      </c>
    </row>
    <row r="1084" customFormat="false" ht="15" hidden="false" customHeight="false" outlineLevel="0" collapsed="false">
      <c r="A1084" s="33" t="n">
        <v>4811</v>
      </c>
      <c r="B1084" s="33" t="s">
        <v>1686</v>
      </c>
      <c r="C1084" s="33" t="s">
        <v>1545</v>
      </c>
      <c r="D1084" s="33"/>
      <c r="E1084" s="33" t="n">
        <v>74</v>
      </c>
      <c r="F1084" s="33" t="s">
        <v>2159</v>
      </c>
      <c r="G1084" s="33" t="s">
        <v>1548</v>
      </c>
      <c r="H1084" s="33" t="n">
        <v>1</v>
      </c>
      <c r="I1084" s="33" t="n">
        <v>1</v>
      </c>
      <c r="J1084" s="33" t="n">
        <v>1</v>
      </c>
      <c r="K1084" s="32" t="n">
        <v>300</v>
      </c>
      <c r="L1084" s="33" t="str">
        <f aca="false">IF($B1084="","",IFERROR(INDEX('Code Mapping'!$D$5:$D$1753,MATCH($B1084,'Code Mapping'!$A$5:$A$1753,0)),"Unmapped"))</f>
        <v>Unmapped</v>
      </c>
      <c r="M1084" s="33" t="str">
        <f aca="false">IF($B1084="","",IFERROR(INDEX('Code Mapping'!$E$5:$E$1753,MATCH($B1084,'Code Mapping'!$A$5:$A$1753,0)),"Unmapped"))</f>
        <v>Unmapped</v>
      </c>
      <c r="N1084" s="33" t="str">
        <f aca="false">IF($F1084="","",$F1084)</f>
        <v>InflataRun 2024</v>
      </c>
    </row>
    <row r="1085" customFormat="false" ht="15" hidden="false" customHeight="false" outlineLevel="0" collapsed="false">
      <c r="A1085" s="33" t="n">
        <v>4884</v>
      </c>
      <c r="B1085" s="33" t="s">
        <v>1721</v>
      </c>
      <c r="C1085" s="33" t="s">
        <v>1545</v>
      </c>
      <c r="D1085" s="33"/>
      <c r="E1085" s="33" t="n">
        <v>74</v>
      </c>
      <c r="F1085" s="33" t="s">
        <v>2159</v>
      </c>
      <c r="G1085" s="33" t="s">
        <v>1548</v>
      </c>
      <c r="H1085" s="33" t="n">
        <v>1</v>
      </c>
      <c r="I1085" s="33" t="n">
        <v>1</v>
      </c>
      <c r="J1085" s="33" t="n">
        <v>1</v>
      </c>
      <c r="K1085" s="32" t="n">
        <v>300</v>
      </c>
      <c r="L1085" s="33" t="str">
        <f aca="false">IF($B1085="","",IFERROR(INDEX('Code Mapping'!$D$5:$D$1753,MATCH($B1085,'Code Mapping'!$A$5:$A$1753,0)),"Unmapped"))</f>
        <v>Unmapped</v>
      </c>
      <c r="M1085" s="33" t="str">
        <f aca="false">IF($B1085="","",IFERROR(INDEX('Code Mapping'!$E$5:$E$1753,MATCH($B1085,'Code Mapping'!$A$5:$A$1753,0)),"Unmapped"))</f>
        <v>Unmapped</v>
      </c>
      <c r="N1085" s="33" t="str">
        <f aca="false">IF($F1085="","",$F1085)</f>
        <v>InflataRun 2024</v>
      </c>
    </row>
    <row r="1086" customFormat="false" ht="15" hidden="false" customHeight="false" outlineLevel="0" collapsed="false">
      <c r="A1086" s="33" t="n">
        <v>4953</v>
      </c>
      <c r="B1086" s="33" t="s">
        <v>1722</v>
      </c>
      <c r="C1086" s="33" t="s">
        <v>1545</v>
      </c>
      <c r="D1086" s="33"/>
      <c r="E1086" s="33" t="n">
        <v>74</v>
      </c>
      <c r="F1086" s="33" t="s">
        <v>2159</v>
      </c>
      <c r="G1086" s="33" t="s">
        <v>1548</v>
      </c>
      <c r="H1086" s="33" t="n">
        <v>1</v>
      </c>
      <c r="I1086" s="33" t="n">
        <v>1</v>
      </c>
      <c r="J1086" s="33" t="n">
        <v>1</v>
      </c>
      <c r="K1086" s="32" t="n">
        <v>300</v>
      </c>
      <c r="L1086" s="33" t="str">
        <f aca="false">IF($B1086="","",IFERROR(INDEX('Code Mapping'!$D$5:$D$1753,MATCH($B1086,'Code Mapping'!$A$5:$A$1753,0)),"Unmapped"))</f>
        <v>Unmapped</v>
      </c>
      <c r="M1086" s="33" t="str">
        <f aca="false">IF($B1086="","",IFERROR(INDEX('Code Mapping'!$E$5:$E$1753,MATCH($B1086,'Code Mapping'!$A$5:$A$1753,0)),"Unmapped"))</f>
        <v>Unmapped</v>
      </c>
      <c r="N1086" s="33" t="str">
        <f aca="false">IF($F1086="","",$F1086)</f>
        <v>InflataRun 2024</v>
      </c>
    </row>
    <row r="1087" customFormat="false" ht="15" hidden="false" customHeight="false" outlineLevel="0" collapsed="false">
      <c r="A1087" s="33" t="n">
        <v>3592</v>
      </c>
      <c r="B1087" s="33" t="s">
        <v>1723</v>
      </c>
      <c r="C1087" s="33" t="s">
        <v>1554</v>
      </c>
      <c r="D1087" s="33"/>
      <c r="E1087" s="33" t="n">
        <v>74</v>
      </c>
      <c r="F1087" s="33" t="s">
        <v>2159</v>
      </c>
      <c r="G1087" s="33" t="s">
        <v>1548</v>
      </c>
      <c r="H1087" s="33" t="n">
        <v>1</v>
      </c>
      <c r="I1087" s="33" t="n">
        <v>1</v>
      </c>
      <c r="J1087" s="33" t="n">
        <v>1</v>
      </c>
      <c r="K1087" s="32" t="n">
        <v>75</v>
      </c>
      <c r="L1087" s="33" t="str">
        <f aca="false">IF($B1087="","",IFERROR(INDEX('Code Mapping'!$D$5:$D$1753,MATCH($B1087,'Code Mapping'!$A$5:$A$1753,0)),"Unmapped"))</f>
        <v>Unmapped</v>
      </c>
      <c r="M1087" s="33" t="str">
        <f aca="false">IF($B1087="","",IFERROR(INDEX('Code Mapping'!$E$5:$E$1753,MATCH($B1087,'Code Mapping'!$A$5:$A$1753,0)),"Unmapped"))</f>
        <v>Unmapped</v>
      </c>
      <c r="N1087" s="33" t="str">
        <f aca="false">IF($F1087="","",$F1087)</f>
        <v>InflataRun 2024</v>
      </c>
    </row>
    <row r="1088" customFormat="false" ht="15" hidden="false" customHeight="false" outlineLevel="0" collapsed="false">
      <c r="A1088" s="33" t="n">
        <v>5039</v>
      </c>
      <c r="B1088" s="33" t="s">
        <v>1767</v>
      </c>
      <c r="C1088" s="33" t="s">
        <v>1545</v>
      </c>
      <c r="D1088" s="33"/>
      <c r="E1088" s="33" t="n">
        <v>74</v>
      </c>
      <c r="F1088" s="33" t="s">
        <v>2159</v>
      </c>
      <c r="G1088" s="33" t="s">
        <v>1548</v>
      </c>
      <c r="H1088" s="33" t="n">
        <v>1</v>
      </c>
      <c r="I1088" s="33" t="n">
        <v>1</v>
      </c>
      <c r="J1088" s="33" t="n">
        <v>1</v>
      </c>
      <c r="K1088" s="32" t="n">
        <v>300</v>
      </c>
      <c r="L1088" s="33" t="str">
        <f aca="false">IF($B1088="","",IFERROR(INDEX('Code Mapping'!$D$5:$D$1753,MATCH($B1088,'Code Mapping'!$A$5:$A$1753,0)),"Unmapped"))</f>
        <v>Unmapped</v>
      </c>
      <c r="M1088" s="33" t="str">
        <f aca="false">IF($B1088="","",IFERROR(INDEX('Code Mapping'!$E$5:$E$1753,MATCH($B1088,'Code Mapping'!$A$5:$A$1753,0)),"Unmapped"))</f>
        <v>Unmapped</v>
      </c>
      <c r="N1088" s="33" t="str">
        <f aca="false">IF($F1088="","",$F1088)</f>
        <v>InflataRun 2024</v>
      </c>
    </row>
    <row r="1089" customFormat="false" ht="15" hidden="false" customHeight="false" outlineLevel="0" collapsed="false">
      <c r="A1089" s="33" t="n">
        <v>4944</v>
      </c>
      <c r="B1089" s="33" t="s">
        <v>1754</v>
      </c>
      <c r="C1089" s="33" t="s">
        <v>1545</v>
      </c>
      <c r="D1089" s="33"/>
      <c r="E1089" s="33" t="n">
        <v>74</v>
      </c>
      <c r="F1089" s="33" t="s">
        <v>2159</v>
      </c>
      <c r="G1089" s="33" t="s">
        <v>1548</v>
      </c>
      <c r="H1089" s="33" t="n">
        <v>1</v>
      </c>
      <c r="I1089" s="33" t="n">
        <v>1</v>
      </c>
      <c r="J1089" s="33" t="n">
        <v>1</v>
      </c>
      <c r="K1089" s="32" t="n">
        <v>300</v>
      </c>
      <c r="L1089" s="33" t="str">
        <f aca="false">IF($B1089="","",IFERROR(INDEX('Code Mapping'!$D$5:$D$1753,MATCH($B1089,'Code Mapping'!$A$5:$A$1753,0)),"Unmapped"))</f>
        <v>Unmapped</v>
      </c>
      <c r="M1089" s="33" t="str">
        <f aca="false">IF($B1089="","",IFERROR(INDEX('Code Mapping'!$E$5:$E$1753,MATCH($B1089,'Code Mapping'!$A$5:$A$1753,0)),"Unmapped"))</f>
        <v>Unmapped</v>
      </c>
      <c r="N1089" s="33" t="str">
        <f aca="false">IF($F1089="","",$F1089)</f>
        <v>InflataRun 2024</v>
      </c>
    </row>
    <row r="1090" customFormat="false" ht="15" hidden="false" customHeight="false" outlineLevel="0" collapsed="false">
      <c r="A1090" s="33" t="n">
        <v>4929</v>
      </c>
      <c r="B1090" s="33" t="s">
        <v>1756</v>
      </c>
      <c r="C1090" s="33" t="s">
        <v>1545</v>
      </c>
      <c r="D1090" s="33"/>
      <c r="E1090" s="33" t="n">
        <v>74</v>
      </c>
      <c r="F1090" s="33" t="s">
        <v>2159</v>
      </c>
      <c r="G1090" s="33" t="s">
        <v>1548</v>
      </c>
      <c r="H1090" s="33" t="n">
        <v>1</v>
      </c>
      <c r="I1090" s="33" t="n">
        <v>1</v>
      </c>
      <c r="J1090" s="33" t="n">
        <v>1</v>
      </c>
      <c r="K1090" s="32" t="n">
        <v>300</v>
      </c>
      <c r="L1090" s="33" t="str">
        <f aca="false">IF($B1090="","",IFERROR(INDEX('Code Mapping'!$D$5:$D$1753,MATCH($B1090,'Code Mapping'!$A$5:$A$1753,0)),"Unmapped"))</f>
        <v>Unmapped</v>
      </c>
      <c r="M1090" s="33" t="str">
        <f aca="false">IF($B1090="","",IFERROR(INDEX('Code Mapping'!$E$5:$E$1753,MATCH($B1090,'Code Mapping'!$A$5:$A$1753,0)),"Unmapped"))</f>
        <v>Unmapped</v>
      </c>
      <c r="N1090" s="33" t="str">
        <f aca="false">IF($F1090="","",$F1090)</f>
        <v>InflataRun 2024</v>
      </c>
    </row>
    <row r="1091" customFormat="false" ht="15" hidden="false" customHeight="false" outlineLevel="0" collapsed="false">
      <c r="A1091" s="33" t="n">
        <v>4798</v>
      </c>
      <c r="B1091" s="33" t="s">
        <v>1757</v>
      </c>
      <c r="C1091" s="33" t="s">
        <v>1545</v>
      </c>
      <c r="D1091" s="33"/>
      <c r="E1091" s="33" t="n">
        <v>74</v>
      </c>
      <c r="F1091" s="33" t="s">
        <v>2159</v>
      </c>
      <c r="G1091" s="33" t="s">
        <v>1548</v>
      </c>
      <c r="H1091" s="33" t="n">
        <v>1</v>
      </c>
      <c r="I1091" s="33" t="n">
        <v>1</v>
      </c>
      <c r="J1091" s="33" t="n">
        <v>1</v>
      </c>
      <c r="K1091" s="32" t="n">
        <v>300</v>
      </c>
      <c r="L1091" s="33" t="str">
        <f aca="false">IF($B1091="","",IFERROR(INDEX('Code Mapping'!$D$5:$D$1753,MATCH($B1091,'Code Mapping'!$A$5:$A$1753,0)),"Unmapped"))</f>
        <v>Unmapped</v>
      </c>
      <c r="M1091" s="33" t="str">
        <f aca="false">IF($B1091="","",IFERROR(INDEX('Code Mapping'!$E$5:$E$1753,MATCH($B1091,'Code Mapping'!$A$5:$A$1753,0)),"Unmapped"))</f>
        <v>Unmapped</v>
      </c>
      <c r="N1091" s="33" t="str">
        <f aca="false">IF($F1091="","",$F1091)</f>
        <v>InflataRun 2024</v>
      </c>
    </row>
    <row r="1092" customFormat="false" ht="15" hidden="false" customHeight="false" outlineLevel="0" collapsed="false">
      <c r="A1092" s="33" t="n">
        <v>4922</v>
      </c>
      <c r="B1092" s="33" t="s">
        <v>1758</v>
      </c>
      <c r="C1092" s="33" t="s">
        <v>1545</v>
      </c>
      <c r="D1092" s="33"/>
      <c r="E1092" s="33" t="n">
        <v>74</v>
      </c>
      <c r="F1092" s="33" t="s">
        <v>2159</v>
      </c>
      <c r="G1092" s="33" t="s">
        <v>1548</v>
      </c>
      <c r="H1092" s="33" t="n">
        <v>1</v>
      </c>
      <c r="I1092" s="33" t="n">
        <v>1</v>
      </c>
      <c r="J1092" s="33" t="n">
        <v>1</v>
      </c>
      <c r="K1092" s="32" t="n">
        <v>300</v>
      </c>
      <c r="L1092" s="33" t="str">
        <f aca="false">IF($B1092="","",IFERROR(INDEX('Code Mapping'!$D$5:$D$1753,MATCH($B1092,'Code Mapping'!$A$5:$A$1753,0)),"Unmapped"))</f>
        <v>Unmapped</v>
      </c>
      <c r="M1092" s="33" t="str">
        <f aca="false">IF($B1092="","",IFERROR(INDEX('Code Mapping'!$E$5:$E$1753,MATCH($B1092,'Code Mapping'!$A$5:$A$1753,0)),"Unmapped"))</f>
        <v>Unmapped</v>
      </c>
      <c r="N1092" s="33" t="str">
        <f aca="false">IF($F1092="","",$F1092)</f>
        <v>InflataRun 2024</v>
      </c>
    </row>
    <row r="1093" customFormat="false" ht="15" hidden="false" customHeight="false" outlineLevel="0" collapsed="false">
      <c r="A1093" s="33" t="n">
        <v>4971</v>
      </c>
      <c r="B1093" s="33" t="s">
        <v>1759</v>
      </c>
      <c r="C1093" s="33" t="s">
        <v>1545</v>
      </c>
      <c r="D1093" s="33"/>
      <c r="E1093" s="33" t="n">
        <v>74</v>
      </c>
      <c r="F1093" s="33" t="s">
        <v>2159</v>
      </c>
      <c r="G1093" s="33" t="s">
        <v>1548</v>
      </c>
      <c r="H1093" s="33" t="n">
        <v>1</v>
      </c>
      <c r="I1093" s="33" t="n">
        <v>1</v>
      </c>
      <c r="J1093" s="33" t="n">
        <v>1</v>
      </c>
      <c r="K1093" s="32" t="n">
        <v>300</v>
      </c>
      <c r="L1093" s="33" t="str">
        <f aca="false">IF($B1093="","",IFERROR(INDEX('Code Mapping'!$D$5:$D$1753,MATCH($B1093,'Code Mapping'!$A$5:$A$1753,0)),"Unmapped"))</f>
        <v>Unmapped</v>
      </c>
      <c r="M1093" s="33" t="str">
        <f aca="false">IF($B1093="","",IFERROR(INDEX('Code Mapping'!$E$5:$E$1753,MATCH($B1093,'Code Mapping'!$A$5:$A$1753,0)),"Unmapped"))</f>
        <v>Unmapped</v>
      </c>
      <c r="N1093" s="33" t="str">
        <f aca="false">IF($F1093="","",$F1093)</f>
        <v>InflataRun 2024</v>
      </c>
    </row>
    <row r="1094" customFormat="false" ht="15" hidden="false" customHeight="false" outlineLevel="0" collapsed="false">
      <c r="A1094" s="33" t="n">
        <v>4878</v>
      </c>
      <c r="B1094" s="33" t="s">
        <v>1761</v>
      </c>
      <c r="C1094" s="33" t="s">
        <v>1545</v>
      </c>
      <c r="D1094" s="33"/>
      <c r="E1094" s="33" t="n">
        <v>74</v>
      </c>
      <c r="F1094" s="33" t="s">
        <v>2159</v>
      </c>
      <c r="G1094" s="33" t="s">
        <v>1548</v>
      </c>
      <c r="H1094" s="33" t="n">
        <v>1</v>
      </c>
      <c r="I1094" s="33" t="n">
        <v>1</v>
      </c>
      <c r="J1094" s="33" t="n">
        <v>1</v>
      </c>
      <c r="K1094" s="32" t="n">
        <v>300</v>
      </c>
      <c r="L1094" s="33" t="str">
        <f aca="false">IF($B1094="","",IFERROR(INDEX('Code Mapping'!$D$5:$D$1753,MATCH($B1094,'Code Mapping'!$A$5:$A$1753,0)),"Unmapped"))</f>
        <v>Unmapped</v>
      </c>
      <c r="M1094" s="33" t="str">
        <f aca="false">IF($B1094="","",IFERROR(INDEX('Code Mapping'!$E$5:$E$1753,MATCH($B1094,'Code Mapping'!$A$5:$A$1753,0)),"Unmapped"))</f>
        <v>Unmapped</v>
      </c>
      <c r="N1094" s="33" t="str">
        <f aca="false">IF($F1094="","",$F1094)</f>
        <v>InflataRun 2024</v>
      </c>
    </row>
    <row r="1095" customFormat="false" ht="15" hidden="false" customHeight="false" outlineLevel="0" collapsed="false">
      <c r="A1095" s="33" t="n">
        <v>4961</v>
      </c>
      <c r="B1095" s="33" t="s">
        <v>1765</v>
      </c>
      <c r="C1095" s="33" t="s">
        <v>1545</v>
      </c>
      <c r="D1095" s="33"/>
      <c r="E1095" s="33" t="n">
        <v>74</v>
      </c>
      <c r="F1095" s="33" t="s">
        <v>2159</v>
      </c>
      <c r="G1095" s="33" t="s">
        <v>1548</v>
      </c>
      <c r="H1095" s="33" t="n">
        <v>1</v>
      </c>
      <c r="I1095" s="33" t="n">
        <v>1</v>
      </c>
      <c r="J1095" s="33" t="n">
        <v>1</v>
      </c>
      <c r="K1095" s="32" t="n">
        <v>300</v>
      </c>
      <c r="L1095" s="33" t="str">
        <f aca="false">IF($B1095="","",IFERROR(INDEX('Code Mapping'!$D$5:$D$1753,MATCH($B1095,'Code Mapping'!$A$5:$A$1753,0)),"Unmapped"))</f>
        <v>Unmapped</v>
      </c>
      <c r="M1095" s="33" t="str">
        <f aca="false">IF($B1095="","",IFERROR(INDEX('Code Mapping'!$E$5:$E$1753,MATCH($B1095,'Code Mapping'!$A$5:$A$1753,0)),"Unmapped"))</f>
        <v>Unmapped</v>
      </c>
      <c r="N1095" s="33" t="str">
        <f aca="false">IF($F1095="","",$F1095)</f>
        <v>InflataRun 2024</v>
      </c>
    </row>
    <row r="1096" customFormat="false" ht="15" hidden="false" customHeight="false" outlineLevel="0" collapsed="false">
      <c r="A1096" s="33" t="n">
        <v>3620</v>
      </c>
      <c r="B1096" s="33" t="s">
        <v>1768</v>
      </c>
      <c r="C1096" s="33" t="s">
        <v>1554</v>
      </c>
      <c r="D1096" s="33"/>
      <c r="E1096" s="33" t="n">
        <v>74</v>
      </c>
      <c r="F1096" s="33" t="s">
        <v>2159</v>
      </c>
      <c r="G1096" s="33" t="s">
        <v>1548</v>
      </c>
      <c r="H1096" s="33" t="n">
        <v>1</v>
      </c>
      <c r="I1096" s="33" t="n">
        <v>1</v>
      </c>
      <c r="J1096" s="33" t="n">
        <v>1</v>
      </c>
      <c r="K1096" s="32" t="n">
        <v>75</v>
      </c>
      <c r="L1096" s="33" t="str">
        <f aca="false">IF($B1096="","",IFERROR(INDEX('Code Mapping'!$D$5:$D$1753,MATCH($B1096,'Code Mapping'!$A$5:$A$1753,0)),"Unmapped"))</f>
        <v>Unmapped</v>
      </c>
      <c r="M1096" s="33" t="str">
        <f aca="false">IF($B1096="","",IFERROR(INDEX('Code Mapping'!$E$5:$E$1753,MATCH($B1096,'Code Mapping'!$A$5:$A$1753,0)),"Unmapped"))</f>
        <v>Unmapped</v>
      </c>
      <c r="N1096" s="33" t="str">
        <f aca="false">IF($F1096="","",$F1096)</f>
        <v>InflataRun 2024</v>
      </c>
    </row>
    <row r="1097" customFormat="false" ht="15" hidden="false" customHeight="false" outlineLevel="0" collapsed="false">
      <c r="A1097" s="33" t="n">
        <v>4802</v>
      </c>
      <c r="B1097" s="33" t="s">
        <v>1724</v>
      </c>
      <c r="C1097" s="33" t="s">
        <v>1545</v>
      </c>
      <c r="D1097" s="33"/>
      <c r="E1097" s="33" t="n">
        <v>74</v>
      </c>
      <c r="F1097" s="33" t="s">
        <v>2159</v>
      </c>
      <c r="G1097" s="33" t="s">
        <v>1548</v>
      </c>
      <c r="H1097" s="33" t="n">
        <v>1</v>
      </c>
      <c r="I1097" s="33" t="n">
        <v>1</v>
      </c>
      <c r="J1097" s="33" t="n">
        <v>1</v>
      </c>
      <c r="K1097" s="32" t="n">
        <v>300</v>
      </c>
      <c r="L1097" s="33" t="str">
        <f aca="false">IF($B1097="","",IFERROR(INDEX('Code Mapping'!$D$5:$D$1753,MATCH($B1097,'Code Mapping'!$A$5:$A$1753,0)),"Unmapped"))</f>
        <v>Unmapped</v>
      </c>
      <c r="M1097" s="33" t="str">
        <f aca="false">IF($B1097="","",IFERROR(INDEX('Code Mapping'!$E$5:$E$1753,MATCH($B1097,'Code Mapping'!$A$5:$A$1753,0)),"Unmapped"))</f>
        <v>Unmapped</v>
      </c>
      <c r="N1097" s="33" t="str">
        <f aca="false">IF($F1097="","",$F1097)</f>
        <v>InflataRun 2024</v>
      </c>
    </row>
    <row r="1098" customFormat="false" ht="15" hidden="false" customHeight="false" outlineLevel="0" collapsed="false">
      <c r="A1098" s="33" t="n">
        <v>4973</v>
      </c>
      <c r="B1098" s="33" t="s">
        <v>1770</v>
      </c>
      <c r="C1098" s="33" t="s">
        <v>1545</v>
      </c>
      <c r="D1098" s="33"/>
      <c r="E1098" s="33" t="n">
        <v>74</v>
      </c>
      <c r="F1098" s="33" t="s">
        <v>2159</v>
      </c>
      <c r="G1098" s="33" t="s">
        <v>1548</v>
      </c>
      <c r="H1098" s="33" t="n">
        <v>1</v>
      </c>
      <c r="I1098" s="33" t="n">
        <v>1</v>
      </c>
      <c r="J1098" s="33" t="n">
        <v>1</v>
      </c>
      <c r="K1098" s="32" t="n">
        <v>300</v>
      </c>
      <c r="L1098" s="33" t="str">
        <f aca="false">IF($B1098="","",IFERROR(INDEX('Code Mapping'!$D$5:$D$1753,MATCH($B1098,'Code Mapping'!$A$5:$A$1753,0)),"Unmapped"))</f>
        <v>Unmapped</v>
      </c>
      <c r="M1098" s="33" t="str">
        <f aca="false">IF($B1098="","",IFERROR(INDEX('Code Mapping'!$E$5:$E$1753,MATCH($B1098,'Code Mapping'!$A$5:$A$1753,0)),"Unmapped"))</f>
        <v>Unmapped</v>
      </c>
      <c r="N1098" s="33" t="str">
        <f aca="false">IF($F1098="","",$F1098)</f>
        <v>InflataRun 2024</v>
      </c>
    </row>
    <row r="1099" customFormat="false" ht="15" hidden="false" customHeight="false" outlineLevel="0" collapsed="false">
      <c r="A1099" s="33" t="n">
        <v>4915</v>
      </c>
      <c r="B1099" s="33" t="s">
        <v>1771</v>
      </c>
      <c r="C1099" s="33" t="s">
        <v>1545</v>
      </c>
      <c r="D1099" s="33"/>
      <c r="E1099" s="33" t="n">
        <v>74</v>
      </c>
      <c r="F1099" s="33" t="s">
        <v>2159</v>
      </c>
      <c r="G1099" s="33" t="s">
        <v>1548</v>
      </c>
      <c r="H1099" s="33" t="n">
        <v>1</v>
      </c>
      <c r="I1099" s="33" t="n">
        <v>1</v>
      </c>
      <c r="J1099" s="33" t="n">
        <v>1</v>
      </c>
      <c r="K1099" s="32" t="n">
        <v>300</v>
      </c>
      <c r="L1099" s="33" t="str">
        <f aca="false">IF($B1099="","",IFERROR(INDEX('Code Mapping'!$D$5:$D$1753,MATCH($B1099,'Code Mapping'!$A$5:$A$1753,0)),"Unmapped"))</f>
        <v>Unmapped</v>
      </c>
      <c r="M1099" s="33" t="str">
        <f aca="false">IF($B1099="","",IFERROR(INDEX('Code Mapping'!$E$5:$E$1753,MATCH($B1099,'Code Mapping'!$A$5:$A$1753,0)),"Unmapped"))</f>
        <v>Unmapped</v>
      </c>
      <c r="N1099" s="33" t="str">
        <f aca="false">IF($F1099="","",$F1099)</f>
        <v>InflataRun 2024</v>
      </c>
    </row>
    <row r="1100" customFormat="false" ht="15" hidden="false" customHeight="false" outlineLevel="0" collapsed="false">
      <c r="A1100" s="33" t="n">
        <v>5428</v>
      </c>
      <c r="B1100" s="33" t="s">
        <v>1946</v>
      </c>
      <c r="C1100" s="33" t="s">
        <v>1947</v>
      </c>
      <c r="D1100" s="33"/>
      <c r="E1100" s="33" t="n">
        <v>74</v>
      </c>
      <c r="F1100" s="33" t="s">
        <v>2159</v>
      </c>
      <c r="G1100" s="33" t="s">
        <v>1548</v>
      </c>
      <c r="H1100" s="33" t="n">
        <v>1</v>
      </c>
      <c r="I1100" s="33" t="n">
        <v>2</v>
      </c>
      <c r="J1100" s="33" t="n">
        <v>2</v>
      </c>
      <c r="K1100" s="32" t="n">
        <v>120</v>
      </c>
      <c r="L1100" s="33" t="str">
        <f aca="false">IF($B1100="","",IFERROR(INDEX('Code Mapping'!$D$5:$D$1753,MATCH($B1100,'Code Mapping'!$A$5:$A$1753,0)),"Unmapped"))</f>
        <v>Unmapped</v>
      </c>
      <c r="M1100" s="33" t="str">
        <f aca="false">IF($B1100="","",IFERROR(INDEX('Code Mapping'!$E$5:$E$1753,MATCH($B1100,'Code Mapping'!$A$5:$A$1753,0)),"Unmapped"))</f>
        <v>Unmapped</v>
      </c>
      <c r="N1100" s="33" t="str">
        <f aca="false">IF($F1100="","",$F1100)</f>
        <v>InflataRun 2024</v>
      </c>
    </row>
    <row r="1101" customFormat="false" ht="15" hidden="false" customHeight="false" outlineLevel="0" collapsed="false">
      <c r="A1101" s="33" t="n">
        <v>5425</v>
      </c>
      <c r="B1101" s="33" t="s">
        <v>1952</v>
      </c>
      <c r="C1101" s="33" t="s">
        <v>1953</v>
      </c>
      <c r="D1101" s="33"/>
      <c r="E1101" s="33" t="n">
        <v>74</v>
      </c>
      <c r="F1101" s="33" t="s">
        <v>2159</v>
      </c>
      <c r="G1101" s="33" t="s">
        <v>1548</v>
      </c>
      <c r="H1101" s="33" t="n">
        <v>64</v>
      </c>
      <c r="I1101" s="33" t="n">
        <v>129</v>
      </c>
      <c r="J1101" s="33" t="n">
        <v>129</v>
      </c>
      <c r="K1101" s="32" t="n">
        <v>3175</v>
      </c>
      <c r="L1101" s="33" t="str">
        <f aca="false">IF($B1101="","",IFERROR(INDEX('Code Mapping'!$D$5:$D$1753,MATCH($B1101,'Code Mapping'!$A$5:$A$1753,0)),"Unmapped"))</f>
        <v>My Book</v>
      </c>
      <c r="M1101" s="33" t="str">
        <f aca="false">IF($B1101="","",IFERROR(INDEX('Code Mapping'!$E$5:$E$1753,MATCH($B1101,'Code Mapping'!$A$5:$A$1753,0)),"Unmapped"))</f>
        <v>Aggregator BOGO</v>
      </c>
      <c r="N1101" s="33" t="str">
        <f aca="false">IF($F1101="","",$F1101)</f>
        <v>InflataRun 2024</v>
      </c>
    </row>
    <row r="1102" customFormat="false" ht="15" hidden="false" customHeight="false" outlineLevel="0" collapsed="false">
      <c r="A1102" s="33" t="n">
        <v>5426</v>
      </c>
      <c r="B1102" s="33" t="s">
        <v>1964</v>
      </c>
      <c r="C1102" s="33" t="s">
        <v>1965</v>
      </c>
      <c r="D1102" s="33"/>
      <c r="E1102" s="33" t="n">
        <v>74</v>
      </c>
      <c r="F1102" s="33" t="s">
        <v>2159</v>
      </c>
      <c r="G1102" s="33" t="s">
        <v>1548</v>
      </c>
      <c r="H1102" s="33" t="n">
        <v>52</v>
      </c>
      <c r="I1102" s="33" t="n">
        <v>118</v>
      </c>
      <c r="J1102" s="33" t="n">
        <v>118</v>
      </c>
      <c r="K1102" s="32" t="n">
        <v>2630</v>
      </c>
      <c r="L1102" s="33" t="str">
        <f aca="false">IF($B1102="","",IFERROR(INDEX('Code Mapping'!$D$5:$D$1753,MATCH($B1102,'Code Mapping'!$A$5:$A$1753,0)),"Unmapped"))</f>
        <v>Qatar Airways</v>
      </c>
      <c r="M1102" s="33" t="str">
        <f aca="false">IF($B1102="","",IFERROR(INDEX('Code Mapping'!$E$5:$E$1753,MATCH($B1102,'Code Mapping'!$A$5:$A$1753,0)),"Unmapped"))</f>
        <v>Corporate discount</v>
      </c>
      <c r="N1102" s="33" t="str">
        <f aca="false">IF($F1102="","",$F1102)</f>
        <v>InflataRun 2024</v>
      </c>
    </row>
    <row r="1103" customFormat="false" ht="15" hidden="false" customHeight="false" outlineLevel="0" collapsed="false">
      <c r="A1103" s="33" t="n">
        <v>5427</v>
      </c>
      <c r="B1103" s="33" t="s">
        <v>2010</v>
      </c>
      <c r="C1103" s="33" t="s">
        <v>2011</v>
      </c>
      <c r="D1103" s="33"/>
      <c r="E1103" s="33" t="n">
        <v>74</v>
      </c>
      <c r="F1103" s="33" t="s">
        <v>2159</v>
      </c>
      <c r="G1103" s="33" t="s">
        <v>1548</v>
      </c>
      <c r="H1103" s="33" t="n">
        <v>7</v>
      </c>
      <c r="I1103" s="33" t="n">
        <v>24</v>
      </c>
      <c r="J1103" s="33" t="n">
        <v>24</v>
      </c>
      <c r="K1103" s="32" t="n">
        <v>900</v>
      </c>
      <c r="L1103" s="33" t="str">
        <f aca="false">IF($B1103="","",IFERROR(INDEX('Code Mapping'!$D$5:$D$1753,MATCH($B1103,'Code Mapping'!$A$5:$A$1753,0)),"Unmapped"))</f>
        <v>Unmapped</v>
      </c>
      <c r="M1103" s="33" t="str">
        <f aca="false">IF($B1103="","",IFERROR(INDEX('Code Mapping'!$E$5:$E$1753,MATCH($B1103,'Code Mapping'!$A$5:$A$1753,0)),"Unmapped"))</f>
        <v>Unmapped</v>
      </c>
      <c r="N1103" s="33" t="str">
        <f aca="false">IF($F1103="","",$F1103)</f>
        <v>InflataRun 2024</v>
      </c>
    </row>
    <row r="1104" customFormat="false" ht="15" hidden="false" customHeight="false" outlineLevel="0" collapsed="false">
      <c r="A1104" s="33" t="n">
        <v>4965</v>
      </c>
      <c r="B1104" s="33" t="s">
        <v>1547</v>
      </c>
      <c r="C1104" s="33" t="s">
        <v>1545</v>
      </c>
      <c r="D1104" s="33"/>
      <c r="E1104" s="33" t="n">
        <v>74</v>
      </c>
      <c r="F1104" s="33" t="s">
        <v>2159</v>
      </c>
      <c r="G1104" s="33" t="s">
        <v>1548</v>
      </c>
      <c r="H1104" s="33" t="n">
        <v>1</v>
      </c>
      <c r="I1104" s="33" t="n">
        <v>1</v>
      </c>
      <c r="J1104" s="33" t="n">
        <v>1</v>
      </c>
      <c r="K1104" s="32" t="n">
        <v>300</v>
      </c>
      <c r="L1104" s="33" t="str">
        <f aca="false">IF($B1104="","",IFERROR(INDEX('Code Mapping'!$D$5:$D$1753,MATCH($B1104,'Code Mapping'!$A$5:$A$1753,0)),"Unmapped"))</f>
        <v>Unmapped</v>
      </c>
      <c r="M1104" s="33" t="str">
        <f aca="false">IF($B1104="","",IFERROR(INDEX('Code Mapping'!$E$5:$E$1753,MATCH($B1104,'Code Mapping'!$A$5:$A$1753,0)),"Unmapped"))</f>
        <v>Unmapped</v>
      </c>
      <c r="N1104" s="33" t="str">
        <f aca="false">IF($F1104="","",$F1104)</f>
        <v>InflataRun 2024</v>
      </c>
    </row>
    <row r="1105" customFormat="false" ht="15" hidden="false" customHeight="false" outlineLevel="0" collapsed="false">
      <c r="A1105" s="33" t="n">
        <v>4797</v>
      </c>
      <c r="B1105" s="33" t="s">
        <v>1753</v>
      </c>
      <c r="C1105" s="33" t="s">
        <v>1545</v>
      </c>
      <c r="D1105" s="33"/>
      <c r="E1105" s="33" t="n">
        <v>74</v>
      </c>
      <c r="F1105" s="33" t="s">
        <v>2159</v>
      </c>
      <c r="G1105" s="33" t="s">
        <v>1548</v>
      </c>
      <c r="H1105" s="33" t="n">
        <v>1</v>
      </c>
      <c r="I1105" s="33" t="n">
        <v>1</v>
      </c>
      <c r="J1105" s="33" t="n">
        <v>1</v>
      </c>
      <c r="K1105" s="32" t="n">
        <v>300</v>
      </c>
      <c r="L1105" s="33" t="str">
        <f aca="false">IF($B1105="","",IFERROR(INDEX('Code Mapping'!$D$5:$D$1753,MATCH($B1105,'Code Mapping'!$A$5:$A$1753,0)),"Unmapped"))</f>
        <v>Unmapped</v>
      </c>
      <c r="M1105" s="33" t="str">
        <f aca="false">IF($B1105="","",IFERROR(INDEX('Code Mapping'!$E$5:$E$1753,MATCH($B1105,'Code Mapping'!$A$5:$A$1753,0)),"Unmapped"))</f>
        <v>Unmapped</v>
      </c>
      <c r="N1105" s="33" t="str">
        <f aca="false">IF($F1105="","",$F1105)</f>
        <v>InflataRun 2024</v>
      </c>
    </row>
    <row r="1106" customFormat="false" ht="15" hidden="false" customHeight="false" outlineLevel="0" collapsed="false">
      <c r="A1106" s="33" t="n">
        <v>3587</v>
      </c>
      <c r="B1106" s="33" t="s">
        <v>1752</v>
      </c>
      <c r="C1106" s="33" t="s">
        <v>1554</v>
      </c>
      <c r="D1106" s="33"/>
      <c r="E1106" s="33" t="n">
        <v>74</v>
      </c>
      <c r="F1106" s="33" t="s">
        <v>2159</v>
      </c>
      <c r="G1106" s="33" t="s">
        <v>1548</v>
      </c>
      <c r="H1106" s="33" t="n">
        <v>1</v>
      </c>
      <c r="I1106" s="33" t="n">
        <v>1</v>
      </c>
      <c r="J1106" s="33" t="n">
        <v>1</v>
      </c>
      <c r="K1106" s="32" t="n">
        <v>75</v>
      </c>
      <c r="L1106" s="33" t="str">
        <f aca="false">IF($B1106="","",IFERROR(INDEX('Code Mapping'!$D$5:$D$1753,MATCH($B1106,'Code Mapping'!$A$5:$A$1753,0)),"Unmapped"))</f>
        <v>Unmapped</v>
      </c>
      <c r="M1106" s="33" t="str">
        <f aca="false">IF($B1106="","",IFERROR(INDEX('Code Mapping'!$E$5:$E$1753,MATCH($B1106,'Code Mapping'!$A$5:$A$1753,0)),"Unmapped"))</f>
        <v>Unmapped</v>
      </c>
      <c r="N1106" s="33" t="str">
        <f aca="false">IF($F1106="","",$F1106)</f>
        <v>InflataRun 2024</v>
      </c>
    </row>
    <row r="1107" customFormat="false" ht="15" hidden="false" customHeight="false" outlineLevel="0" collapsed="false">
      <c r="A1107" s="33" t="n">
        <v>4968</v>
      </c>
      <c r="B1107" s="33" t="s">
        <v>1749</v>
      </c>
      <c r="C1107" s="33" t="s">
        <v>1545</v>
      </c>
      <c r="D1107" s="33"/>
      <c r="E1107" s="33" t="n">
        <v>74</v>
      </c>
      <c r="F1107" s="33" t="s">
        <v>2159</v>
      </c>
      <c r="G1107" s="33" t="s">
        <v>1548</v>
      </c>
      <c r="H1107" s="33" t="n">
        <v>1</v>
      </c>
      <c r="I1107" s="33" t="n">
        <v>1</v>
      </c>
      <c r="J1107" s="33" t="n">
        <v>1</v>
      </c>
      <c r="K1107" s="32" t="n">
        <v>300</v>
      </c>
      <c r="L1107" s="33" t="str">
        <f aca="false">IF($B1107="","",IFERROR(INDEX('Code Mapping'!$D$5:$D$1753,MATCH($B1107,'Code Mapping'!$A$5:$A$1753,0)),"Unmapped"))</f>
        <v>Unmapped</v>
      </c>
      <c r="M1107" s="33" t="str">
        <f aca="false">IF($B1107="","",IFERROR(INDEX('Code Mapping'!$E$5:$E$1753,MATCH($B1107,'Code Mapping'!$A$5:$A$1753,0)),"Unmapped"))</f>
        <v>Unmapped</v>
      </c>
      <c r="N1107" s="33" t="str">
        <f aca="false">IF($F1107="","",$F1107)</f>
        <v>InflataRun 2024</v>
      </c>
    </row>
    <row r="1108" customFormat="false" ht="15" hidden="false" customHeight="false" outlineLevel="0" collapsed="false">
      <c r="A1108" s="33" t="n">
        <v>4875</v>
      </c>
      <c r="B1108" s="33" t="s">
        <v>1747</v>
      </c>
      <c r="C1108" s="33" t="s">
        <v>1545</v>
      </c>
      <c r="D1108" s="33"/>
      <c r="E1108" s="33" t="n">
        <v>74</v>
      </c>
      <c r="F1108" s="33" t="s">
        <v>2159</v>
      </c>
      <c r="G1108" s="33" t="s">
        <v>1548</v>
      </c>
      <c r="H1108" s="33" t="n">
        <v>1</v>
      </c>
      <c r="I1108" s="33" t="n">
        <v>1</v>
      </c>
      <c r="J1108" s="33" t="n">
        <v>1</v>
      </c>
      <c r="K1108" s="32" t="n">
        <v>300</v>
      </c>
      <c r="L1108" s="33" t="str">
        <f aca="false">IF($B1108="","",IFERROR(INDEX('Code Mapping'!$D$5:$D$1753,MATCH($B1108,'Code Mapping'!$A$5:$A$1753,0)),"Unmapped"))</f>
        <v>Unmapped</v>
      </c>
      <c r="M1108" s="33" t="str">
        <f aca="false">IF($B1108="","",IFERROR(INDEX('Code Mapping'!$E$5:$E$1753,MATCH($B1108,'Code Mapping'!$A$5:$A$1753,0)),"Unmapped"))</f>
        <v>Unmapped</v>
      </c>
      <c r="N1108" s="33" t="str">
        <f aca="false">IF($F1108="","",$F1108)</f>
        <v>InflataRun 2024</v>
      </c>
    </row>
    <row r="1109" customFormat="false" ht="15" hidden="false" customHeight="false" outlineLevel="0" collapsed="false">
      <c r="A1109" s="33" t="n">
        <v>3643</v>
      </c>
      <c r="B1109" s="33" t="s">
        <v>1725</v>
      </c>
      <c r="C1109" s="33" t="s">
        <v>1554</v>
      </c>
      <c r="D1109" s="33"/>
      <c r="E1109" s="33" t="n">
        <v>74</v>
      </c>
      <c r="F1109" s="33" t="s">
        <v>2159</v>
      </c>
      <c r="G1109" s="33" t="s">
        <v>1548</v>
      </c>
      <c r="H1109" s="33" t="n">
        <v>1</v>
      </c>
      <c r="I1109" s="33" t="n">
        <v>1</v>
      </c>
      <c r="J1109" s="33" t="n">
        <v>1</v>
      </c>
      <c r="K1109" s="32" t="n">
        <v>75</v>
      </c>
      <c r="L1109" s="33" t="str">
        <f aca="false">IF($B1109="","",IFERROR(INDEX('Code Mapping'!$D$5:$D$1753,MATCH($B1109,'Code Mapping'!$A$5:$A$1753,0)),"Unmapped"))</f>
        <v>Unmapped</v>
      </c>
      <c r="M1109" s="33" t="str">
        <f aca="false">IF($B1109="","",IFERROR(INDEX('Code Mapping'!$E$5:$E$1753,MATCH($B1109,'Code Mapping'!$A$5:$A$1753,0)),"Unmapped"))</f>
        <v>Unmapped</v>
      </c>
      <c r="N1109" s="33" t="str">
        <f aca="false">IF($F1109="","",$F1109)</f>
        <v>InflataRun 2024</v>
      </c>
    </row>
    <row r="1110" customFormat="false" ht="15" hidden="false" customHeight="false" outlineLevel="0" collapsed="false">
      <c r="A1110" s="33" t="n">
        <v>3636</v>
      </c>
      <c r="B1110" s="33" t="s">
        <v>1726</v>
      </c>
      <c r="C1110" s="33" t="s">
        <v>1554</v>
      </c>
      <c r="D1110" s="33"/>
      <c r="E1110" s="33" t="n">
        <v>74</v>
      </c>
      <c r="F1110" s="33" t="s">
        <v>2159</v>
      </c>
      <c r="G1110" s="33" t="s">
        <v>1548</v>
      </c>
      <c r="H1110" s="33" t="n">
        <v>1</v>
      </c>
      <c r="I1110" s="33" t="n">
        <v>1</v>
      </c>
      <c r="J1110" s="33" t="n">
        <v>1</v>
      </c>
      <c r="K1110" s="32" t="n">
        <v>75</v>
      </c>
      <c r="L1110" s="33" t="str">
        <f aca="false">IF($B1110="","",IFERROR(INDEX('Code Mapping'!$D$5:$D$1753,MATCH($B1110,'Code Mapping'!$A$5:$A$1753,0)),"Unmapped"))</f>
        <v>Unmapped</v>
      </c>
      <c r="M1110" s="33" t="str">
        <f aca="false">IF($B1110="","",IFERROR(INDEX('Code Mapping'!$E$5:$E$1753,MATCH($B1110,'Code Mapping'!$A$5:$A$1753,0)),"Unmapped"))</f>
        <v>Unmapped</v>
      </c>
      <c r="N1110" s="33" t="str">
        <f aca="false">IF($F1110="","",$F1110)</f>
        <v>InflataRun 2024</v>
      </c>
    </row>
    <row r="1111" customFormat="false" ht="15" hidden="false" customHeight="false" outlineLevel="0" collapsed="false">
      <c r="A1111" s="33" t="n">
        <v>4806</v>
      </c>
      <c r="B1111" s="33" t="s">
        <v>1728</v>
      </c>
      <c r="C1111" s="33" t="s">
        <v>1545</v>
      </c>
      <c r="D1111" s="33"/>
      <c r="E1111" s="33" t="n">
        <v>74</v>
      </c>
      <c r="F1111" s="33" t="s">
        <v>2159</v>
      </c>
      <c r="G1111" s="33" t="s">
        <v>1548</v>
      </c>
      <c r="H1111" s="33" t="n">
        <v>1</v>
      </c>
      <c r="I1111" s="33" t="n">
        <v>1</v>
      </c>
      <c r="J1111" s="33" t="n">
        <v>1</v>
      </c>
      <c r="K1111" s="32" t="n">
        <v>300</v>
      </c>
      <c r="L1111" s="33" t="str">
        <f aca="false">IF($B1111="","",IFERROR(INDEX('Code Mapping'!$D$5:$D$1753,MATCH($B1111,'Code Mapping'!$A$5:$A$1753,0)),"Unmapped"))</f>
        <v>Unmapped</v>
      </c>
      <c r="M1111" s="33" t="str">
        <f aca="false">IF($B1111="","",IFERROR(INDEX('Code Mapping'!$E$5:$E$1753,MATCH($B1111,'Code Mapping'!$A$5:$A$1753,0)),"Unmapped"))</f>
        <v>Unmapped</v>
      </c>
      <c r="N1111" s="33" t="str">
        <f aca="false">IF($F1111="","",$F1111)</f>
        <v>InflataRun 2024</v>
      </c>
    </row>
    <row r="1112" customFormat="false" ht="15" hidden="false" customHeight="false" outlineLevel="0" collapsed="false">
      <c r="A1112" s="33" t="n">
        <v>3622</v>
      </c>
      <c r="B1112" s="33" t="s">
        <v>1729</v>
      </c>
      <c r="C1112" s="33" t="s">
        <v>1554</v>
      </c>
      <c r="D1112" s="33"/>
      <c r="E1112" s="33" t="n">
        <v>74</v>
      </c>
      <c r="F1112" s="33" t="s">
        <v>2159</v>
      </c>
      <c r="G1112" s="33" t="s">
        <v>1548</v>
      </c>
      <c r="H1112" s="33" t="n">
        <v>1</v>
      </c>
      <c r="I1112" s="33" t="n">
        <v>1</v>
      </c>
      <c r="J1112" s="33" t="n">
        <v>1</v>
      </c>
      <c r="K1112" s="32" t="n">
        <v>75</v>
      </c>
      <c r="L1112" s="33" t="str">
        <f aca="false">IF($B1112="","",IFERROR(INDEX('Code Mapping'!$D$5:$D$1753,MATCH($B1112,'Code Mapping'!$A$5:$A$1753,0)),"Unmapped"))</f>
        <v>Unmapped</v>
      </c>
      <c r="M1112" s="33" t="str">
        <f aca="false">IF($B1112="","",IFERROR(INDEX('Code Mapping'!$E$5:$E$1753,MATCH($B1112,'Code Mapping'!$A$5:$A$1753,0)),"Unmapped"))</f>
        <v>Unmapped</v>
      </c>
      <c r="N1112" s="33" t="str">
        <f aca="false">IF($F1112="","",$F1112)</f>
        <v>InflataRun 2024</v>
      </c>
    </row>
    <row r="1113" customFormat="false" ht="15" hidden="false" customHeight="false" outlineLevel="0" collapsed="false">
      <c r="A1113" s="33" t="n">
        <v>4808</v>
      </c>
      <c r="B1113" s="33" t="s">
        <v>1730</v>
      </c>
      <c r="C1113" s="33" t="s">
        <v>1545</v>
      </c>
      <c r="D1113" s="33"/>
      <c r="E1113" s="33" t="n">
        <v>74</v>
      </c>
      <c r="F1113" s="33" t="s">
        <v>2159</v>
      </c>
      <c r="G1113" s="33" t="s">
        <v>1548</v>
      </c>
      <c r="H1113" s="33" t="n">
        <v>1</v>
      </c>
      <c r="I1113" s="33" t="n">
        <v>1</v>
      </c>
      <c r="J1113" s="33" t="n">
        <v>1</v>
      </c>
      <c r="K1113" s="32" t="n">
        <v>300</v>
      </c>
      <c r="L1113" s="33" t="str">
        <f aca="false">IF($B1113="","",IFERROR(INDEX('Code Mapping'!$D$5:$D$1753,MATCH($B1113,'Code Mapping'!$A$5:$A$1753,0)),"Unmapped"))</f>
        <v>Unmapped</v>
      </c>
      <c r="M1113" s="33" t="str">
        <f aca="false">IF($B1113="","",IFERROR(INDEX('Code Mapping'!$E$5:$E$1753,MATCH($B1113,'Code Mapping'!$A$5:$A$1753,0)),"Unmapped"))</f>
        <v>Unmapped</v>
      </c>
      <c r="N1113" s="33" t="str">
        <f aca="false">IF($F1113="","",$F1113)</f>
        <v>InflataRun 2024</v>
      </c>
    </row>
    <row r="1114" customFormat="false" ht="15" hidden="false" customHeight="false" outlineLevel="0" collapsed="false">
      <c r="A1114" s="33" t="n">
        <v>4913</v>
      </c>
      <c r="B1114" s="33" t="s">
        <v>1732</v>
      </c>
      <c r="C1114" s="33" t="s">
        <v>1545</v>
      </c>
      <c r="D1114" s="33"/>
      <c r="E1114" s="33" t="n">
        <v>74</v>
      </c>
      <c r="F1114" s="33" t="s">
        <v>2159</v>
      </c>
      <c r="G1114" s="33" t="s">
        <v>1548</v>
      </c>
      <c r="H1114" s="33" t="n">
        <v>1</v>
      </c>
      <c r="I1114" s="33" t="n">
        <v>1</v>
      </c>
      <c r="J1114" s="33" t="n">
        <v>1</v>
      </c>
      <c r="K1114" s="32" t="n">
        <v>300</v>
      </c>
      <c r="L1114" s="33" t="str">
        <f aca="false">IF($B1114="","",IFERROR(INDEX('Code Mapping'!$D$5:$D$1753,MATCH($B1114,'Code Mapping'!$A$5:$A$1753,0)),"Unmapped"))</f>
        <v>Unmapped</v>
      </c>
      <c r="M1114" s="33" t="str">
        <f aca="false">IF($B1114="","",IFERROR(INDEX('Code Mapping'!$E$5:$E$1753,MATCH($B1114,'Code Mapping'!$A$5:$A$1753,0)),"Unmapped"))</f>
        <v>Unmapped</v>
      </c>
      <c r="N1114" s="33" t="str">
        <f aca="false">IF($F1114="","",$F1114)</f>
        <v>InflataRun 2024</v>
      </c>
    </row>
    <row r="1115" customFormat="false" ht="15" hidden="false" customHeight="false" outlineLevel="0" collapsed="false">
      <c r="A1115" s="33" t="n">
        <v>4881</v>
      </c>
      <c r="B1115" s="33" t="s">
        <v>1733</v>
      </c>
      <c r="C1115" s="33" t="s">
        <v>1545</v>
      </c>
      <c r="D1115" s="33"/>
      <c r="E1115" s="33" t="n">
        <v>74</v>
      </c>
      <c r="F1115" s="33" t="s">
        <v>2159</v>
      </c>
      <c r="G1115" s="33" t="s">
        <v>1548</v>
      </c>
      <c r="H1115" s="33" t="n">
        <v>1</v>
      </c>
      <c r="I1115" s="33" t="n">
        <v>1</v>
      </c>
      <c r="J1115" s="33" t="n">
        <v>1</v>
      </c>
      <c r="K1115" s="32" t="n">
        <v>300</v>
      </c>
      <c r="L1115" s="33" t="str">
        <f aca="false">IF($B1115="","",IFERROR(INDEX('Code Mapping'!$D$5:$D$1753,MATCH($B1115,'Code Mapping'!$A$5:$A$1753,0)),"Unmapped"))</f>
        <v>Unmapped</v>
      </c>
      <c r="M1115" s="33" t="str">
        <f aca="false">IF($B1115="","",IFERROR(INDEX('Code Mapping'!$E$5:$E$1753,MATCH($B1115,'Code Mapping'!$A$5:$A$1753,0)),"Unmapped"))</f>
        <v>Unmapped</v>
      </c>
      <c r="N1115" s="33" t="str">
        <f aca="false">IF($F1115="","",$F1115)</f>
        <v>InflataRun 2024</v>
      </c>
    </row>
    <row r="1116" customFormat="false" ht="15" hidden="false" customHeight="false" outlineLevel="0" collapsed="false">
      <c r="A1116" s="33" t="n">
        <v>4937</v>
      </c>
      <c r="B1116" s="33" t="s">
        <v>1735</v>
      </c>
      <c r="C1116" s="33" t="s">
        <v>1545</v>
      </c>
      <c r="D1116" s="33"/>
      <c r="E1116" s="33" t="n">
        <v>74</v>
      </c>
      <c r="F1116" s="33" t="s">
        <v>2159</v>
      </c>
      <c r="G1116" s="33" t="s">
        <v>1548</v>
      </c>
      <c r="H1116" s="33" t="n">
        <v>1</v>
      </c>
      <c r="I1116" s="33" t="n">
        <v>1</v>
      </c>
      <c r="J1116" s="33" t="n">
        <v>1</v>
      </c>
      <c r="K1116" s="32" t="n">
        <v>300</v>
      </c>
      <c r="L1116" s="33" t="str">
        <f aca="false">IF($B1116="","",IFERROR(INDEX('Code Mapping'!$D$5:$D$1753,MATCH($B1116,'Code Mapping'!$A$5:$A$1753,0)),"Unmapped"))</f>
        <v>Unmapped</v>
      </c>
      <c r="M1116" s="33" t="str">
        <f aca="false">IF($B1116="","",IFERROR(INDEX('Code Mapping'!$E$5:$E$1753,MATCH($B1116,'Code Mapping'!$A$5:$A$1753,0)),"Unmapped"))</f>
        <v>Unmapped</v>
      </c>
      <c r="N1116" s="33" t="str">
        <f aca="false">IF($F1116="","",$F1116)</f>
        <v>InflataRun 2024</v>
      </c>
    </row>
    <row r="1117" customFormat="false" ht="15" hidden="false" customHeight="false" outlineLevel="0" collapsed="false">
      <c r="A1117" s="33" t="n">
        <v>3639</v>
      </c>
      <c r="B1117" s="33" t="s">
        <v>1736</v>
      </c>
      <c r="C1117" s="33" t="s">
        <v>1554</v>
      </c>
      <c r="D1117" s="33"/>
      <c r="E1117" s="33" t="n">
        <v>74</v>
      </c>
      <c r="F1117" s="33" t="s">
        <v>2159</v>
      </c>
      <c r="G1117" s="33" t="s">
        <v>1548</v>
      </c>
      <c r="H1117" s="33" t="n">
        <v>1</v>
      </c>
      <c r="I1117" s="33" t="n">
        <v>1</v>
      </c>
      <c r="J1117" s="33" t="n">
        <v>1</v>
      </c>
      <c r="K1117" s="32" t="n">
        <v>75</v>
      </c>
      <c r="L1117" s="33" t="str">
        <f aca="false">IF($B1117="","",IFERROR(INDEX('Code Mapping'!$D$5:$D$1753,MATCH($B1117,'Code Mapping'!$A$5:$A$1753,0)),"Unmapped"))</f>
        <v>Unmapped</v>
      </c>
      <c r="M1117" s="33" t="str">
        <f aca="false">IF($B1117="","",IFERROR(INDEX('Code Mapping'!$E$5:$E$1753,MATCH($B1117,'Code Mapping'!$A$5:$A$1753,0)),"Unmapped"))</f>
        <v>Unmapped</v>
      </c>
      <c r="N1117" s="33" t="str">
        <f aca="false">IF($F1117="","",$F1117)</f>
        <v>InflataRun 2024</v>
      </c>
    </row>
    <row r="1118" customFormat="false" ht="15" hidden="false" customHeight="false" outlineLevel="0" collapsed="false">
      <c r="A1118" s="33" t="n">
        <v>4995</v>
      </c>
      <c r="B1118" s="33" t="s">
        <v>1737</v>
      </c>
      <c r="C1118" s="33" t="s">
        <v>1545</v>
      </c>
      <c r="D1118" s="33"/>
      <c r="E1118" s="33" t="n">
        <v>74</v>
      </c>
      <c r="F1118" s="33" t="s">
        <v>2159</v>
      </c>
      <c r="G1118" s="33" t="s">
        <v>1548</v>
      </c>
      <c r="H1118" s="33" t="n">
        <v>1</v>
      </c>
      <c r="I1118" s="33" t="n">
        <v>1</v>
      </c>
      <c r="J1118" s="33" t="n">
        <v>1</v>
      </c>
      <c r="K1118" s="32" t="n">
        <v>300</v>
      </c>
      <c r="L1118" s="33" t="str">
        <f aca="false">IF($B1118="","",IFERROR(INDEX('Code Mapping'!$D$5:$D$1753,MATCH($B1118,'Code Mapping'!$A$5:$A$1753,0)),"Unmapped"))</f>
        <v>Unmapped</v>
      </c>
      <c r="M1118" s="33" t="str">
        <f aca="false">IF($B1118="","",IFERROR(INDEX('Code Mapping'!$E$5:$E$1753,MATCH($B1118,'Code Mapping'!$A$5:$A$1753,0)),"Unmapped"))</f>
        <v>Unmapped</v>
      </c>
      <c r="N1118" s="33" t="str">
        <f aca="false">IF($F1118="","",$F1118)</f>
        <v>InflataRun 2024</v>
      </c>
    </row>
    <row r="1119" customFormat="false" ht="15" hidden="false" customHeight="false" outlineLevel="0" collapsed="false">
      <c r="A1119" s="33" t="n">
        <v>4792</v>
      </c>
      <c r="B1119" s="33" t="s">
        <v>1738</v>
      </c>
      <c r="C1119" s="33" t="s">
        <v>1545</v>
      </c>
      <c r="D1119" s="33"/>
      <c r="E1119" s="33" t="n">
        <v>74</v>
      </c>
      <c r="F1119" s="33" t="s">
        <v>2159</v>
      </c>
      <c r="G1119" s="33" t="s">
        <v>1548</v>
      </c>
      <c r="H1119" s="33" t="n">
        <v>1</v>
      </c>
      <c r="I1119" s="33" t="n">
        <v>1</v>
      </c>
      <c r="J1119" s="33" t="n">
        <v>1</v>
      </c>
      <c r="K1119" s="32" t="n">
        <v>300</v>
      </c>
      <c r="L1119" s="33" t="str">
        <f aca="false">IF($B1119="","",IFERROR(INDEX('Code Mapping'!$D$5:$D$1753,MATCH($B1119,'Code Mapping'!$A$5:$A$1753,0)),"Unmapped"))</f>
        <v>Unmapped</v>
      </c>
      <c r="M1119" s="33" t="str">
        <f aca="false">IF($B1119="","",IFERROR(INDEX('Code Mapping'!$E$5:$E$1753,MATCH($B1119,'Code Mapping'!$A$5:$A$1753,0)),"Unmapped"))</f>
        <v>Unmapped</v>
      </c>
      <c r="N1119" s="33" t="str">
        <f aca="false">IF($F1119="","",$F1119)</f>
        <v>InflataRun 2024</v>
      </c>
    </row>
    <row r="1120" customFormat="false" ht="15" hidden="false" customHeight="false" outlineLevel="0" collapsed="false">
      <c r="A1120" s="33" t="n">
        <v>3635</v>
      </c>
      <c r="B1120" s="33" t="s">
        <v>1740</v>
      </c>
      <c r="C1120" s="33" t="s">
        <v>1554</v>
      </c>
      <c r="D1120" s="33"/>
      <c r="E1120" s="33" t="n">
        <v>74</v>
      </c>
      <c r="F1120" s="33" t="s">
        <v>2159</v>
      </c>
      <c r="G1120" s="33" t="s">
        <v>1548</v>
      </c>
      <c r="H1120" s="33" t="n">
        <v>1</v>
      </c>
      <c r="I1120" s="33" t="n">
        <v>1</v>
      </c>
      <c r="J1120" s="33" t="n">
        <v>1</v>
      </c>
      <c r="K1120" s="32" t="n">
        <v>75</v>
      </c>
      <c r="L1120" s="33" t="str">
        <f aca="false">IF($B1120="","",IFERROR(INDEX('Code Mapping'!$D$5:$D$1753,MATCH($B1120,'Code Mapping'!$A$5:$A$1753,0)),"Unmapped"))</f>
        <v>Unmapped</v>
      </c>
      <c r="M1120" s="33" t="str">
        <f aca="false">IF($B1120="","",IFERROR(INDEX('Code Mapping'!$E$5:$E$1753,MATCH($B1120,'Code Mapping'!$A$5:$A$1753,0)),"Unmapped"))</f>
        <v>Unmapped</v>
      </c>
      <c r="N1120" s="33" t="str">
        <f aca="false">IF($F1120="","",$F1120)</f>
        <v>InflataRun 2024</v>
      </c>
    </row>
    <row r="1121" customFormat="false" ht="15" hidden="false" customHeight="false" outlineLevel="0" collapsed="false">
      <c r="A1121" s="33" t="n">
        <v>4799</v>
      </c>
      <c r="B1121" s="33" t="s">
        <v>1741</v>
      </c>
      <c r="C1121" s="33" t="s">
        <v>1545</v>
      </c>
      <c r="D1121" s="33"/>
      <c r="E1121" s="33" t="n">
        <v>74</v>
      </c>
      <c r="F1121" s="33" t="s">
        <v>2159</v>
      </c>
      <c r="G1121" s="33" t="s">
        <v>1548</v>
      </c>
      <c r="H1121" s="33" t="n">
        <v>1</v>
      </c>
      <c r="I1121" s="33" t="n">
        <v>1</v>
      </c>
      <c r="J1121" s="33" t="n">
        <v>1</v>
      </c>
      <c r="K1121" s="32" t="n">
        <v>300</v>
      </c>
      <c r="L1121" s="33" t="str">
        <f aca="false">IF($B1121="","",IFERROR(INDEX('Code Mapping'!$D$5:$D$1753,MATCH($B1121,'Code Mapping'!$A$5:$A$1753,0)),"Unmapped"))</f>
        <v>Unmapped</v>
      </c>
      <c r="M1121" s="33" t="str">
        <f aca="false">IF($B1121="","",IFERROR(INDEX('Code Mapping'!$E$5:$E$1753,MATCH($B1121,'Code Mapping'!$A$5:$A$1753,0)),"Unmapped"))</f>
        <v>Unmapped</v>
      </c>
      <c r="N1121" s="33" t="str">
        <f aca="false">IF($F1121="","",$F1121)</f>
        <v>InflataRun 2024</v>
      </c>
    </row>
    <row r="1122" customFormat="false" ht="15" hidden="false" customHeight="false" outlineLevel="0" collapsed="false">
      <c r="A1122" s="33" t="n">
        <v>4930</v>
      </c>
      <c r="B1122" s="33" t="s">
        <v>1742</v>
      </c>
      <c r="C1122" s="33" t="s">
        <v>1545</v>
      </c>
      <c r="D1122" s="33"/>
      <c r="E1122" s="33" t="n">
        <v>74</v>
      </c>
      <c r="F1122" s="33" t="s">
        <v>2159</v>
      </c>
      <c r="G1122" s="33" t="s">
        <v>1548</v>
      </c>
      <c r="H1122" s="33" t="n">
        <v>1</v>
      </c>
      <c r="I1122" s="33" t="n">
        <v>1</v>
      </c>
      <c r="J1122" s="33" t="n">
        <v>1</v>
      </c>
      <c r="K1122" s="32" t="n">
        <v>300</v>
      </c>
      <c r="L1122" s="33" t="str">
        <f aca="false">IF($B1122="","",IFERROR(INDEX('Code Mapping'!$D$5:$D$1753,MATCH($B1122,'Code Mapping'!$A$5:$A$1753,0)),"Unmapped"))</f>
        <v>Unmapped</v>
      </c>
      <c r="M1122" s="33" t="str">
        <f aca="false">IF($B1122="","",IFERROR(INDEX('Code Mapping'!$E$5:$E$1753,MATCH($B1122,'Code Mapping'!$A$5:$A$1753,0)),"Unmapped"))</f>
        <v>Unmapped</v>
      </c>
      <c r="N1122" s="33" t="str">
        <f aca="false">IF($F1122="","",$F1122)</f>
        <v>InflataRun 2024</v>
      </c>
    </row>
    <row r="1123" customFormat="false" ht="15" hidden="false" customHeight="false" outlineLevel="0" collapsed="false">
      <c r="A1123" s="33" t="n">
        <v>3645</v>
      </c>
      <c r="B1123" s="33" t="s">
        <v>1746</v>
      </c>
      <c r="C1123" s="33" t="s">
        <v>1554</v>
      </c>
      <c r="D1123" s="33"/>
      <c r="E1123" s="33" t="n">
        <v>74</v>
      </c>
      <c r="F1123" s="33" t="s">
        <v>2159</v>
      </c>
      <c r="G1123" s="33" t="s">
        <v>1548</v>
      </c>
      <c r="H1123" s="33" t="n">
        <v>1</v>
      </c>
      <c r="I1123" s="33" t="n">
        <v>1</v>
      </c>
      <c r="J1123" s="33" t="n">
        <v>1</v>
      </c>
      <c r="K1123" s="32" t="n">
        <v>75</v>
      </c>
      <c r="L1123" s="33" t="str">
        <f aca="false">IF($B1123="","",IFERROR(INDEX('Code Mapping'!$D$5:$D$1753,MATCH($B1123,'Code Mapping'!$A$5:$A$1753,0)),"Unmapped"))</f>
        <v>Unmapped</v>
      </c>
      <c r="M1123" s="33" t="str">
        <f aca="false">IF($B1123="","",IFERROR(INDEX('Code Mapping'!$E$5:$E$1753,MATCH($B1123,'Code Mapping'!$A$5:$A$1753,0)),"Unmapped"))</f>
        <v>Unmapped</v>
      </c>
      <c r="N1123" s="33" t="str">
        <f aca="false">IF($F1123="","",$F1123)</f>
        <v>InflataRun 2024</v>
      </c>
    </row>
    <row r="1124" customFormat="false" ht="15" hidden="false" customHeight="false" outlineLevel="0" collapsed="false">
      <c r="A1124" s="33" t="n">
        <v>3638</v>
      </c>
      <c r="B1124" s="33" t="s">
        <v>1659</v>
      </c>
      <c r="C1124" s="33" t="s">
        <v>1554</v>
      </c>
      <c r="D1124" s="33"/>
      <c r="E1124" s="33" t="n">
        <v>74</v>
      </c>
      <c r="F1124" s="33" t="s">
        <v>2159</v>
      </c>
      <c r="G1124" s="33" t="s">
        <v>1548</v>
      </c>
      <c r="H1124" s="33" t="n">
        <v>1</v>
      </c>
      <c r="I1124" s="33" t="n">
        <v>1</v>
      </c>
      <c r="J1124" s="33" t="n">
        <v>1</v>
      </c>
      <c r="K1124" s="32" t="n">
        <v>75</v>
      </c>
      <c r="L1124" s="33" t="str">
        <f aca="false">IF($B1124="","",IFERROR(INDEX('Code Mapping'!$D$5:$D$1753,MATCH($B1124,'Code Mapping'!$A$5:$A$1753,0)),"Unmapped"))</f>
        <v>Unmapped</v>
      </c>
      <c r="M1124" s="33" t="str">
        <f aca="false">IF($B1124="","",IFERROR(INDEX('Code Mapping'!$E$5:$E$1753,MATCH($B1124,'Code Mapping'!$A$5:$A$1753,0)),"Unmapped"))</f>
        <v>Unmapped</v>
      </c>
      <c r="N1124" s="33" t="str">
        <f aca="false">IF($F1124="","",$F1124)</f>
        <v>InflataRun 2024</v>
      </c>
    </row>
    <row r="1125" customFormat="false" ht="15" hidden="false" customHeight="false" outlineLevel="0" collapsed="false">
      <c r="A1125" s="33" t="n">
        <v>3644</v>
      </c>
      <c r="B1125" s="33" t="s">
        <v>1687</v>
      </c>
      <c r="C1125" s="33" t="s">
        <v>1554</v>
      </c>
      <c r="D1125" s="33"/>
      <c r="E1125" s="33" t="n">
        <v>74</v>
      </c>
      <c r="F1125" s="33" t="s">
        <v>2159</v>
      </c>
      <c r="G1125" s="33" t="s">
        <v>1548</v>
      </c>
      <c r="H1125" s="33" t="n">
        <v>1</v>
      </c>
      <c r="I1125" s="33" t="n">
        <v>1</v>
      </c>
      <c r="J1125" s="33" t="n">
        <v>1</v>
      </c>
      <c r="K1125" s="32" t="n">
        <v>75</v>
      </c>
      <c r="L1125" s="33" t="str">
        <f aca="false">IF($B1125="","",IFERROR(INDEX('Code Mapping'!$D$5:$D$1753,MATCH($B1125,'Code Mapping'!$A$5:$A$1753,0)),"Unmapped"))</f>
        <v>Unmapped</v>
      </c>
      <c r="M1125" s="33" t="str">
        <f aca="false">IF($B1125="","",IFERROR(INDEX('Code Mapping'!$E$5:$E$1753,MATCH($B1125,'Code Mapping'!$A$5:$A$1753,0)),"Unmapped"))</f>
        <v>Unmapped</v>
      </c>
      <c r="N1125" s="33" t="str">
        <f aca="false">IF($F1125="","",$F1125)</f>
        <v>InflataRun 2024</v>
      </c>
    </row>
    <row r="1126" customFormat="false" ht="15" hidden="false" customHeight="false" outlineLevel="0" collapsed="false">
      <c r="A1126" s="33" t="n">
        <v>5081</v>
      </c>
      <c r="B1126" s="33" t="s">
        <v>1657</v>
      </c>
      <c r="C1126" s="33" t="s">
        <v>1545</v>
      </c>
      <c r="D1126" s="33"/>
      <c r="E1126" s="33" t="n">
        <v>74</v>
      </c>
      <c r="F1126" s="33" t="s">
        <v>2159</v>
      </c>
      <c r="G1126" s="33" t="s">
        <v>1548</v>
      </c>
      <c r="H1126" s="33" t="n">
        <v>1</v>
      </c>
      <c r="I1126" s="33" t="n">
        <v>1</v>
      </c>
      <c r="J1126" s="33" t="n">
        <v>1</v>
      </c>
      <c r="K1126" s="32" t="n">
        <v>300</v>
      </c>
      <c r="L1126" s="33" t="str">
        <f aca="false">IF($B1126="","",IFERROR(INDEX('Code Mapping'!$D$5:$D$1753,MATCH($B1126,'Code Mapping'!$A$5:$A$1753,0)),"Unmapped"))</f>
        <v>Unmapped</v>
      </c>
      <c r="M1126" s="33" t="str">
        <f aca="false">IF($B1126="","",IFERROR(INDEX('Code Mapping'!$E$5:$E$1753,MATCH($B1126,'Code Mapping'!$A$5:$A$1753,0)),"Unmapped"))</f>
        <v>Unmapped</v>
      </c>
      <c r="N1126" s="33" t="str">
        <f aca="false">IF($F1126="","",$F1126)</f>
        <v>InflataRun 2024</v>
      </c>
    </row>
    <row r="1127" customFormat="false" ht="15" hidden="false" customHeight="false" outlineLevel="0" collapsed="false">
      <c r="A1127" s="33" t="n">
        <v>4940</v>
      </c>
      <c r="B1127" s="33" t="s">
        <v>1585</v>
      </c>
      <c r="C1127" s="33" t="s">
        <v>1545</v>
      </c>
      <c r="D1127" s="33"/>
      <c r="E1127" s="33" t="n">
        <v>74</v>
      </c>
      <c r="F1127" s="33" t="s">
        <v>2159</v>
      </c>
      <c r="G1127" s="33" t="s">
        <v>1548</v>
      </c>
      <c r="H1127" s="33" t="n">
        <v>1</v>
      </c>
      <c r="I1127" s="33" t="n">
        <v>1</v>
      </c>
      <c r="J1127" s="33" t="n">
        <v>1</v>
      </c>
      <c r="K1127" s="32" t="n">
        <v>300</v>
      </c>
      <c r="L1127" s="33" t="str">
        <f aca="false">IF($B1127="","",IFERROR(INDEX('Code Mapping'!$D$5:$D$1753,MATCH($B1127,'Code Mapping'!$A$5:$A$1753,0)),"Unmapped"))</f>
        <v>Unmapped</v>
      </c>
      <c r="M1127" s="33" t="str">
        <f aca="false">IF($B1127="","",IFERROR(INDEX('Code Mapping'!$E$5:$E$1753,MATCH($B1127,'Code Mapping'!$A$5:$A$1753,0)),"Unmapped"))</f>
        <v>Unmapped</v>
      </c>
      <c r="N1127" s="33" t="str">
        <f aca="false">IF($F1127="","",$F1127)</f>
        <v>InflataRun 2024</v>
      </c>
    </row>
    <row r="1128" customFormat="false" ht="15" hidden="false" customHeight="false" outlineLevel="0" collapsed="false">
      <c r="A1128" s="33" t="n">
        <v>4889</v>
      </c>
      <c r="B1128" s="33" t="s">
        <v>1576</v>
      </c>
      <c r="C1128" s="33" t="s">
        <v>1545</v>
      </c>
      <c r="D1128" s="33"/>
      <c r="E1128" s="33" t="n">
        <v>74</v>
      </c>
      <c r="F1128" s="33" t="s">
        <v>2159</v>
      </c>
      <c r="G1128" s="33" t="s">
        <v>1548</v>
      </c>
      <c r="H1128" s="33" t="n">
        <v>1</v>
      </c>
      <c r="I1128" s="33" t="n">
        <v>1</v>
      </c>
      <c r="J1128" s="33" t="n">
        <v>1</v>
      </c>
      <c r="K1128" s="32" t="n">
        <v>300</v>
      </c>
      <c r="L1128" s="33" t="str">
        <f aca="false">IF($B1128="","",IFERROR(INDEX('Code Mapping'!$D$5:$D$1753,MATCH($B1128,'Code Mapping'!$A$5:$A$1753,0)),"Unmapped"))</f>
        <v>Unmapped</v>
      </c>
      <c r="M1128" s="33" t="str">
        <f aca="false">IF($B1128="","",IFERROR(INDEX('Code Mapping'!$E$5:$E$1753,MATCH($B1128,'Code Mapping'!$A$5:$A$1753,0)),"Unmapped"))</f>
        <v>Unmapped</v>
      </c>
      <c r="N1128" s="33" t="str">
        <f aca="false">IF($F1128="","",$F1128)</f>
        <v>InflataRun 2024</v>
      </c>
    </row>
    <row r="1129" customFormat="false" ht="15" hidden="false" customHeight="false" outlineLevel="0" collapsed="false">
      <c r="A1129" s="33" t="n">
        <v>4945</v>
      </c>
      <c r="B1129" s="33" t="s">
        <v>1578</v>
      </c>
      <c r="C1129" s="33" t="s">
        <v>1545</v>
      </c>
      <c r="D1129" s="33"/>
      <c r="E1129" s="33" t="n">
        <v>74</v>
      </c>
      <c r="F1129" s="33" t="s">
        <v>2159</v>
      </c>
      <c r="G1129" s="33" t="s">
        <v>1548</v>
      </c>
      <c r="H1129" s="33" t="n">
        <v>1</v>
      </c>
      <c r="I1129" s="33" t="n">
        <v>1</v>
      </c>
      <c r="J1129" s="33" t="n">
        <v>1</v>
      </c>
      <c r="K1129" s="32" t="n">
        <v>300</v>
      </c>
      <c r="L1129" s="33" t="str">
        <f aca="false">IF($B1129="","",IFERROR(INDEX('Code Mapping'!$D$5:$D$1753,MATCH($B1129,'Code Mapping'!$A$5:$A$1753,0)),"Unmapped"))</f>
        <v>Unmapped</v>
      </c>
      <c r="M1129" s="33" t="str">
        <f aca="false">IF($B1129="","",IFERROR(INDEX('Code Mapping'!$E$5:$E$1753,MATCH($B1129,'Code Mapping'!$A$5:$A$1753,0)),"Unmapped"))</f>
        <v>Unmapped</v>
      </c>
      <c r="N1129" s="33" t="str">
        <f aca="false">IF($F1129="","",$F1129)</f>
        <v>InflataRun 2024</v>
      </c>
    </row>
    <row r="1130" customFormat="false" ht="15" hidden="false" customHeight="false" outlineLevel="0" collapsed="false">
      <c r="A1130" s="33" t="n">
        <v>4876</v>
      </c>
      <c r="B1130" s="33" t="s">
        <v>1579</v>
      </c>
      <c r="C1130" s="33" t="s">
        <v>1545</v>
      </c>
      <c r="D1130" s="33"/>
      <c r="E1130" s="33" t="n">
        <v>74</v>
      </c>
      <c r="F1130" s="33" t="s">
        <v>2159</v>
      </c>
      <c r="G1130" s="33" t="s">
        <v>1548</v>
      </c>
      <c r="H1130" s="33" t="n">
        <v>1</v>
      </c>
      <c r="I1130" s="33" t="n">
        <v>1</v>
      </c>
      <c r="J1130" s="33" t="n">
        <v>1</v>
      </c>
      <c r="K1130" s="32" t="n">
        <v>300</v>
      </c>
      <c r="L1130" s="33" t="str">
        <f aca="false">IF($B1130="","",IFERROR(INDEX('Code Mapping'!$D$5:$D$1753,MATCH($B1130,'Code Mapping'!$A$5:$A$1753,0)),"Unmapped"))</f>
        <v>Unmapped</v>
      </c>
      <c r="M1130" s="33" t="str">
        <f aca="false">IF($B1130="","",IFERROR(INDEX('Code Mapping'!$E$5:$E$1753,MATCH($B1130,'Code Mapping'!$A$5:$A$1753,0)),"Unmapped"))</f>
        <v>Unmapped</v>
      </c>
      <c r="N1130" s="33" t="str">
        <f aca="false">IF($F1130="","",$F1130)</f>
        <v>InflataRun 2024</v>
      </c>
    </row>
    <row r="1131" customFormat="false" ht="15" hidden="false" customHeight="false" outlineLevel="0" collapsed="false">
      <c r="A1131" s="33" t="n">
        <v>3602</v>
      </c>
      <c r="B1131" s="33" t="s">
        <v>1580</v>
      </c>
      <c r="C1131" s="33" t="s">
        <v>1554</v>
      </c>
      <c r="D1131" s="33"/>
      <c r="E1131" s="33" t="n">
        <v>74</v>
      </c>
      <c r="F1131" s="33" t="s">
        <v>2159</v>
      </c>
      <c r="G1131" s="33" t="s">
        <v>1548</v>
      </c>
      <c r="H1131" s="33" t="n">
        <v>1</v>
      </c>
      <c r="I1131" s="33" t="n">
        <v>1</v>
      </c>
      <c r="J1131" s="33" t="n">
        <v>1</v>
      </c>
      <c r="K1131" s="32" t="n">
        <v>75</v>
      </c>
      <c r="L1131" s="33" t="str">
        <f aca="false">IF($B1131="","",IFERROR(INDEX('Code Mapping'!$D$5:$D$1753,MATCH($B1131,'Code Mapping'!$A$5:$A$1753,0)),"Unmapped"))</f>
        <v>Unmapped</v>
      </c>
      <c r="M1131" s="33" t="str">
        <f aca="false">IF($B1131="","",IFERROR(INDEX('Code Mapping'!$E$5:$E$1753,MATCH($B1131,'Code Mapping'!$A$5:$A$1753,0)),"Unmapped"))</f>
        <v>Unmapped</v>
      </c>
      <c r="N1131" s="33" t="str">
        <f aca="false">IF($F1131="","",$F1131)</f>
        <v>InflataRun 2024</v>
      </c>
    </row>
    <row r="1132" customFormat="false" ht="15" hidden="false" customHeight="false" outlineLevel="0" collapsed="false">
      <c r="A1132" s="33" t="n">
        <v>4879</v>
      </c>
      <c r="B1132" s="33" t="s">
        <v>1581</v>
      </c>
      <c r="C1132" s="33" t="s">
        <v>1545</v>
      </c>
      <c r="D1132" s="33"/>
      <c r="E1132" s="33" t="n">
        <v>74</v>
      </c>
      <c r="F1132" s="33" t="s">
        <v>2159</v>
      </c>
      <c r="G1132" s="33" t="s">
        <v>1548</v>
      </c>
      <c r="H1132" s="33" t="n">
        <v>1</v>
      </c>
      <c r="I1132" s="33" t="n">
        <v>1</v>
      </c>
      <c r="J1132" s="33" t="n">
        <v>1</v>
      </c>
      <c r="K1132" s="32" t="n">
        <v>300</v>
      </c>
      <c r="L1132" s="33" t="str">
        <f aca="false">IF($B1132="","",IFERROR(INDEX('Code Mapping'!$D$5:$D$1753,MATCH($B1132,'Code Mapping'!$A$5:$A$1753,0)),"Unmapped"))</f>
        <v>Unmapped</v>
      </c>
      <c r="M1132" s="33" t="str">
        <f aca="false">IF($B1132="","",IFERROR(INDEX('Code Mapping'!$E$5:$E$1753,MATCH($B1132,'Code Mapping'!$A$5:$A$1753,0)),"Unmapped"))</f>
        <v>Unmapped</v>
      </c>
      <c r="N1132" s="33" t="str">
        <f aca="false">IF($F1132="","",$F1132)</f>
        <v>InflataRun 2024</v>
      </c>
    </row>
    <row r="1133" customFormat="false" ht="15" hidden="false" customHeight="false" outlineLevel="0" collapsed="false">
      <c r="A1133" s="33" t="n">
        <v>4865</v>
      </c>
      <c r="B1133" s="33" t="s">
        <v>1582</v>
      </c>
      <c r="C1133" s="33" t="s">
        <v>1545</v>
      </c>
      <c r="D1133" s="33"/>
      <c r="E1133" s="33" t="n">
        <v>74</v>
      </c>
      <c r="F1133" s="33" t="s">
        <v>2159</v>
      </c>
      <c r="G1133" s="33" t="s">
        <v>1548</v>
      </c>
      <c r="H1133" s="33" t="n">
        <v>1</v>
      </c>
      <c r="I1133" s="33" t="n">
        <v>1</v>
      </c>
      <c r="J1133" s="33" t="n">
        <v>1</v>
      </c>
      <c r="K1133" s="32" t="n">
        <v>300</v>
      </c>
      <c r="L1133" s="33" t="str">
        <f aca="false">IF($B1133="","",IFERROR(INDEX('Code Mapping'!$D$5:$D$1753,MATCH($B1133,'Code Mapping'!$A$5:$A$1753,0)),"Unmapped"))</f>
        <v>Unmapped</v>
      </c>
      <c r="M1133" s="33" t="str">
        <f aca="false">IF($B1133="","",IFERROR(INDEX('Code Mapping'!$E$5:$E$1753,MATCH($B1133,'Code Mapping'!$A$5:$A$1753,0)),"Unmapped"))</f>
        <v>Unmapped</v>
      </c>
      <c r="N1133" s="33" t="str">
        <f aca="false">IF($F1133="","",$F1133)</f>
        <v>InflataRun 2024</v>
      </c>
    </row>
    <row r="1134" customFormat="false" ht="15" hidden="false" customHeight="false" outlineLevel="0" collapsed="false">
      <c r="A1134" s="33" t="n">
        <v>4869</v>
      </c>
      <c r="B1134" s="33" t="s">
        <v>1583</v>
      </c>
      <c r="C1134" s="33" t="s">
        <v>1545</v>
      </c>
      <c r="D1134" s="33"/>
      <c r="E1134" s="33" t="n">
        <v>74</v>
      </c>
      <c r="F1134" s="33" t="s">
        <v>2159</v>
      </c>
      <c r="G1134" s="33" t="s">
        <v>1548</v>
      </c>
      <c r="H1134" s="33" t="n">
        <v>1</v>
      </c>
      <c r="I1134" s="33" t="n">
        <v>1</v>
      </c>
      <c r="J1134" s="33" t="n">
        <v>1</v>
      </c>
      <c r="K1134" s="32" t="n">
        <v>300</v>
      </c>
      <c r="L1134" s="33" t="str">
        <f aca="false">IF($B1134="","",IFERROR(INDEX('Code Mapping'!$D$5:$D$1753,MATCH($B1134,'Code Mapping'!$A$5:$A$1753,0)),"Unmapped"))</f>
        <v>Unmapped</v>
      </c>
      <c r="M1134" s="33" t="str">
        <f aca="false">IF($B1134="","",IFERROR(INDEX('Code Mapping'!$E$5:$E$1753,MATCH($B1134,'Code Mapping'!$A$5:$A$1753,0)),"Unmapped"))</f>
        <v>Unmapped</v>
      </c>
      <c r="N1134" s="33" t="str">
        <f aca="false">IF($F1134="","",$F1134)</f>
        <v>InflataRun 2024</v>
      </c>
    </row>
    <row r="1135" customFormat="false" ht="15" hidden="false" customHeight="false" outlineLevel="0" collapsed="false">
      <c r="A1135" s="33" t="n">
        <v>4804</v>
      </c>
      <c r="B1135" s="33" t="s">
        <v>1586</v>
      </c>
      <c r="C1135" s="33" t="s">
        <v>1545</v>
      </c>
      <c r="D1135" s="33"/>
      <c r="E1135" s="33" t="n">
        <v>74</v>
      </c>
      <c r="F1135" s="33" t="s">
        <v>2159</v>
      </c>
      <c r="G1135" s="33" t="s">
        <v>1548</v>
      </c>
      <c r="H1135" s="33" t="n">
        <v>1</v>
      </c>
      <c r="I1135" s="33" t="n">
        <v>1</v>
      </c>
      <c r="J1135" s="33" t="n">
        <v>1</v>
      </c>
      <c r="K1135" s="32" t="n">
        <v>300</v>
      </c>
      <c r="L1135" s="33" t="str">
        <f aca="false">IF($B1135="","",IFERROR(INDEX('Code Mapping'!$D$5:$D$1753,MATCH($B1135,'Code Mapping'!$A$5:$A$1753,0)),"Unmapped"))</f>
        <v>Unmapped</v>
      </c>
      <c r="M1135" s="33" t="str">
        <f aca="false">IF($B1135="","",IFERROR(INDEX('Code Mapping'!$E$5:$E$1753,MATCH($B1135,'Code Mapping'!$A$5:$A$1753,0)),"Unmapped"))</f>
        <v>Unmapped</v>
      </c>
      <c r="N1135" s="33" t="str">
        <f aca="false">IF($F1135="","",$F1135)</f>
        <v>InflataRun 2024</v>
      </c>
    </row>
    <row r="1136" customFormat="false" ht="15" hidden="false" customHeight="false" outlineLevel="0" collapsed="false">
      <c r="A1136" s="33" t="n">
        <v>4906</v>
      </c>
      <c r="B1136" s="33" t="s">
        <v>1573</v>
      </c>
      <c r="C1136" s="33" t="s">
        <v>1545</v>
      </c>
      <c r="D1136" s="33"/>
      <c r="E1136" s="33" t="n">
        <v>74</v>
      </c>
      <c r="F1136" s="33" t="s">
        <v>2159</v>
      </c>
      <c r="G1136" s="33" t="s">
        <v>1548</v>
      </c>
      <c r="H1136" s="33" t="n">
        <v>1</v>
      </c>
      <c r="I1136" s="33" t="n">
        <v>1</v>
      </c>
      <c r="J1136" s="33" t="n">
        <v>1</v>
      </c>
      <c r="K1136" s="32" t="n">
        <v>300</v>
      </c>
      <c r="L1136" s="33" t="str">
        <f aca="false">IF($B1136="","",IFERROR(INDEX('Code Mapping'!$D$5:$D$1753,MATCH($B1136,'Code Mapping'!$A$5:$A$1753,0)),"Unmapped"))</f>
        <v>Unmapped</v>
      </c>
      <c r="M1136" s="33" t="str">
        <f aca="false">IF($B1136="","",IFERROR(INDEX('Code Mapping'!$E$5:$E$1753,MATCH($B1136,'Code Mapping'!$A$5:$A$1753,0)),"Unmapped"))</f>
        <v>Unmapped</v>
      </c>
      <c r="N1136" s="33" t="str">
        <f aca="false">IF($F1136="","",$F1136)</f>
        <v>InflataRun 2024</v>
      </c>
    </row>
    <row r="1137" customFormat="false" ht="15" hidden="false" customHeight="false" outlineLevel="0" collapsed="false">
      <c r="A1137" s="33" t="n">
        <v>3600</v>
      </c>
      <c r="B1137" s="33" t="s">
        <v>1589</v>
      </c>
      <c r="C1137" s="33" t="s">
        <v>1554</v>
      </c>
      <c r="D1137" s="33"/>
      <c r="E1137" s="33" t="n">
        <v>74</v>
      </c>
      <c r="F1137" s="33" t="s">
        <v>2159</v>
      </c>
      <c r="G1137" s="33" t="s">
        <v>1548</v>
      </c>
      <c r="H1137" s="33" t="n">
        <v>1</v>
      </c>
      <c r="I1137" s="33" t="n">
        <v>1</v>
      </c>
      <c r="J1137" s="33" t="n">
        <v>1</v>
      </c>
      <c r="K1137" s="32" t="n">
        <v>75</v>
      </c>
      <c r="L1137" s="33" t="str">
        <f aca="false">IF($B1137="","",IFERROR(INDEX('Code Mapping'!$D$5:$D$1753,MATCH($B1137,'Code Mapping'!$A$5:$A$1753,0)),"Unmapped"))</f>
        <v>Unmapped</v>
      </c>
      <c r="M1137" s="33" t="str">
        <f aca="false">IF($B1137="","",IFERROR(INDEX('Code Mapping'!$E$5:$E$1753,MATCH($B1137,'Code Mapping'!$A$5:$A$1753,0)),"Unmapped"))</f>
        <v>Unmapped</v>
      </c>
      <c r="N1137" s="33" t="str">
        <f aca="false">IF($F1137="","",$F1137)</f>
        <v>InflataRun 2024</v>
      </c>
    </row>
    <row r="1138" customFormat="false" ht="15" hidden="false" customHeight="false" outlineLevel="0" collapsed="false">
      <c r="A1138" s="33" t="n">
        <v>4966</v>
      </c>
      <c r="B1138" s="33" t="s">
        <v>1590</v>
      </c>
      <c r="C1138" s="33" t="s">
        <v>1545</v>
      </c>
      <c r="D1138" s="33"/>
      <c r="E1138" s="33" t="n">
        <v>74</v>
      </c>
      <c r="F1138" s="33" t="s">
        <v>2159</v>
      </c>
      <c r="G1138" s="33" t="s">
        <v>1548</v>
      </c>
      <c r="H1138" s="33" t="n">
        <v>1</v>
      </c>
      <c r="I1138" s="33" t="n">
        <v>1</v>
      </c>
      <c r="J1138" s="33" t="n">
        <v>1</v>
      </c>
      <c r="K1138" s="32" t="n">
        <v>300</v>
      </c>
      <c r="L1138" s="33" t="str">
        <f aca="false">IF($B1138="","",IFERROR(INDEX('Code Mapping'!$D$5:$D$1753,MATCH($B1138,'Code Mapping'!$A$5:$A$1753,0)),"Unmapped"))</f>
        <v>Unmapped</v>
      </c>
      <c r="M1138" s="33" t="str">
        <f aca="false">IF($B1138="","",IFERROR(INDEX('Code Mapping'!$E$5:$E$1753,MATCH($B1138,'Code Mapping'!$A$5:$A$1753,0)),"Unmapped"))</f>
        <v>Unmapped</v>
      </c>
      <c r="N1138" s="33" t="str">
        <f aca="false">IF($F1138="","",$F1138)</f>
        <v>InflataRun 2024</v>
      </c>
    </row>
    <row r="1139" customFormat="false" ht="15" hidden="false" customHeight="false" outlineLevel="0" collapsed="false">
      <c r="A1139" s="33" t="n">
        <v>3574</v>
      </c>
      <c r="B1139" s="33" t="s">
        <v>1591</v>
      </c>
      <c r="C1139" s="33" t="s">
        <v>1554</v>
      </c>
      <c r="D1139" s="33"/>
      <c r="E1139" s="33" t="n">
        <v>74</v>
      </c>
      <c r="F1139" s="33" t="s">
        <v>2159</v>
      </c>
      <c r="G1139" s="33" t="s">
        <v>1548</v>
      </c>
      <c r="H1139" s="33" t="n">
        <v>1</v>
      </c>
      <c r="I1139" s="33" t="n">
        <v>1</v>
      </c>
      <c r="J1139" s="33" t="n">
        <v>1</v>
      </c>
      <c r="K1139" s="32" t="n">
        <v>75</v>
      </c>
      <c r="L1139" s="33" t="str">
        <f aca="false">IF($B1139="","",IFERROR(INDEX('Code Mapping'!$D$5:$D$1753,MATCH($B1139,'Code Mapping'!$A$5:$A$1753,0)),"Unmapped"))</f>
        <v>Unmapped</v>
      </c>
      <c r="M1139" s="33" t="str">
        <f aca="false">IF($B1139="","",IFERROR(INDEX('Code Mapping'!$E$5:$E$1753,MATCH($B1139,'Code Mapping'!$A$5:$A$1753,0)),"Unmapped"))</f>
        <v>Unmapped</v>
      </c>
      <c r="N1139" s="33" t="str">
        <f aca="false">IF($F1139="","",$F1139)</f>
        <v>InflataRun 2024</v>
      </c>
    </row>
    <row r="1140" customFormat="false" ht="15" hidden="false" customHeight="false" outlineLevel="0" collapsed="false">
      <c r="A1140" s="33" t="n">
        <v>3634</v>
      </c>
      <c r="B1140" s="33" t="s">
        <v>1592</v>
      </c>
      <c r="C1140" s="33" t="s">
        <v>1554</v>
      </c>
      <c r="D1140" s="33"/>
      <c r="E1140" s="33" t="n">
        <v>74</v>
      </c>
      <c r="F1140" s="33" t="s">
        <v>2159</v>
      </c>
      <c r="G1140" s="33" t="s">
        <v>1548</v>
      </c>
      <c r="H1140" s="33" t="n">
        <v>1</v>
      </c>
      <c r="I1140" s="33" t="n">
        <v>1</v>
      </c>
      <c r="J1140" s="33" t="n">
        <v>1</v>
      </c>
      <c r="K1140" s="32" t="n">
        <v>75</v>
      </c>
      <c r="L1140" s="33" t="str">
        <f aca="false">IF($B1140="","",IFERROR(INDEX('Code Mapping'!$D$5:$D$1753,MATCH($B1140,'Code Mapping'!$A$5:$A$1753,0)),"Unmapped"))</f>
        <v>Unmapped</v>
      </c>
      <c r="M1140" s="33" t="str">
        <f aca="false">IF($B1140="","",IFERROR(INDEX('Code Mapping'!$E$5:$E$1753,MATCH($B1140,'Code Mapping'!$A$5:$A$1753,0)),"Unmapped"))</f>
        <v>Unmapped</v>
      </c>
      <c r="N1140" s="33" t="str">
        <f aca="false">IF($F1140="","",$F1140)</f>
        <v>InflataRun 2024</v>
      </c>
    </row>
    <row r="1141" customFormat="false" ht="15" hidden="false" customHeight="false" outlineLevel="0" collapsed="false">
      <c r="A1141" s="33" t="n">
        <v>4959</v>
      </c>
      <c r="B1141" s="33" t="s">
        <v>1593</v>
      </c>
      <c r="C1141" s="33" t="s">
        <v>1545</v>
      </c>
      <c r="D1141" s="33"/>
      <c r="E1141" s="33" t="n">
        <v>74</v>
      </c>
      <c r="F1141" s="33" t="s">
        <v>2159</v>
      </c>
      <c r="G1141" s="33" t="s">
        <v>1548</v>
      </c>
      <c r="H1141" s="33" t="n">
        <v>1</v>
      </c>
      <c r="I1141" s="33" t="n">
        <v>1</v>
      </c>
      <c r="J1141" s="33" t="n">
        <v>1</v>
      </c>
      <c r="K1141" s="32" t="n">
        <v>300</v>
      </c>
      <c r="L1141" s="33" t="str">
        <f aca="false">IF($B1141="","",IFERROR(INDEX('Code Mapping'!$D$5:$D$1753,MATCH($B1141,'Code Mapping'!$A$5:$A$1753,0)),"Unmapped"))</f>
        <v>Unmapped</v>
      </c>
      <c r="M1141" s="33" t="str">
        <f aca="false">IF($B1141="","",IFERROR(INDEX('Code Mapping'!$E$5:$E$1753,MATCH($B1141,'Code Mapping'!$A$5:$A$1753,0)),"Unmapped"))</f>
        <v>Unmapped</v>
      </c>
      <c r="N1141" s="33" t="str">
        <f aca="false">IF($F1141="","",$F1141)</f>
        <v>InflataRun 2024</v>
      </c>
    </row>
    <row r="1142" customFormat="false" ht="15" hidden="false" customHeight="false" outlineLevel="0" collapsed="false">
      <c r="A1142" s="33" t="n">
        <v>4948</v>
      </c>
      <c r="B1142" s="33" t="s">
        <v>1594</v>
      </c>
      <c r="C1142" s="33" t="s">
        <v>1545</v>
      </c>
      <c r="D1142" s="33"/>
      <c r="E1142" s="33" t="n">
        <v>74</v>
      </c>
      <c r="F1142" s="33" t="s">
        <v>2159</v>
      </c>
      <c r="G1142" s="33" t="s">
        <v>1548</v>
      </c>
      <c r="H1142" s="33" t="n">
        <v>1</v>
      </c>
      <c r="I1142" s="33" t="n">
        <v>1</v>
      </c>
      <c r="J1142" s="33" t="n">
        <v>1</v>
      </c>
      <c r="K1142" s="32" t="n">
        <v>300</v>
      </c>
      <c r="L1142" s="33" t="str">
        <f aca="false">IF($B1142="","",IFERROR(INDEX('Code Mapping'!$D$5:$D$1753,MATCH($B1142,'Code Mapping'!$A$5:$A$1753,0)),"Unmapped"))</f>
        <v>Unmapped</v>
      </c>
      <c r="M1142" s="33" t="str">
        <f aca="false">IF($B1142="","",IFERROR(INDEX('Code Mapping'!$E$5:$E$1753,MATCH($B1142,'Code Mapping'!$A$5:$A$1753,0)),"Unmapped"))</f>
        <v>Unmapped</v>
      </c>
      <c r="N1142" s="33" t="str">
        <f aca="false">IF($F1142="","",$F1142)</f>
        <v>InflataRun 2024</v>
      </c>
    </row>
    <row r="1143" customFormat="false" ht="15" hidden="false" customHeight="false" outlineLevel="0" collapsed="false">
      <c r="A1143" s="33" t="n">
        <v>4898</v>
      </c>
      <c r="B1143" s="33" t="s">
        <v>1595</v>
      </c>
      <c r="C1143" s="33" t="s">
        <v>1545</v>
      </c>
      <c r="D1143" s="33"/>
      <c r="E1143" s="33" t="n">
        <v>74</v>
      </c>
      <c r="F1143" s="33" t="s">
        <v>2159</v>
      </c>
      <c r="G1143" s="33" t="s">
        <v>1548</v>
      </c>
      <c r="H1143" s="33" t="n">
        <v>1</v>
      </c>
      <c r="I1143" s="33" t="n">
        <v>1</v>
      </c>
      <c r="J1143" s="33" t="n">
        <v>1</v>
      </c>
      <c r="K1143" s="32" t="n">
        <v>300</v>
      </c>
      <c r="L1143" s="33" t="str">
        <f aca="false">IF($B1143="","",IFERROR(INDEX('Code Mapping'!$D$5:$D$1753,MATCH($B1143,'Code Mapping'!$A$5:$A$1753,0)),"Unmapped"))</f>
        <v>Unmapped</v>
      </c>
      <c r="M1143" s="33" t="str">
        <f aca="false">IF($B1143="","",IFERROR(INDEX('Code Mapping'!$E$5:$E$1753,MATCH($B1143,'Code Mapping'!$A$5:$A$1753,0)),"Unmapped"))</f>
        <v>Unmapped</v>
      </c>
      <c r="N1143" s="33" t="str">
        <f aca="false">IF($F1143="","",$F1143)</f>
        <v>InflataRun 2024</v>
      </c>
    </row>
    <row r="1144" customFormat="false" ht="15" hidden="false" customHeight="false" outlineLevel="0" collapsed="false">
      <c r="A1144" s="33" t="n">
        <v>5056</v>
      </c>
      <c r="B1144" s="33" t="s">
        <v>1656</v>
      </c>
      <c r="C1144" s="33" t="s">
        <v>1545</v>
      </c>
      <c r="D1144" s="33"/>
      <c r="E1144" s="33" t="n">
        <v>74</v>
      </c>
      <c r="F1144" s="33" t="s">
        <v>2159</v>
      </c>
      <c r="G1144" s="33" t="s">
        <v>1548</v>
      </c>
      <c r="H1144" s="33" t="n">
        <v>1</v>
      </c>
      <c r="I1144" s="33" t="n">
        <v>1</v>
      </c>
      <c r="J1144" s="33" t="n">
        <v>1</v>
      </c>
      <c r="K1144" s="32" t="n">
        <v>300</v>
      </c>
      <c r="L1144" s="33" t="str">
        <f aca="false">IF($B1144="","",IFERROR(INDEX('Code Mapping'!$D$5:$D$1753,MATCH($B1144,'Code Mapping'!$A$5:$A$1753,0)),"Unmapped"))</f>
        <v>Unmapped</v>
      </c>
      <c r="M1144" s="33" t="str">
        <f aca="false">IF($B1144="","",IFERROR(INDEX('Code Mapping'!$E$5:$E$1753,MATCH($B1144,'Code Mapping'!$A$5:$A$1753,0)),"Unmapped"))</f>
        <v>Unmapped</v>
      </c>
      <c r="N1144" s="33" t="str">
        <f aca="false">IF($F1144="","",$F1144)</f>
        <v>InflataRun 2024</v>
      </c>
    </row>
    <row r="1145" customFormat="false" ht="15" hidden="false" customHeight="false" outlineLevel="0" collapsed="false">
      <c r="A1145" s="33" t="n">
        <v>4951</v>
      </c>
      <c r="B1145" s="33" t="s">
        <v>1572</v>
      </c>
      <c r="C1145" s="33" t="s">
        <v>1545</v>
      </c>
      <c r="D1145" s="33"/>
      <c r="E1145" s="33" t="n">
        <v>74</v>
      </c>
      <c r="F1145" s="33" t="s">
        <v>2159</v>
      </c>
      <c r="G1145" s="33" t="s">
        <v>1548</v>
      </c>
      <c r="H1145" s="33" t="n">
        <v>1</v>
      </c>
      <c r="I1145" s="33" t="n">
        <v>1</v>
      </c>
      <c r="J1145" s="33" t="n">
        <v>1</v>
      </c>
      <c r="K1145" s="32" t="n">
        <v>300</v>
      </c>
      <c r="L1145" s="33" t="str">
        <f aca="false">IF($B1145="","",IFERROR(INDEX('Code Mapping'!$D$5:$D$1753,MATCH($B1145,'Code Mapping'!$A$5:$A$1753,0)),"Unmapped"))</f>
        <v>Unmapped</v>
      </c>
      <c r="M1145" s="33" t="str">
        <f aca="false">IF($B1145="","",IFERROR(INDEX('Code Mapping'!$E$5:$E$1753,MATCH($B1145,'Code Mapping'!$A$5:$A$1753,0)),"Unmapped"))</f>
        <v>Unmapped</v>
      </c>
      <c r="N1145" s="33" t="str">
        <f aca="false">IF($F1145="","",$F1145)</f>
        <v>InflataRun 2024</v>
      </c>
    </row>
    <row r="1146" customFormat="false" ht="15" hidden="false" customHeight="false" outlineLevel="0" collapsed="false">
      <c r="A1146" s="33" t="n">
        <v>4871</v>
      </c>
      <c r="B1146" s="33" t="s">
        <v>1599</v>
      </c>
      <c r="C1146" s="33" t="s">
        <v>1545</v>
      </c>
      <c r="D1146" s="33"/>
      <c r="E1146" s="33" t="n">
        <v>74</v>
      </c>
      <c r="F1146" s="33" t="s">
        <v>2159</v>
      </c>
      <c r="G1146" s="33" t="s">
        <v>1548</v>
      </c>
      <c r="H1146" s="33" t="n">
        <v>1</v>
      </c>
      <c r="I1146" s="33" t="n">
        <v>1</v>
      </c>
      <c r="J1146" s="33" t="n">
        <v>1</v>
      </c>
      <c r="K1146" s="32" t="n">
        <v>300</v>
      </c>
      <c r="L1146" s="33" t="str">
        <f aca="false">IF($B1146="","",IFERROR(INDEX('Code Mapping'!$D$5:$D$1753,MATCH($B1146,'Code Mapping'!$A$5:$A$1753,0)),"Unmapped"))</f>
        <v>Unmapped</v>
      </c>
      <c r="M1146" s="33" t="str">
        <f aca="false">IF($B1146="","",IFERROR(INDEX('Code Mapping'!$E$5:$E$1753,MATCH($B1146,'Code Mapping'!$A$5:$A$1753,0)),"Unmapped"))</f>
        <v>Unmapped</v>
      </c>
      <c r="N1146" s="33" t="str">
        <f aca="false">IF($F1146="","",$F1146)</f>
        <v>InflataRun 2024</v>
      </c>
    </row>
    <row r="1147" customFormat="false" ht="15" hidden="false" customHeight="false" outlineLevel="0" collapsed="false">
      <c r="A1147" s="33" t="n">
        <v>4939</v>
      </c>
      <c r="B1147" s="33" t="s">
        <v>1561</v>
      </c>
      <c r="C1147" s="33" t="s">
        <v>1545</v>
      </c>
      <c r="D1147" s="33"/>
      <c r="E1147" s="33" t="n">
        <v>74</v>
      </c>
      <c r="F1147" s="33" t="s">
        <v>2159</v>
      </c>
      <c r="G1147" s="33" t="s">
        <v>1548</v>
      </c>
      <c r="H1147" s="33" t="n">
        <v>1</v>
      </c>
      <c r="I1147" s="33" t="n">
        <v>1</v>
      </c>
      <c r="J1147" s="33" t="n">
        <v>1</v>
      </c>
      <c r="K1147" s="32" t="n">
        <v>300</v>
      </c>
      <c r="L1147" s="33" t="str">
        <f aca="false">IF($B1147="","",IFERROR(INDEX('Code Mapping'!$D$5:$D$1753,MATCH($B1147,'Code Mapping'!$A$5:$A$1753,0)),"Unmapped"))</f>
        <v>Unmapped</v>
      </c>
      <c r="M1147" s="33" t="str">
        <f aca="false">IF($B1147="","",IFERROR(INDEX('Code Mapping'!$E$5:$E$1753,MATCH($B1147,'Code Mapping'!$A$5:$A$1753,0)),"Unmapped"))</f>
        <v>Unmapped</v>
      </c>
      <c r="N1147" s="33" t="str">
        <f aca="false">IF($F1147="","",$F1147)</f>
        <v>InflataRun 2024</v>
      </c>
    </row>
    <row r="1148" customFormat="false" ht="15" hidden="false" customHeight="false" outlineLevel="0" collapsed="false">
      <c r="A1148" s="33" t="n">
        <v>4972</v>
      </c>
      <c r="B1148" s="33" t="s">
        <v>1549</v>
      </c>
      <c r="C1148" s="33" t="s">
        <v>1545</v>
      </c>
      <c r="D1148" s="33"/>
      <c r="E1148" s="33" t="n">
        <v>74</v>
      </c>
      <c r="F1148" s="33" t="s">
        <v>2159</v>
      </c>
      <c r="G1148" s="33" t="s">
        <v>1548</v>
      </c>
      <c r="H1148" s="33" t="n">
        <v>1</v>
      </c>
      <c r="I1148" s="33" t="n">
        <v>1</v>
      </c>
      <c r="J1148" s="33" t="n">
        <v>1</v>
      </c>
      <c r="K1148" s="32" t="n">
        <v>300</v>
      </c>
      <c r="L1148" s="33" t="str">
        <f aca="false">IF($B1148="","",IFERROR(INDEX('Code Mapping'!$D$5:$D$1753,MATCH($B1148,'Code Mapping'!$A$5:$A$1753,0)),"Unmapped"))</f>
        <v>Unmapped</v>
      </c>
      <c r="M1148" s="33" t="str">
        <f aca="false">IF($B1148="","",IFERROR(INDEX('Code Mapping'!$E$5:$E$1753,MATCH($B1148,'Code Mapping'!$A$5:$A$1753,0)),"Unmapped"))</f>
        <v>Unmapped</v>
      </c>
      <c r="N1148" s="33" t="str">
        <f aca="false">IF($F1148="","",$F1148)</f>
        <v>InflataRun 2024</v>
      </c>
    </row>
    <row r="1149" customFormat="false" ht="15" hidden="false" customHeight="false" outlineLevel="0" collapsed="false">
      <c r="A1149" s="33" t="n">
        <v>4883</v>
      </c>
      <c r="B1149" s="33" t="s">
        <v>1550</v>
      </c>
      <c r="C1149" s="33" t="s">
        <v>1545</v>
      </c>
      <c r="D1149" s="33"/>
      <c r="E1149" s="33" t="n">
        <v>74</v>
      </c>
      <c r="F1149" s="33" t="s">
        <v>2159</v>
      </c>
      <c r="G1149" s="33" t="s">
        <v>1548</v>
      </c>
      <c r="H1149" s="33" t="n">
        <v>1</v>
      </c>
      <c r="I1149" s="33" t="n">
        <v>1</v>
      </c>
      <c r="J1149" s="33" t="n">
        <v>1</v>
      </c>
      <c r="K1149" s="32" t="n">
        <v>300</v>
      </c>
      <c r="L1149" s="33" t="str">
        <f aca="false">IF($B1149="","",IFERROR(INDEX('Code Mapping'!$D$5:$D$1753,MATCH($B1149,'Code Mapping'!$A$5:$A$1753,0)),"Unmapped"))</f>
        <v>Unmapped</v>
      </c>
      <c r="M1149" s="33" t="str">
        <f aca="false">IF($B1149="","",IFERROR(INDEX('Code Mapping'!$E$5:$E$1753,MATCH($B1149,'Code Mapping'!$A$5:$A$1753,0)),"Unmapped"))</f>
        <v>Unmapped</v>
      </c>
      <c r="N1149" s="33" t="str">
        <f aca="false">IF($F1149="","",$F1149)</f>
        <v>InflataRun 2024</v>
      </c>
    </row>
    <row r="1150" customFormat="false" ht="15" hidden="false" customHeight="false" outlineLevel="0" collapsed="false">
      <c r="A1150" s="33" t="n">
        <v>3641</v>
      </c>
      <c r="B1150" s="33" t="s">
        <v>1553</v>
      </c>
      <c r="C1150" s="33" t="s">
        <v>1554</v>
      </c>
      <c r="D1150" s="33"/>
      <c r="E1150" s="33" t="n">
        <v>74</v>
      </c>
      <c r="F1150" s="33" t="s">
        <v>2159</v>
      </c>
      <c r="G1150" s="33" t="s">
        <v>1548</v>
      </c>
      <c r="H1150" s="33" t="n">
        <v>1</v>
      </c>
      <c r="I1150" s="33" t="n">
        <v>1</v>
      </c>
      <c r="J1150" s="33" t="n">
        <v>1</v>
      </c>
      <c r="K1150" s="32" t="n">
        <v>75</v>
      </c>
      <c r="L1150" s="33" t="str">
        <f aca="false">IF($B1150="","",IFERROR(INDEX('Code Mapping'!$D$5:$D$1753,MATCH($B1150,'Code Mapping'!$A$5:$A$1753,0)),"Unmapped"))</f>
        <v>Unmapped</v>
      </c>
      <c r="M1150" s="33" t="str">
        <f aca="false">IF($B1150="","",IFERROR(INDEX('Code Mapping'!$E$5:$E$1753,MATCH($B1150,'Code Mapping'!$A$5:$A$1753,0)),"Unmapped"))</f>
        <v>Unmapped</v>
      </c>
      <c r="N1150" s="33" t="str">
        <f aca="false">IF($F1150="","",$F1150)</f>
        <v>InflataRun 2024</v>
      </c>
    </row>
    <row r="1151" customFormat="false" ht="15" hidden="false" customHeight="false" outlineLevel="0" collapsed="false">
      <c r="A1151" s="33" t="n">
        <v>3625</v>
      </c>
      <c r="B1151" s="33" t="s">
        <v>1556</v>
      </c>
      <c r="C1151" s="33" t="s">
        <v>1554</v>
      </c>
      <c r="D1151" s="33"/>
      <c r="E1151" s="33" t="n">
        <v>74</v>
      </c>
      <c r="F1151" s="33" t="s">
        <v>2159</v>
      </c>
      <c r="G1151" s="33" t="s">
        <v>1548</v>
      </c>
      <c r="H1151" s="33" t="n">
        <v>1</v>
      </c>
      <c r="I1151" s="33" t="n">
        <v>1</v>
      </c>
      <c r="J1151" s="33" t="n">
        <v>1</v>
      </c>
      <c r="K1151" s="32" t="n">
        <v>75</v>
      </c>
      <c r="L1151" s="33" t="str">
        <f aca="false">IF($B1151="","",IFERROR(INDEX('Code Mapping'!$D$5:$D$1753,MATCH($B1151,'Code Mapping'!$A$5:$A$1753,0)),"Unmapped"))</f>
        <v>Unmapped</v>
      </c>
      <c r="M1151" s="33" t="str">
        <f aca="false">IF($B1151="","",IFERROR(INDEX('Code Mapping'!$E$5:$E$1753,MATCH($B1151,'Code Mapping'!$A$5:$A$1753,0)),"Unmapped"))</f>
        <v>Unmapped</v>
      </c>
      <c r="N1151" s="33" t="str">
        <f aca="false">IF($F1151="","",$F1151)</f>
        <v>InflataRun 2024</v>
      </c>
    </row>
    <row r="1152" customFormat="false" ht="15" hidden="false" customHeight="false" outlineLevel="0" collapsed="false">
      <c r="A1152" s="33" t="n">
        <v>4962</v>
      </c>
      <c r="B1152" s="33" t="s">
        <v>1557</v>
      </c>
      <c r="C1152" s="33" t="s">
        <v>1545</v>
      </c>
      <c r="D1152" s="33"/>
      <c r="E1152" s="33" t="n">
        <v>74</v>
      </c>
      <c r="F1152" s="33" t="s">
        <v>2159</v>
      </c>
      <c r="G1152" s="33" t="s">
        <v>1548</v>
      </c>
      <c r="H1152" s="33" t="n">
        <v>1</v>
      </c>
      <c r="I1152" s="33" t="n">
        <v>1</v>
      </c>
      <c r="J1152" s="33" t="n">
        <v>1</v>
      </c>
      <c r="K1152" s="32" t="n">
        <v>300</v>
      </c>
      <c r="L1152" s="33" t="str">
        <f aca="false">IF($B1152="","",IFERROR(INDEX('Code Mapping'!$D$5:$D$1753,MATCH($B1152,'Code Mapping'!$A$5:$A$1753,0)),"Unmapped"))</f>
        <v>Unmapped</v>
      </c>
      <c r="M1152" s="33" t="str">
        <f aca="false">IF($B1152="","",IFERROR(INDEX('Code Mapping'!$E$5:$E$1753,MATCH($B1152,'Code Mapping'!$A$5:$A$1753,0)),"Unmapped"))</f>
        <v>Unmapped</v>
      </c>
      <c r="N1152" s="33" t="str">
        <f aca="false">IF($F1152="","",$F1152)</f>
        <v>InflataRun 2024</v>
      </c>
    </row>
    <row r="1153" customFormat="false" ht="15" hidden="false" customHeight="false" outlineLevel="0" collapsed="false">
      <c r="A1153" s="33" t="n">
        <v>5087</v>
      </c>
      <c r="B1153" s="33" t="s">
        <v>1559</v>
      </c>
      <c r="C1153" s="33" t="s">
        <v>1545</v>
      </c>
      <c r="D1153" s="33"/>
      <c r="E1153" s="33" t="n">
        <v>74</v>
      </c>
      <c r="F1153" s="33" t="s">
        <v>2159</v>
      </c>
      <c r="G1153" s="33" t="s">
        <v>1548</v>
      </c>
      <c r="H1153" s="33" t="n">
        <v>1</v>
      </c>
      <c r="I1153" s="33" t="n">
        <v>1</v>
      </c>
      <c r="J1153" s="33" t="n">
        <v>1</v>
      </c>
      <c r="K1153" s="32" t="n">
        <v>300</v>
      </c>
      <c r="L1153" s="33" t="str">
        <f aca="false">IF($B1153="","",IFERROR(INDEX('Code Mapping'!$D$5:$D$1753,MATCH($B1153,'Code Mapping'!$A$5:$A$1753,0)),"Unmapped"))</f>
        <v>Unmapped</v>
      </c>
      <c r="M1153" s="33" t="str">
        <f aca="false">IF($B1153="","",IFERROR(INDEX('Code Mapping'!$E$5:$E$1753,MATCH($B1153,'Code Mapping'!$A$5:$A$1753,0)),"Unmapped"))</f>
        <v>Unmapped</v>
      </c>
      <c r="N1153" s="33" t="str">
        <f aca="false">IF($F1153="","",$F1153)</f>
        <v>InflataRun 2024</v>
      </c>
    </row>
    <row r="1154" customFormat="false" ht="15" hidden="false" customHeight="false" outlineLevel="0" collapsed="false">
      <c r="A1154" s="33" t="n">
        <v>4935</v>
      </c>
      <c r="B1154" s="33" t="s">
        <v>1560</v>
      </c>
      <c r="C1154" s="33" t="s">
        <v>1545</v>
      </c>
      <c r="D1154" s="33"/>
      <c r="E1154" s="33" t="n">
        <v>74</v>
      </c>
      <c r="F1154" s="33" t="s">
        <v>2159</v>
      </c>
      <c r="G1154" s="33" t="s">
        <v>1548</v>
      </c>
      <c r="H1154" s="33" t="n">
        <v>1</v>
      </c>
      <c r="I1154" s="33" t="n">
        <v>1</v>
      </c>
      <c r="J1154" s="33" t="n">
        <v>1</v>
      </c>
      <c r="K1154" s="32" t="n">
        <v>300</v>
      </c>
      <c r="L1154" s="33" t="str">
        <f aca="false">IF($B1154="","",IFERROR(INDEX('Code Mapping'!$D$5:$D$1753,MATCH($B1154,'Code Mapping'!$A$5:$A$1753,0)),"Unmapped"))</f>
        <v>Unmapped</v>
      </c>
      <c r="M1154" s="33" t="str">
        <f aca="false">IF($B1154="","",IFERROR(INDEX('Code Mapping'!$E$5:$E$1753,MATCH($B1154,'Code Mapping'!$A$5:$A$1753,0)),"Unmapped"))</f>
        <v>Unmapped</v>
      </c>
      <c r="N1154" s="33" t="str">
        <f aca="false">IF($F1154="","",$F1154)</f>
        <v>InflataRun 2024</v>
      </c>
    </row>
    <row r="1155" customFormat="false" ht="15" hidden="false" customHeight="false" outlineLevel="0" collapsed="false">
      <c r="A1155" s="33" t="n">
        <v>4942</v>
      </c>
      <c r="B1155" s="33" t="s">
        <v>1562</v>
      </c>
      <c r="C1155" s="33" t="s">
        <v>1545</v>
      </c>
      <c r="D1155" s="33"/>
      <c r="E1155" s="33" t="n">
        <v>74</v>
      </c>
      <c r="F1155" s="33" t="s">
        <v>2159</v>
      </c>
      <c r="G1155" s="33" t="s">
        <v>1548</v>
      </c>
      <c r="H1155" s="33" t="n">
        <v>1</v>
      </c>
      <c r="I1155" s="33" t="n">
        <v>1</v>
      </c>
      <c r="J1155" s="33" t="n">
        <v>1</v>
      </c>
      <c r="K1155" s="32" t="n">
        <v>300</v>
      </c>
      <c r="L1155" s="33" t="str">
        <f aca="false">IF($B1155="","",IFERROR(INDEX('Code Mapping'!$D$5:$D$1753,MATCH($B1155,'Code Mapping'!$A$5:$A$1753,0)),"Unmapped"))</f>
        <v>Unmapped</v>
      </c>
      <c r="M1155" s="33" t="str">
        <f aca="false">IF($B1155="","",IFERROR(INDEX('Code Mapping'!$E$5:$E$1753,MATCH($B1155,'Code Mapping'!$A$5:$A$1753,0)),"Unmapped"))</f>
        <v>Unmapped</v>
      </c>
      <c r="N1155" s="33" t="str">
        <f aca="false">IF($F1155="","",$F1155)</f>
        <v>InflataRun 2024</v>
      </c>
    </row>
    <row r="1156" customFormat="false" ht="15" hidden="false" customHeight="false" outlineLevel="0" collapsed="false">
      <c r="A1156" s="33" t="n">
        <v>5047</v>
      </c>
      <c r="B1156" s="33" t="s">
        <v>1571</v>
      </c>
      <c r="C1156" s="33" t="s">
        <v>1545</v>
      </c>
      <c r="D1156" s="33"/>
      <c r="E1156" s="33" t="n">
        <v>74</v>
      </c>
      <c r="F1156" s="33" t="s">
        <v>2159</v>
      </c>
      <c r="G1156" s="33" t="s">
        <v>1548</v>
      </c>
      <c r="H1156" s="33" t="n">
        <v>1</v>
      </c>
      <c r="I1156" s="33" t="n">
        <v>1</v>
      </c>
      <c r="J1156" s="33" t="n">
        <v>1</v>
      </c>
      <c r="K1156" s="32" t="n">
        <v>300</v>
      </c>
      <c r="L1156" s="33" t="str">
        <f aca="false">IF($B1156="","",IFERROR(INDEX('Code Mapping'!$D$5:$D$1753,MATCH($B1156,'Code Mapping'!$A$5:$A$1753,0)),"Unmapped"))</f>
        <v>Unmapped</v>
      </c>
      <c r="M1156" s="33" t="str">
        <f aca="false">IF($B1156="","",IFERROR(INDEX('Code Mapping'!$E$5:$E$1753,MATCH($B1156,'Code Mapping'!$A$5:$A$1753,0)),"Unmapped"))</f>
        <v>Unmapped</v>
      </c>
      <c r="N1156" s="33" t="str">
        <f aca="false">IF($F1156="","",$F1156)</f>
        <v>InflataRun 2024</v>
      </c>
    </row>
    <row r="1157" customFormat="false" ht="15" hidden="false" customHeight="false" outlineLevel="0" collapsed="false">
      <c r="A1157" s="33" t="n">
        <v>3582</v>
      </c>
      <c r="B1157" s="33" t="s">
        <v>1563</v>
      </c>
      <c r="C1157" s="33" t="s">
        <v>1554</v>
      </c>
      <c r="D1157" s="33"/>
      <c r="E1157" s="33" t="n">
        <v>74</v>
      </c>
      <c r="F1157" s="33" t="s">
        <v>2159</v>
      </c>
      <c r="G1157" s="33" t="s">
        <v>1548</v>
      </c>
      <c r="H1157" s="33" t="n">
        <v>1</v>
      </c>
      <c r="I1157" s="33" t="n">
        <v>1</v>
      </c>
      <c r="J1157" s="33" t="n">
        <v>1</v>
      </c>
      <c r="K1157" s="32" t="n">
        <v>75</v>
      </c>
      <c r="L1157" s="33" t="str">
        <f aca="false">IF($B1157="","",IFERROR(INDEX('Code Mapping'!$D$5:$D$1753,MATCH($B1157,'Code Mapping'!$A$5:$A$1753,0)),"Unmapped"))</f>
        <v>Unmapped</v>
      </c>
      <c r="M1157" s="33" t="str">
        <f aca="false">IF($B1157="","",IFERROR(INDEX('Code Mapping'!$E$5:$E$1753,MATCH($B1157,'Code Mapping'!$A$5:$A$1753,0)),"Unmapped"))</f>
        <v>Unmapped</v>
      </c>
      <c r="N1157" s="33" t="str">
        <f aca="false">IF($F1157="","",$F1157)</f>
        <v>InflataRun 2024</v>
      </c>
    </row>
    <row r="1158" customFormat="false" ht="15" hidden="false" customHeight="false" outlineLevel="0" collapsed="false">
      <c r="A1158" s="33" t="n">
        <v>4963</v>
      </c>
      <c r="B1158" s="33" t="s">
        <v>1565</v>
      </c>
      <c r="C1158" s="33" t="s">
        <v>1545</v>
      </c>
      <c r="D1158" s="33"/>
      <c r="E1158" s="33" t="n">
        <v>74</v>
      </c>
      <c r="F1158" s="33" t="s">
        <v>2159</v>
      </c>
      <c r="G1158" s="33" t="s">
        <v>1548</v>
      </c>
      <c r="H1158" s="33" t="n">
        <v>1</v>
      </c>
      <c r="I1158" s="33" t="n">
        <v>1</v>
      </c>
      <c r="J1158" s="33" t="n">
        <v>1</v>
      </c>
      <c r="K1158" s="32" t="n">
        <v>300</v>
      </c>
      <c r="L1158" s="33" t="str">
        <f aca="false">IF($B1158="","",IFERROR(INDEX('Code Mapping'!$D$5:$D$1753,MATCH($B1158,'Code Mapping'!$A$5:$A$1753,0)),"Unmapped"))</f>
        <v>Unmapped</v>
      </c>
      <c r="M1158" s="33" t="str">
        <f aca="false">IF($B1158="","",IFERROR(INDEX('Code Mapping'!$E$5:$E$1753,MATCH($B1158,'Code Mapping'!$A$5:$A$1753,0)),"Unmapped"))</f>
        <v>Unmapped</v>
      </c>
      <c r="N1158" s="33" t="str">
        <f aca="false">IF($F1158="","",$F1158)</f>
        <v>InflataRun 2024</v>
      </c>
    </row>
    <row r="1159" customFormat="false" ht="15" hidden="false" customHeight="false" outlineLevel="0" collapsed="false">
      <c r="A1159" s="33" t="n">
        <v>4891</v>
      </c>
      <c r="B1159" s="33" t="s">
        <v>1566</v>
      </c>
      <c r="C1159" s="33" t="s">
        <v>1545</v>
      </c>
      <c r="D1159" s="33"/>
      <c r="E1159" s="33" t="n">
        <v>74</v>
      </c>
      <c r="F1159" s="33" t="s">
        <v>2159</v>
      </c>
      <c r="G1159" s="33" t="s">
        <v>1548</v>
      </c>
      <c r="H1159" s="33" t="n">
        <v>1</v>
      </c>
      <c r="I1159" s="33" t="n">
        <v>1</v>
      </c>
      <c r="J1159" s="33" t="n">
        <v>1</v>
      </c>
      <c r="K1159" s="32" t="n">
        <v>300</v>
      </c>
      <c r="L1159" s="33" t="str">
        <f aca="false">IF($B1159="","",IFERROR(INDEX('Code Mapping'!$D$5:$D$1753,MATCH($B1159,'Code Mapping'!$A$5:$A$1753,0)),"Unmapped"))</f>
        <v>Unmapped</v>
      </c>
      <c r="M1159" s="33" t="str">
        <f aca="false">IF($B1159="","",IFERROR(INDEX('Code Mapping'!$E$5:$E$1753,MATCH($B1159,'Code Mapping'!$A$5:$A$1753,0)),"Unmapped"))</f>
        <v>Unmapped</v>
      </c>
      <c r="N1159" s="33" t="str">
        <f aca="false">IF($F1159="","",$F1159)</f>
        <v>InflataRun 2024</v>
      </c>
    </row>
    <row r="1160" customFormat="false" ht="15" hidden="false" customHeight="false" outlineLevel="0" collapsed="false">
      <c r="A1160" s="33" t="n">
        <v>3640</v>
      </c>
      <c r="B1160" s="33" t="s">
        <v>1567</v>
      </c>
      <c r="C1160" s="33" t="s">
        <v>1554</v>
      </c>
      <c r="D1160" s="33"/>
      <c r="E1160" s="33" t="n">
        <v>74</v>
      </c>
      <c r="F1160" s="33" t="s">
        <v>2159</v>
      </c>
      <c r="G1160" s="33" t="s">
        <v>1548</v>
      </c>
      <c r="H1160" s="33" t="n">
        <v>1</v>
      </c>
      <c r="I1160" s="33" t="n">
        <v>1</v>
      </c>
      <c r="J1160" s="33" t="n">
        <v>1</v>
      </c>
      <c r="K1160" s="32" t="n">
        <v>75</v>
      </c>
      <c r="L1160" s="33" t="str">
        <f aca="false">IF($B1160="","",IFERROR(INDEX('Code Mapping'!$D$5:$D$1753,MATCH($B1160,'Code Mapping'!$A$5:$A$1753,0)),"Unmapped"))</f>
        <v>Unmapped</v>
      </c>
      <c r="M1160" s="33" t="str">
        <f aca="false">IF($B1160="","",IFERROR(INDEX('Code Mapping'!$E$5:$E$1753,MATCH($B1160,'Code Mapping'!$A$5:$A$1753,0)),"Unmapped"))</f>
        <v>Unmapped</v>
      </c>
      <c r="N1160" s="33" t="str">
        <f aca="false">IF($F1160="","",$F1160)</f>
        <v>InflataRun 2024</v>
      </c>
    </row>
    <row r="1161" customFormat="false" ht="15" hidden="false" customHeight="false" outlineLevel="0" collapsed="false">
      <c r="A1161" s="33" t="n">
        <v>4934</v>
      </c>
      <c r="B1161" s="33" t="s">
        <v>1568</v>
      </c>
      <c r="C1161" s="33" t="s">
        <v>1545</v>
      </c>
      <c r="D1161" s="33"/>
      <c r="E1161" s="33" t="n">
        <v>74</v>
      </c>
      <c r="F1161" s="33" t="s">
        <v>2159</v>
      </c>
      <c r="G1161" s="33" t="s">
        <v>1548</v>
      </c>
      <c r="H1161" s="33" t="n">
        <v>1</v>
      </c>
      <c r="I1161" s="33" t="n">
        <v>1</v>
      </c>
      <c r="J1161" s="33" t="n">
        <v>1</v>
      </c>
      <c r="K1161" s="32" t="n">
        <v>300</v>
      </c>
      <c r="L1161" s="33" t="str">
        <f aca="false">IF($B1161="","",IFERROR(INDEX('Code Mapping'!$D$5:$D$1753,MATCH($B1161,'Code Mapping'!$A$5:$A$1753,0)),"Unmapped"))</f>
        <v>Unmapped</v>
      </c>
      <c r="M1161" s="33" t="str">
        <f aca="false">IF($B1161="","",IFERROR(INDEX('Code Mapping'!$E$5:$E$1753,MATCH($B1161,'Code Mapping'!$A$5:$A$1753,0)),"Unmapped"))</f>
        <v>Unmapped</v>
      </c>
      <c r="N1161" s="33" t="str">
        <f aca="false">IF($F1161="","",$F1161)</f>
        <v>InflataRun 2024</v>
      </c>
    </row>
    <row r="1162" customFormat="false" ht="15" hidden="false" customHeight="false" outlineLevel="0" collapsed="false">
      <c r="A1162" s="33" t="n">
        <v>4888</v>
      </c>
      <c r="B1162" s="33" t="s">
        <v>1569</v>
      </c>
      <c r="C1162" s="33" t="s">
        <v>1545</v>
      </c>
      <c r="D1162" s="33"/>
      <c r="E1162" s="33" t="n">
        <v>74</v>
      </c>
      <c r="F1162" s="33" t="s">
        <v>2159</v>
      </c>
      <c r="G1162" s="33" t="s">
        <v>1548</v>
      </c>
      <c r="H1162" s="33" t="n">
        <v>1</v>
      </c>
      <c r="I1162" s="33" t="n">
        <v>1</v>
      </c>
      <c r="J1162" s="33" t="n">
        <v>1</v>
      </c>
      <c r="K1162" s="32" t="n">
        <v>300</v>
      </c>
      <c r="L1162" s="33" t="str">
        <f aca="false">IF($B1162="","",IFERROR(INDEX('Code Mapping'!$D$5:$D$1753,MATCH($B1162,'Code Mapping'!$A$5:$A$1753,0)),"Unmapped"))</f>
        <v>Unmapped</v>
      </c>
      <c r="M1162" s="33" t="str">
        <f aca="false">IF($B1162="","",IFERROR(INDEX('Code Mapping'!$E$5:$E$1753,MATCH($B1162,'Code Mapping'!$A$5:$A$1753,0)),"Unmapped"))</f>
        <v>Unmapped</v>
      </c>
      <c r="N1162" s="33" t="str">
        <f aca="false">IF($F1162="","",$F1162)</f>
        <v>InflataRun 2024</v>
      </c>
    </row>
    <row r="1163" customFormat="false" ht="15" hidden="false" customHeight="false" outlineLevel="0" collapsed="false">
      <c r="A1163" s="33" t="n">
        <v>4958</v>
      </c>
      <c r="B1163" s="33" t="s">
        <v>1570</v>
      </c>
      <c r="C1163" s="33" t="s">
        <v>1545</v>
      </c>
      <c r="D1163" s="33"/>
      <c r="E1163" s="33" t="n">
        <v>74</v>
      </c>
      <c r="F1163" s="33" t="s">
        <v>2159</v>
      </c>
      <c r="G1163" s="33" t="s">
        <v>1548</v>
      </c>
      <c r="H1163" s="33" t="n">
        <v>1</v>
      </c>
      <c r="I1163" s="33" t="n">
        <v>1</v>
      </c>
      <c r="J1163" s="33" t="n">
        <v>1</v>
      </c>
      <c r="K1163" s="32" t="n">
        <v>300</v>
      </c>
      <c r="L1163" s="33" t="str">
        <f aca="false">IF($B1163="","",IFERROR(INDEX('Code Mapping'!$D$5:$D$1753,MATCH($B1163,'Code Mapping'!$A$5:$A$1753,0)),"Unmapped"))</f>
        <v>Unmapped</v>
      </c>
      <c r="M1163" s="33" t="str">
        <f aca="false">IF($B1163="","",IFERROR(INDEX('Code Mapping'!$E$5:$E$1753,MATCH($B1163,'Code Mapping'!$A$5:$A$1753,0)),"Unmapped"))</f>
        <v>Unmapped</v>
      </c>
      <c r="N1163" s="33" t="str">
        <f aca="false">IF($F1163="","",$F1163)</f>
        <v>InflataRun 2024</v>
      </c>
    </row>
    <row r="1164" customFormat="false" ht="15" hidden="false" customHeight="false" outlineLevel="0" collapsed="false">
      <c r="A1164" s="33" t="n">
        <v>4810</v>
      </c>
      <c r="B1164" s="33" t="s">
        <v>1598</v>
      </c>
      <c r="C1164" s="33" t="s">
        <v>1545</v>
      </c>
      <c r="D1164" s="33"/>
      <c r="E1164" s="33" t="n">
        <v>74</v>
      </c>
      <c r="F1164" s="33" t="s">
        <v>2159</v>
      </c>
      <c r="G1164" s="33" t="s">
        <v>1548</v>
      </c>
      <c r="H1164" s="33" t="n">
        <v>1</v>
      </c>
      <c r="I1164" s="33" t="n">
        <v>1</v>
      </c>
      <c r="J1164" s="33" t="n">
        <v>1</v>
      </c>
      <c r="K1164" s="32" t="n">
        <v>300</v>
      </c>
      <c r="L1164" s="33" t="str">
        <f aca="false">IF($B1164="","",IFERROR(INDEX('Code Mapping'!$D$5:$D$1753,MATCH($B1164,'Code Mapping'!$A$5:$A$1753,0)),"Unmapped"))</f>
        <v>Unmapped</v>
      </c>
      <c r="M1164" s="33" t="str">
        <f aca="false">IF($B1164="","",IFERROR(INDEX('Code Mapping'!$E$5:$E$1753,MATCH($B1164,'Code Mapping'!$A$5:$A$1753,0)),"Unmapped"))</f>
        <v>Unmapped</v>
      </c>
      <c r="N1164" s="33" t="str">
        <f aca="false">IF($F1164="","",$F1164)</f>
        <v>InflataRun 2024</v>
      </c>
    </row>
    <row r="1165" customFormat="false" ht="15" hidden="false" customHeight="false" outlineLevel="0" collapsed="false">
      <c r="A1165" s="33" t="n">
        <v>4874</v>
      </c>
      <c r="B1165" s="33" t="s">
        <v>1574</v>
      </c>
      <c r="C1165" s="33" t="s">
        <v>1545</v>
      </c>
      <c r="D1165" s="33"/>
      <c r="E1165" s="33" t="n">
        <v>74</v>
      </c>
      <c r="F1165" s="33" t="s">
        <v>2159</v>
      </c>
      <c r="G1165" s="33" t="s">
        <v>1548</v>
      </c>
      <c r="H1165" s="33" t="n">
        <v>1</v>
      </c>
      <c r="I1165" s="33" t="n">
        <v>1</v>
      </c>
      <c r="J1165" s="33" t="n">
        <v>1</v>
      </c>
      <c r="K1165" s="32" t="n">
        <v>300</v>
      </c>
      <c r="L1165" s="33" t="str">
        <f aca="false">IF($B1165="","",IFERROR(INDEX('Code Mapping'!$D$5:$D$1753,MATCH($B1165,'Code Mapping'!$A$5:$A$1753,0)),"Unmapped"))</f>
        <v>Unmapped</v>
      </c>
      <c r="M1165" s="33" t="str">
        <f aca="false">IF($B1165="","",IFERROR(INDEX('Code Mapping'!$E$5:$E$1753,MATCH($B1165,'Code Mapping'!$A$5:$A$1753,0)),"Unmapped"))</f>
        <v>Unmapped</v>
      </c>
      <c r="N1165" s="33" t="str">
        <f aca="false">IF($F1165="","",$F1165)</f>
        <v>InflataRun 2024</v>
      </c>
    </row>
    <row r="1166" customFormat="false" ht="15" hidden="false" customHeight="false" outlineLevel="0" collapsed="false">
      <c r="A1166" s="33" t="n">
        <v>4957</v>
      </c>
      <c r="B1166" s="33" t="s">
        <v>1600</v>
      </c>
      <c r="C1166" s="33" t="s">
        <v>1545</v>
      </c>
      <c r="D1166" s="33"/>
      <c r="E1166" s="33" t="n">
        <v>74</v>
      </c>
      <c r="F1166" s="33" t="s">
        <v>2159</v>
      </c>
      <c r="G1166" s="33" t="s">
        <v>1548</v>
      </c>
      <c r="H1166" s="33" t="n">
        <v>1</v>
      </c>
      <c r="I1166" s="33" t="n">
        <v>1</v>
      </c>
      <c r="J1166" s="33" t="n">
        <v>1</v>
      </c>
      <c r="K1166" s="32" t="n">
        <v>300</v>
      </c>
      <c r="L1166" s="33" t="str">
        <f aca="false">IF($B1166="","",IFERROR(INDEX('Code Mapping'!$D$5:$D$1753,MATCH($B1166,'Code Mapping'!$A$5:$A$1753,0)),"Unmapped"))</f>
        <v>Unmapped</v>
      </c>
      <c r="M1166" s="33" t="str">
        <f aca="false">IF($B1166="","",IFERROR(INDEX('Code Mapping'!$E$5:$E$1753,MATCH($B1166,'Code Mapping'!$A$5:$A$1753,0)),"Unmapped"))</f>
        <v>Unmapped</v>
      </c>
      <c r="N1166" s="33" t="str">
        <f aca="false">IF($F1166="","",$F1166)</f>
        <v>InflataRun 2024</v>
      </c>
    </row>
    <row r="1167" customFormat="false" ht="15" hidden="false" customHeight="false" outlineLevel="0" collapsed="false">
      <c r="A1167" s="33" t="n">
        <v>4860</v>
      </c>
      <c r="B1167" s="33" t="s">
        <v>1644</v>
      </c>
      <c r="C1167" s="33" t="s">
        <v>1545</v>
      </c>
      <c r="D1167" s="33"/>
      <c r="E1167" s="33" t="n">
        <v>74</v>
      </c>
      <c r="F1167" s="33" t="s">
        <v>2159</v>
      </c>
      <c r="G1167" s="33" t="s">
        <v>1548</v>
      </c>
      <c r="H1167" s="33" t="n">
        <v>1</v>
      </c>
      <c r="I1167" s="33" t="n">
        <v>1</v>
      </c>
      <c r="J1167" s="33" t="n">
        <v>1</v>
      </c>
      <c r="K1167" s="32" t="n">
        <v>300</v>
      </c>
      <c r="L1167" s="33" t="str">
        <f aca="false">IF($B1167="","",IFERROR(INDEX('Code Mapping'!$D$5:$D$1753,MATCH($B1167,'Code Mapping'!$A$5:$A$1753,0)),"Unmapped"))</f>
        <v>Unmapped</v>
      </c>
      <c r="M1167" s="33" t="str">
        <f aca="false">IF($B1167="","",IFERROR(INDEX('Code Mapping'!$E$5:$E$1753,MATCH($B1167,'Code Mapping'!$A$5:$A$1753,0)),"Unmapped"))</f>
        <v>Unmapped</v>
      </c>
      <c r="N1167" s="33" t="str">
        <f aca="false">IF($F1167="","",$F1167)</f>
        <v>InflataRun 2024</v>
      </c>
    </row>
    <row r="1168" customFormat="false" ht="15" hidden="false" customHeight="false" outlineLevel="0" collapsed="false">
      <c r="A1168" s="33" t="n">
        <v>3631</v>
      </c>
      <c r="B1168" s="33" t="s">
        <v>1635</v>
      </c>
      <c r="C1168" s="33" t="s">
        <v>1554</v>
      </c>
      <c r="D1168" s="33"/>
      <c r="E1168" s="33" t="n">
        <v>74</v>
      </c>
      <c r="F1168" s="33" t="s">
        <v>2159</v>
      </c>
      <c r="G1168" s="33" t="s">
        <v>1548</v>
      </c>
      <c r="H1168" s="33" t="n">
        <v>1</v>
      </c>
      <c r="I1168" s="33" t="n">
        <v>1</v>
      </c>
      <c r="J1168" s="33" t="n">
        <v>1</v>
      </c>
      <c r="K1168" s="32" t="n">
        <v>75</v>
      </c>
      <c r="L1168" s="33" t="str">
        <f aca="false">IF($B1168="","",IFERROR(INDEX('Code Mapping'!$D$5:$D$1753,MATCH($B1168,'Code Mapping'!$A$5:$A$1753,0)),"Unmapped"))</f>
        <v>Unmapped</v>
      </c>
      <c r="M1168" s="33" t="str">
        <f aca="false">IF($B1168="","",IFERROR(INDEX('Code Mapping'!$E$5:$E$1753,MATCH($B1168,'Code Mapping'!$A$5:$A$1753,0)),"Unmapped"))</f>
        <v>Unmapped</v>
      </c>
      <c r="N1168" s="33" t="str">
        <f aca="false">IF($F1168="","",$F1168)</f>
        <v>InflataRun 2024</v>
      </c>
    </row>
    <row r="1169" customFormat="false" ht="15" hidden="false" customHeight="false" outlineLevel="0" collapsed="false">
      <c r="A1169" s="33" t="n">
        <v>4912</v>
      </c>
      <c r="B1169" s="33" t="s">
        <v>1636</v>
      </c>
      <c r="C1169" s="33" t="s">
        <v>1545</v>
      </c>
      <c r="D1169" s="33"/>
      <c r="E1169" s="33" t="n">
        <v>74</v>
      </c>
      <c r="F1169" s="33" t="s">
        <v>2159</v>
      </c>
      <c r="G1169" s="33" t="s">
        <v>1548</v>
      </c>
      <c r="H1169" s="33" t="n">
        <v>1</v>
      </c>
      <c r="I1169" s="33" t="n">
        <v>1</v>
      </c>
      <c r="J1169" s="33" t="n">
        <v>1</v>
      </c>
      <c r="K1169" s="32" t="n">
        <v>300</v>
      </c>
      <c r="L1169" s="33" t="str">
        <f aca="false">IF($B1169="","",IFERROR(INDEX('Code Mapping'!$D$5:$D$1753,MATCH($B1169,'Code Mapping'!$A$5:$A$1753,0)),"Unmapped"))</f>
        <v>Unmapped</v>
      </c>
      <c r="M1169" s="33" t="str">
        <f aca="false">IF($B1169="","",IFERROR(INDEX('Code Mapping'!$E$5:$E$1753,MATCH($B1169,'Code Mapping'!$A$5:$A$1753,0)),"Unmapped"))</f>
        <v>Unmapped</v>
      </c>
      <c r="N1169" s="33" t="str">
        <f aca="false">IF($F1169="","",$F1169)</f>
        <v>InflataRun 2024</v>
      </c>
    </row>
    <row r="1170" customFormat="false" ht="15" hidden="false" customHeight="false" outlineLevel="0" collapsed="false">
      <c r="A1170" s="33" t="n">
        <v>5088</v>
      </c>
      <c r="B1170" s="33" t="s">
        <v>1637</v>
      </c>
      <c r="C1170" s="33" t="s">
        <v>1545</v>
      </c>
      <c r="D1170" s="33"/>
      <c r="E1170" s="33" t="n">
        <v>74</v>
      </c>
      <c r="F1170" s="33" t="s">
        <v>2159</v>
      </c>
      <c r="G1170" s="33" t="s">
        <v>1548</v>
      </c>
      <c r="H1170" s="33" t="n">
        <v>1</v>
      </c>
      <c r="I1170" s="33" t="n">
        <v>1</v>
      </c>
      <c r="J1170" s="33" t="n">
        <v>1</v>
      </c>
      <c r="K1170" s="32" t="n">
        <v>300</v>
      </c>
      <c r="L1170" s="33" t="str">
        <f aca="false">IF($B1170="","",IFERROR(INDEX('Code Mapping'!$D$5:$D$1753,MATCH($B1170,'Code Mapping'!$A$5:$A$1753,0)),"Unmapped"))</f>
        <v>Unmapped</v>
      </c>
      <c r="M1170" s="33" t="str">
        <f aca="false">IF($B1170="","",IFERROR(INDEX('Code Mapping'!$E$5:$E$1753,MATCH($B1170,'Code Mapping'!$A$5:$A$1753,0)),"Unmapped"))</f>
        <v>Unmapped</v>
      </c>
      <c r="N1170" s="33" t="str">
        <f aca="false">IF($F1170="","",$F1170)</f>
        <v>InflataRun 2024</v>
      </c>
    </row>
    <row r="1171" customFormat="false" ht="15" hidden="false" customHeight="false" outlineLevel="0" collapsed="false">
      <c r="A1171" s="33" t="n">
        <v>3594</v>
      </c>
      <c r="B1171" s="33" t="s">
        <v>1638</v>
      </c>
      <c r="C1171" s="33" t="s">
        <v>1554</v>
      </c>
      <c r="D1171" s="33"/>
      <c r="E1171" s="33" t="n">
        <v>74</v>
      </c>
      <c r="F1171" s="33" t="s">
        <v>2159</v>
      </c>
      <c r="G1171" s="33" t="s">
        <v>1548</v>
      </c>
      <c r="H1171" s="33" t="n">
        <v>1</v>
      </c>
      <c r="I1171" s="33" t="n">
        <v>1</v>
      </c>
      <c r="J1171" s="33" t="n">
        <v>1</v>
      </c>
      <c r="K1171" s="32" t="n">
        <v>75</v>
      </c>
      <c r="L1171" s="33" t="str">
        <f aca="false">IF($B1171="","",IFERROR(INDEX('Code Mapping'!$D$5:$D$1753,MATCH($B1171,'Code Mapping'!$A$5:$A$1753,0)),"Unmapped"))</f>
        <v>Unmapped</v>
      </c>
      <c r="M1171" s="33" t="str">
        <f aca="false">IF($B1171="","",IFERROR(INDEX('Code Mapping'!$E$5:$E$1753,MATCH($B1171,'Code Mapping'!$A$5:$A$1753,0)),"Unmapped"))</f>
        <v>Unmapped</v>
      </c>
      <c r="N1171" s="33" t="str">
        <f aca="false">IF($F1171="","",$F1171)</f>
        <v>InflataRun 2024</v>
      </c>
    </row>
    <row r="1172" customFormat="false" ht="15" hidden="false" customHeight="false" outlineLevel="0" collapsed="false">
      <c r="A1172" s="33" t="n">
        <v>4967</v>
      </c>
      <c r="B1172" s="33" t="s">
        <v>1639</v>
      </c>
      <c r="C1172" s="33" t="s">
        <v>1545</v>
      </c>
      <c r="D1172" s="33"/>
      <c r="E1172" s="33" t="n">
        <v>74</v>
      </c>
      <c r="F1172" s="33" t="s">
        <v>2159</v>
      </c>
      <c r="G1172" s="33" t="s">
        <v>1548</v>
      </c>
      <c r="H1172" s="33" t="n">
        <v>1</v>
      </c>
      <c r="I1172" s="33" t="n">
        <v>1</v>
      </c>
      <c r="J1172" s="33" t="n">
        <v>1</v>
      </c>
      <c r="K1172" s="32" t="n">
        <v>300</v>
      </c>
      <c r="L1172" s="33" t="str">
        <f aca="false">IF($B1172="","",IFERROR(INDEX('Code Mapping'!$D$5:$D$1753,MATCH($B1172,'Code Mapping'!$A$5:$A$1753,0)),"Unmapped"))</f>
        <v>Unmapped</v>
      </c>
      <c r="M1172" s="33" t="str">
        <f aca="false">IF($B1172="","",IFERROR(INDEX('Code Mapping'!$E$5:$E$1753,MATCH($B1172,'Code Mapping'!$A$5:$A$1753,0)),"Unmapped"))</f>
        <v>Unmapped</v>
      </c>
      <c r="N1172" s="33" t="str">
        <f aca="false">IF($F1172="","",$F1172)</f>
        <v>InflataRun 2024</v>
      </c>
    </row>
    <row r="1173" customFormat="false" ht="15" hidden="false" customHeight="false" outlineLevel="0" collapsed="false">
      <c r="A1173" s="33" t="n">
        <v>4933</v>
      </c>
      <c r="B1173" s="33" t="s">
        <v>1640</v>
      </c>
      <c r="C1173" s="33" t="s">
        <v>1545</v>
      </c>
      <c r="D1173" s="33"/>
      <c r="E1173" s="33" t="n">
        <v>74</v>
      </c>
      <c r="F1173" s="33" t="s">
        <v>2159</v>
      </c>
      <c r="G1173" s="33" t="s">
        <v>1548</v>
      </c>
      <c r="H1173" s="33" t="n">
        <v>1</v>
      </c>
      <c r="I1173" s="33" t="n">
        <v>1</v>
      </c>
      <c r="J1173" s="33" t="n">
        <v>1</v>
      </c>
      <c r="K1173" s="32" t="n">
        <v>300</v>
      </c>
      <c r="L1173" s="33" t="str">
        <f aca="false">IF($B1173="","",IFERROR(INDEX('Code Mapping'!$D$5:$D$1753,MATCH($B1173,'Code Mapping'!$A$5:$A$1753,0)),"Unmapped"))</f>
        <v>Unmapped</v>
      </c>
      <c r="M1173" s="33" t="str">
        <f aca="false">IF($B1173="","",IFERROR(INDEX('Code Mapping'!$E$5:$E$1753,MATCH($B1173,'Code Mapping'!$A$5:$A$1753,0)),"Unmapped"))</f>
        <v>Unmapped</v>
      </c>
      <c r="N1173" s="33" t="str">
        <f aca="false">IF($F1173="","",$F1173)</f>
        <v>InflataRun 2024</v>
      </c>
    </row>
    <row r="1174" customFormat="false" ht="15" hidden="false" customHeight="false" outlineLevel="0" collapsed="false">
      <c r="A1174" s="33" t="n">
        <v>4787</v>
      </c>
      <c r="B1174" s="33" t="s">
        <v>1642</v>
      </c>
      <c r="C1174" s="33" t="s">
        <v>1545</v>
      </c>
      <c r="D1174" s="33"/>
      <c r="E1174" s="33" t="n">
        <v>74</v>
      </c>
      <c r="F1174" s="33" t="s">
        <v>2159</v>
      </c>
      <c r="G1174" s="33" t="s">
        <v>1548</v>
      </c>
      <c r="H1174" s="33" t="n">
        <v>1</v>
      </c>
      <c r="I1174" s="33" t="n">
        <v>1</v>
      </c>
      <c r="J1174" s="33" t="n">
        <v>1</v>
      </c>
      <c r="K1174" s="32" t="n">
        <v>300</v>
      </c>
      <c r="L1174" s="33" t="str">
        <f aca="false">IF($B1174="","",IFERROR(INDEX('Code Mapping'!$D$5:$D$1753,MATCH($B1174,'Code Mapping'!$A$5:$A$1753,0)),"Unmapped"))</f>
        <v>Unmapped</v>
      </c>
      <c r="M1174" s="33" t="str">
        <f aca="false">IF($B1174="","",IFERROR(INDEX('Code Mapping'!$E$5:$E$1753,MATCH($B1174,'Code Mapping'!$A$5:$A$1753,0)),"Unmapped"))</f>
        <v>Unmapped</v>
      </c>
      <c r="N1174" s="33" t="str">
        <f aca="false">IF($F1174="","",$F1174)</f>
        <v>InflataRun 2024</v>
      </c>
    </row>
    <row r="1175" customFormat="false" ht="15" hidden="false" customHeight="false" outlineLevel="0" collapsed="false">
      <c r="A1175" s="33" t="n">
        <v>4954</v>
      </c>
      <c r="B1175" s="33" t="s">
        <v>1645</v>
      </c>
      <c r="C1175" s="33" t="s">
        <v>1545</v>
      </c>
      <c r="D1175" s="33"/>
      <c r="E1175" s="33" t="n">
        <v>74</v>
      </c>
      <c r="F1175" s="33" t="s">
        <v>2159</v>
      </c>
      <c r="G1175" s="33" t="s">
        <v>1548</v>
      </c>
      <c r="H1175" s="33" t="n">
        <v>1</v>
      </c>
      <c r="I1175" s="33" t="n">
        <v>1</v>
      </c>
      <c r="J1175" s="33" t="n">
        <v>1</v>
      </c>
      <c r="K1175" s="32" t="n">
        <v>300</v>
      </c>
      <c r="L1175" s="33" t="str">
        <f aca="false">IF($B1175="","",IFERROR(INDEX('Code Mapping'!$D$5:$D$1753,MATCH($B1175,'Code Mapping'!$A$5:$A$1753,0)),"Unmapped"))</f>
        <v>Unmapped</v>
      </c>
      <c r="M1175" s="33" t="str">
        <f aca="false">IF($B1175="","",IFERROR(INDEX('Code Mapping'!$E$5:$E$1753,MATCH($B1175,'Code Mapping'!$A$5:$A$1753,0)),"Unmapped"))</f>
        <v>Unmapped</v>
      </c>
      <c r="N1175" s="33" t="str">
        <f aca="false">IF($F1175="","",$F1175)</f>
        <v>InflataRun 2024</v>
      </c>
    </row>
    <row r="1176" customFormat="false" ht="15" hidden="false" customHeight="false" outlineLevel="0" collapsed="false">
      <c r="A1176" s="33" t="n">
        <v>4854</v>
      </c>
      <c r="B1176" s="33" t="s">
        <v>1630</v>
      </c>
      <c r="C1176" s="33" t="s">
        <v>1545</v>
      </c>
      <c r="D1176" s="33"/>
      <c r="E1176" s="33" t="n">
        <v>74</v>
      </c>
      <c r="F1176" s="33" t="s">
        <v>2159</v>
      </c>
      <c r="G1176" s="33" t="s">
        <v>1548</v>
      </c>
      <c r="H1176" s="33" t="n">
        <v>1</v>
      </c>
      <c r="I1176" s="33" t="n">
        <v>1</v>
      </c>
      <c r="J1176" s="33" t="n">
        <v>1</v>
      </c>
      <c r="K1176" s="32" t="n">
        <v>300</v>
      </c>
      <c r="L1176" s="33" t="str">
        <f aca="false">IF($B1176="","",IFERROR(INDEX('Code Mapping'!$D$5:$D$1753,MATCH($B1176,'Code Mapping'!$A$5:$A$1753,0)),"Unmapped"))</f>
        <v>Unmapped</v>
      </c>
      <c r="M1176" s="33" t="str">
        <f aca="false">IF($B1176="","",IFERROR(INDEX('Code Mapping'!$E$5:$E$1753,MATCH($B1176,'Code Mapping'!$A$5:$A$1753,0)),"Unmapped"))</f>
        <v>Unmapped</v>
      </c>
      <c r="N1176" s="33" t="str">
        <f aca="false">IF($F1176="","",$F1176)</f>
        <v>InflataRun 2024</v>
      </c>
    </row>
    <row r="1177" customFormat="false" ht="15" hidden="false" customHeight="false" outlineLevel="0" collapsed="false">
      <c r="A1177" s="33" t="n">
        <v>5078</v>
      </c>
      <c r="B1177" s="33" t="s">
        <v>1646</v>
      </c>
      <c r="C1177" s="33" t="s">
        <v>1545</v>
      </c>
      <c r="D1177" s="33"/>
      <c r="E1177" s="33" t="n">
        <v>74</v>
      </c>
      <c r="F1177" s="33" t="s">
        <v>2159</v>
      </c>
      <c r="G1177" s="33" t="s">
        <v>1548</v>
      </c>
      <c r="H1177" s="33" t="n">
        <v>1</v>
      </c>
      <c r="I1177" s="33" t="n">
        <v>1</v>
      </c>
      <c r="J1177" s="33" t="n">
        <v>1</v>
      </c>
      <c r="K1177" s="32" t="n">
        <v>300</v>
      </c>
      <c r="L1177" s="33" t="str">
        <f aca="false">IF($B1177="","",IFERROR(INDEX('Code Mapping'!$D$5:$D$1753,MATCH($B1177,'Code Mapping'!$A$5:$A$1753,0)),"Unmapped"))</f>
        <v>Unmapped</v>
      </c>
      <c r="M1177" s="33" t="str">
        <f aca="false">IF($B1177="","",IFERROR(INDEX('Code Mapping'!$E$5:$E$1753,MATCH($B1177,'Code Mapping'!$A$5:$A$1753,0)),"Unmapped"))</f>
        <v>Unmapped</v>
      </c>
      <c r="N1177" s="33" t="str">
        <f aca="false">IF($F1177="","",$F1177)</f>
        <v>InflataRun 2024</v>
      </c>
    </row>
    <row r="1178" customFormat="false" ht="15" hidden="false" customHeight="false" outlineLevel="0" collapsed="false">
      <c r="A1178" s="33" t="n">
        <v>5050</v>
      </c>
      <c r="B1178" s="33" t="s">
        <v>1647</v>
      </c>
      <c r="C1178" s="33" t="s">
        <v>1545</v>
      </c>
      <c r="D1178" s="33"/>
      <c r="E1178" s="33" t="n">
        <v>74</v>
      </c>
      <c r="F1178" s="33" t="s">
        <v>2159</v>
      </c>
      <c r="G1178" s="33" t="s">
        <v>1548</v>
      </c>
      <c r="H1178" s="33" t="n">
        <v>1</v>
      </c>
      <c r="I1178" s="33" t="n">
        <v>1</v>
      </c>
      <c r="J1178" s="33" t="n">
        <v>1</v>
      </c>
      <c r="K1178" s="32" t="n">
        <v>300</v>
      </c>
      <c r="L1178" s="33" t="str">
        <f aca="false">IF($B1178="","",IFERROR(INDEX('Code Mapping'!$D$5:$D$1753,MATCH($B1178,'Code Mapping'!$A$5:$A$1753,0)),"Unmapped"))</f>
        <v>Unmapped</v>
      </c>
      <c r="M1178" s="33" t="str">
        <f aca="false">IF($B1178="","",IFERROR(INDEX('Code Mapping'!$E$5:$E$1753,MATCH($B1178,'Code Mapping'!$A$5:$A$1753,0)),"Unmapped"))</f>
        <v>Unmapped</v>
      </c>
      <c r="N1178" s="33" t="str">
        <f aca="false">IF($F1178="","",$F1178)</f>
        <v>InflataRun 2024</v>
      </c>
    </row>
    <row r="1179" customFormat="false" ht="15" hidden="false" customHeight="false" outlineLevel="0" collapsed="false">
      <c r="A1179" s="33" t="n">
        <v>4947</v>
      </c>
      <c r="B1179" s="33" t="s">
        <v>1649</v>
      </c>
      <c r="C1179" s="33" t="s">
        <v>1545</v>
      </c>
      <c r="D1179" s="33"/>
      <c r="E1179" s="33" t="n">
        <v>74</v>
      </c>
      <c r="F1179" s="33" t="s">
        <v>2159</v>
      </c>
      <c r="G1179" s="33" t="s">
        <v>1548</v>
      </c>
      <c r="H1179" s="33" t="n">
        <v>1</v>
      </c>
      <c r="I1179" s="33" t="n">
        <v>1</v>
      </c>
      <c r="J1179" s="33" t="n">
        <v>1</v>
      </c>
      <c r="K1179" s="32" t="n">
        <v>300</v>
      </c>
      <c r="L1179" s="33" t="str">
        <f aca="false">IF($B1179="","",IFERROR(INDEX('Code Mapping'!$D$5:$D$1753,MATCH($B1179,'Code Mapping'!$A$5:$A$1753,0)),"Unmapped"))</f>
        <v>Unmapped</v>
      </c>
      <c r="M1179" s="33" t="str">
        <f aca="false">IF($B1179="","",IFERROR(INDEX('Code Mapping'!$E$5:$E$1753,MATCH($B1179,'Code Mapping'!$A$5:$A$1753,0)),"Unmapped"))</f>
        <v>Unmapped</v>
      </c>
      <c r="N1179" s="33" t="str">
        <f aca="false">IF($F1179="","",$F1179)</f>
        <v>InflataRun 2024</v>
      </c>
    </row>
    <row r="1180" customFormat="false" ht="15" hidden="false" customHeight="false" outlineLevel="0" collapsed="false">
      <c r="A1180" s="33" t="n">
        <v>4946</v>
      </c>
      <c r="B1180" s="33" t="s">
        <v>1650</v>
      </c>
      <c r="C1180" s="33" t="s">
        <v>1545</v>
      </c>
      <c r="D1180" s="33"/>
      <c r="E1180" s="33" t="n">
        <v>74</v>
      </c>
      <c r="F1180" s="33" t="s">
        <v>2159</v>
      </c>
      <c r="G1180" s="33" t="s">
        <v>1548</v>
      </c>
      <c r="H1180" s="33" t="n">
        <v>1</v>
      </c>
      <c r="I1180" s="33" t="n">
        <v>1</v>
      </c>
      <c r="J1180" s="33" t="n">
        <v>1</v>
      </c>
      <c r="K1180" s="32" t="n">
        <v>300</v>
      </c>
      <c r="L1180" s="33" t="str">
        <f aca="false">IF($B1180="","",IFERROR(INDEX('Code Mapping'!$D$5:$D$1753,MATCH($B1180,'Code Mapping'!$A$5:$A$1753,0)),"Unmapped"))</f>
        <v>Unmapped</v>
      </c>
      <c r="M1180" s="33" t="str">
        <f aca="false">IF($B1180="","",IFERROR(INDEX('Code Mapping'!$E$5:$E$1753,MATCH($B1180,'Code Mapping'!$A$5:$A$1753,0)),"Unmapped"))</f>
        <v>Unmapped</v>
      </c>
      <c r="N1180" s="33" t="str">
        <f aca="false">IF($F1180="","",$F1180)</f>
        <v>InflataRun 2024</v>
      </c>
    </row>
    <row r="1181" customFormat="false" ht="15" hidden="false" customHeight="false" outlineLevel="0" collapsed="false">
      <c r="A1181" s="33" t="n">
        <v>4833</v>
      </c>
      <c r="B1181" s="33" t="s">
        <v>1652</v>
      </c>
      <c r="C1181" s="33" t="s">
        <v>1545</v>
      </c>
      <c r="D1181" s="33"/>
      <c r="E1181" s="33" t="n">
        <v>74</v>
      </c>
      <c r="F1181" s="33" t="s">
        <v>2159</v>
      </c>
      <c r="G1181" s="33" t="s">
        <v>1548</v>
      </c>
      <c r="H1181" s="33" t="n">
        <v>1</v>
      </c>
      <c r="I1181" s="33" t="n">
        <v>1</v>
      </c>
      <c r="J1181" s="33" t="n">
        <v>1</v>
      </c>
      <c r="K1181" s="32" t="n">
        <v>300</v>
      </c>
      <c r="L1181" s="33" t="str">
        <f aca="false">IF($B1181="","",IFERROR(INDEX('Code Mapping'!$D$5:$D$1753,MATCH($B1181,'Code Mapping'!$A$5:$A$1753,0)),"Unmapped"))</f>
        <v>Unmapped</v>
      </c>
      <c r="M1181" s="33" t="str">
        <f aca="false">IF($B1181="","",IFERROR(INDEX('Code Mapping'!$E$5:$E$1753,MATCH($B1181,'Code Mapping'!$A$5:$A$1753,0)),"Unmapped"))</f>
        <v>Unmapped</v>
      </c>
      <c r="N1181" s="33" t="str">
        <f aca="false">IF($F1181="","",$F1181)</f>
        <v>InflataRun 2024</v>
      </c>
    </row>
    <row r="1182" customFormat="false" ht="15" hidden="false" customHeight="false" outlineLevel="0" collapsed="false">
      <c r="A1182" s="33" t="n">
        <v>4873</v>
      </c>
      <c r="B1182" s="33" t="s">
        <v>1655</v>
      </c>
      <c r="C1182" s="33" t="s">
        <v>1545</v>
      </c>
      <c r="D1182" s="33"/>
      <c r="E1182" s="33" t="n">
        <v>74</v>
      </c>
      <c r="F1182" s="33" t="s">
        <v>2159</v>
      </c>
      <c r="G1182" s="33" t="s">
        <v>1548</v>
      </c>
      <c r="H1182" s="33" t="n">
        <v>1</v>
      </c>
      <c r="I1182" s="33" t="n">
        <v>1</v>
      </c>
      <c r="J1182" s="33" t="n">
        <v>1</v>
      </c>
      <c r="K1182" s="32" t="n">
        <v>300</v>
      </c>
      <c r="L1182" s="33" t="str">
        <f aca="false">IF($B1182="","",IFERROR(INDEX('Code Mapping'!$D$5:$D$1753,MATCH($B1182,'Code Mapping'!$A$5:$A$1753,0)),"Unmapped"))</f>
        <v>Unmapped</v>
      </c>
      <c r="M1182" s="33" t="str">
        <f aca="false">IF($B1182="","",IFERROR(INDEX('Code Mapping'!$E$5:$E$1753,MATCH($B1182,'Code Mapping'!$A$5:$A$1753,0)),"Unmapped"))</f>
        <v>Unmapped</v>
      </c>
      <c r="N1182" s="33" t="str">
        <f aca="false">IF($F1182="","",$F1182)</f>
        <v>InflataRun 2024</v>
      </c>
    </row>
    <row r="1183" customFormat="false" ht="15" hidden="false" customHeight="false" outlineLevel="0" collapsed="false">
      <c r="A1183" s="33" t="n">
        <v>5083</v>
      </c>
      <c r="B1183" s="33" t="s">
        <v>1601</v>
      </c>
      <c r="C1183" s="33" t="s">
        <v>1545</v>
      </c>
      <c r="D1183" s="33"/>
      <c r="E1183" s="33" t="n">
        <v>74</v>
      </c>
      <c r="F1183" s="33" t="s">
        <v>2159</v>
      </c>
      <c r="G1183" s="33" t="s">
        <v>1548</v>
      </c>
      <c r="H1183" s="33" t="n">
        <v>1</v>
      </c>
      <c r="I1183" s="33" t="n">
        <v>1</v>
      </c>
      <c r="J1183" s="33" t="n">
        <v>1</v>
      </c>
      <c r="K1183" s="32" t="n">
        <v>300</v>
      </c>
      <c r="L1183" s="33" t="str">
        <f aca="false">IF($B1183="","",IFERROR(INDEX('Code Mapping'!$D$5:$D$1753,MATCH($B1183,'Code Mapping'!$A$5:$A$1753,0)),"Unmapped"))</f>
        <v>Unmapped</v>
      </c>
      <c r="M1183" s="33" t="str">
        <f aca="false">IF($B1183="","",IFERROR(INDEX('Code Mapping'!$E$5:$E$1753,MATCH($B1183,'Code Mapping'!$A$5:$A$1753,0)),"Unmapped"))</f>
        <v>Unmapped</v>
      </c>
      <c r="N1183" s="33" t="str">
        <f aca="false">IF($F1183="","",$F1183)</f>
        <v>InflataRun 2024</v>
      </c>
    </row>
    <row r="1184" customFormat="false" ht="15" hidden="false" customHeight="false" outlineLevel="0" collapsed="false">
      <c r="A1184" s="33" t="n">
        <v>4887</v>
      </c>
      <c r="B1184" s="33" t="s">
        <v>1633</v>
      </c>
      <c r="C1184" s="33" t="s">
        <v>1545</v>
      </c>
      <c r="D1184" s="33"/>
      <c r="E1184" s="33" t="n">
        <v>74</v>
      </c>
      <c r="F1184" s="33" t="s">
        <v>2159</v>
      </c>
      <c r="G1184" s="33" t="s">
        <v>1548</v>
      </c>
      <c r="H1184" s="33" t="n">
        <v>1</v>
      </c>
      <c r="I1184" s="33" t="n">
        <v>1</v>
      </c>
      <c r="J1184" s="33" t="n">
        <v>1</v>
      </c>
      <c r="K1184" s="32" t="n">
        <v>300</v>
      </c>
      <c r="L1184" s="33" t="str">
        <f aca="false">IF($B1184="","",IFERROR(INDEX('Code Mapping'!$D$5:$D$1753,MATCH($B1184,'Code Mapping'!$A$5:$A$1753,0)),"Unmapped"))</f>
        <v>Unmapped</v>
      </c>
      <c r="M1184" s="33" t="str">
        <f aca="false">IF($B1184="","",IFERROR(INDEX('Code Mapping'!$E$5:$E$1753,MATCH($B1184,'Code Mapping'!$A$5:$A$1753,0)),"Unmapped"))</f>
        <v>Unmapped</v>
      </c>
      <c r="N1184" s="33" t="str">
        <f aca="false">IF($F1184="","",$F1184)</f>
        <v>InflataRun 2024</v>
      </c>
    </row>
    <row r="1185" customFormat="false" ht="15" hidden="false" customHeight="false" outlineLevel="0" collapsed="false">
      <c r="A1185" s="33" t="n">
        <v>5084</v>
      </c>
      <c r="B1185" s="33" t="s">
        <v>1641</v>
      </c>
      <c r="C1185" s="33" t="s">
        <v>1545</v>
      </c>
      <c r="D1185" s="33"/>
      <c r="E1185" s="33" t="n">
        <v>74</v>
      </c>
      <c r="F1185" s="33" t="s">
        <v>2159</v>
      </c>
      <c r="G1185" s="33" t="s">
        <v>1548</v>
      </c>
      <c r="H1185" s="33" t="n">
        <v>1</v>
      </c>
      <c r="I1185" s="33" t="n">
        <v>1</v>
      </c>
      <c r="J1185" s="33" t="n">
        <v>1</v>
      </c>
      <c r="K1185" s="32" t="n">
        <v>300</v>
      </c>
      <c r="L1185" s="33" t="str">
        <f aca="false">IF($B1185="","",IFERROR(INDEX('Code Mapping'!$D$5:$D$1753,MATCH($B1185,'Code Mapping'!$A$5:$A$1753,0)),"Unmapped"))</f>
        <v>Unmapped</v>
      </c>
      <c r="M1185" s="33" t="str">
        <f aca="false">IF($B1185="","",IFERROR(INDEX('Code Mapping'!$E$5:$E$1753,MATCH($B1185,'Code Mapping'!$A$5:$A$1753,0)),"Unmapped"))</f>
        <v>Unmapped</v>
      </c>
      <c r="N1185" s="33" t="str">
        <f aca="false">IF($F1185="","",$F1185)</f>
        <v>InflataRun 2024</v>
      </c>
    </row>
    <row r="1186" customFormat="false" ht="15" hidden="false" customHeight="false" outlineLevel="0" collapsed="false">
      <c r="A1186" s="33" t="n">
        <v>4964</v>
      </c>
      <c r="B1186" s="33" t="s">
        <v>1629</v>
      </c>
      <c r="C1186" s="33" t="s">
        <v>1545</v>
      </c>
      <c r="D1186" s="33"/>
      <c r="E1186" s="33" t="n">
        <v>74</v>
      </c>
      <c r="F1186" s="33" t="s">
        <v>2159</v>
      </c>
      <c r="G1186" s="33" t="s">
        <v>1548</v>
      </c>
      <c r="H1186" s="33" t="n">
        <v>1</v>
      </c>
      <c r="I1186" s="33" t="n">
        <v>1</v>
      </c>
      <c r="J1186" s="33" t="n">
        <v>1</v>
      </c>
      <c r="K1186" s="32" t="n">
        <v>300</v>
      </c>
      <c r="L1186" s="33" t="str">
        <f aca="false">IF($B1186="","",IFERROR(INDEX('Code Mapping'!$D$5:$D$1753,MATCH($B1186,'Code Mapping'!$A$5:$A$1753,0)),"Unmapped"))</f>
        <v>Unmapped</v>
      </c>
      <c r="M1186" s="33" t="str">
        <f aca="false">IF($B1186="","",IFERROR(INDEX('Code Mapping'!$E$5:$E$1753,MATCH($B1186,'Code Mapping'!$A$5:$A$1753,0)),"Unmapped"))</f>
        <v>Unmapped</v>
      </c>
      <c r="N1186" s="33" t="str">
        <f aca="false">IF($F1186="","",$F1186)</f>
        <v>InflataRun 2024</v>
      </c>
    </row>
    <row r="1187" customFormat="false" ht="15" hidden="false" customHeight="false" outlineLevel="0" collapsed="false">
      <c r="A1187" s="33" t="n">
        <v>3637</v>
      </c>
      <c r="B1187" s="33" t="s">
        <v>1618</v>
      </c>
      <c r="C1187" s="33" t="s">
        <v>1554</v>
      </c>
      <c r="D1187" s="33"/>
      <c r="E1187" s="33" t="n">
        <v>74</v>
      </c>
      <c r="F1187" s="33" t="s">
        <v>2159</v>
      </c>
      <c r="G1187" s="33" t="s">
        <v>1548</v>
      </c>
      <c r="H1187" s="33" t="n">
        <v>1</v>
      </c>
      <c r="I1187" s="33" t="n">
        <v>1</v>
      </c>
      <c r="J1187" s="33" t="n">
        <v>1</v>
      </c>
      <c r="K1187" s="32" t="n">
        <v>75</v>
      </c>
      <c r="L1187" s="33" t="str">
        <f aca="false">IF($B1187="","",IFERROR(INDEX('Code Mapping'!$D$5:$D$1753,MATCH($B1187,'Code Mapping'!$A$5:$A$1753,0)),"Unmapped"))</f>
        <v>Unmapped</v>
      </c>
      <c r="M1187" s="33" t="str">
        <f aca="false">IF($B1187="","",IFERROR(INDEX('Code Mapping'!$E$5:$E$1753,MATCH($B1187,'Code Mapping'!$A$5:$A$1753,0)),"Unmapped"))</f>
        <v>Unmapped</v>
      </c>
      <c r="N1187" s="33" t="str">
        <f aca="false">IF($F1187="","",$F1187)</f>
        <v>InflataRun 2024</v>
      </c>
    </row>
    <row r="1188" customFormat="false" ht="15" hidden="false" customHeight="false" outlineLevel="0" collapsed="false">
      <c r="A1188" s="33" t="n">
        <v>5089</v>
      </c>
      <c r="B1188" s="33" t="s">
        <v>1604</v>
      </c>
      <c r="C1188" s="33" t="s">
        <v>1545</v>
      </c>
      <c r="D1188" s="33"/>
      <c r="E1188" s="33" t="n">
        <v>74</v>
      </c>
      <c r="F1188" s="33" t="s">
        <v>2159</v>
      </c>
      <c r="G1188" s="33" t="s">
        <v>1548</v>
      </c>
      <c r="H1188" s="33" t="n">
        <v>1</v>
      </c>
      <c r="I1188" s="33" t="n">
        <v>1</v>
      </c>
      <c r="J1188" s="33" t="n">
        <v>1</v>
      </c>
      <c r="K1188" s="32" t="n">
        <v>300</v>
      </c>
      <c r="L1188" s="33" t="str">
        <f aca="false">IF($B1188="","",IFERROR(INDEX('Code Mapping'!$D$5:$D$1753,MATCH($B1188,'Code Mapping'!$A$5:$A$1753,0)),"Unmapped"))</f>
        <v>Unmapped</v>
      </c>
      <c r="M1188" s="33" t="str">
        <f aca="false">IF($B1188="","",IFERROR(INDEX('Code Mapping'!$E$5:$E$1753,MATCH($B1188,'Code Mapping'!$A$5:$A$1753,0)),"Unmapped"))</f>
        <v>Unmapped</v>
      </c>
      <c r="N1188" s="33" t="str">
        <f aca="false">IF($F1188="","",$F1188)</f>
        <v>InflataRun 2024</v>
      </c>
    </row>
    <row r="1189" customFormat="false" ht="15" hidden="false" customHeight="false" outlineLevel="0" collapsed="false">
      <c r="A1189" s="33" t="n">
        <v>4928</v>
      </c>
      <c r="B1189" s="33" t="s">
        <v>1605</v>
      </c>
      <c r="C1189" s="33" t="s">
        <v>1545</v>
      </c>
      <c r="D1189" s="33"/>
      <c r="E1189" s="33" t="n">
        <v>74</v>
      </c>
      <c r="F1189" s="33" t="s">
        <v>2159</v>
      </c>
      <c r="G1189" s="33" t="s">
        <v>1548</v>
      </c>
      <c r="H1189" s="33" t="n">
        <v>1</v>
      </c>
      <c r="I1189" s="33" t="n">
        <v>1</v>
      </c>
      <c r="J1189" s="33" t="n">
        <v>1</v>
      </c>
      <c r="K1189" s="32" t="n">
        <v>300</v>
      </c>
      <c r="L1189" s="33" t="str">
        <f aca="false">IF($B1189="","",IFERROR(INDEX('Code Mapping'!$D$5:$D$1753,MATCH($B1189,'Code Mapping'!$A$5:$A$1753,0)),"Unmapped"))</f>
        <v>Unmapped</v>
      </c>
      <c r="M1189" s="33" t="str">
        <f aca="false">IF($B1189="","",IFERROR(INDEX('Code Mapping'!$E$5:$E$1753,MATCH($B1189,'Code Mapping'!$A$5:$A$1753,0)),"Unmapped"))</f>
        <v>Unmapped</v>
      </c>
      <c r="N1189" s="33" t="str">
        <f aca="false">IF($F1189="","",$F1189)</f>
        <v>InflataRun 2024</v>
      </c>
    </row>
    <row r="1190" customFormat="false" ht="15" hidden="false" customHeight="false" outlineLevel="0" collapsed="false">
      <c r="A1190" s="33" t="n">
        <v>4791</v>
      </c>
      <c r="B1190" s="33" t="s">
        <v>1607</v>
      </c>
      <c r="C1190" s="33" t="s">
        <v>1545</v>
      </c>
      <c r="D1190" s="33"/>
      <c r="E1190" s="33" t="n">
        <v>74</v>
      </c>
      <c r="F1190" s="33" t="s">
        <v>2159</v>
      </c>
      <c r="G1190" s="33" t="s">
        <v>1548</v>
      </c>
      <c r="H1190" s="33" t="n">
        <v>1</v>
      </c>
      <c r="I1190" s="33" t="n">
        <v>1</v>
      </c>
      <c r="J1190" s="33" t="n">
        <v>1</v>
      </c>
      <c r="K1190" s="32" t="n">
        <v>300</v>
      </c>
      <c r="L1190" s="33" t="str">
        <f aca="false">IF($B1190="","",IFERROR(INDEX('Code Mapping'!$D$5:$D$1753,MATCH($B1190,'Code Mapping'!$A$5:$A$1753,0)),"Unmapped"))</f>
        <v>Unmapped</v>
      </c>
      <c r="M1190" s="33" t="str">
        <f aca="false">IF($B1190="","",IFERROR(INDEX('Code Mapping'!$E$5:$E$1753,MATCH($B1190,'Code Mapping'!$A$5:$A$1753,0)),"Unmapped"))</f>
        <v>Unmapped</v>
      </c>
      <c r="N1190" s="33" t="str">
        <f aca="false">IF($F1190="","",$F1190)</f>
        <v>InflataRun 2024</v>
      </c>
    </row>
    <row r="1191" customFormat="false" ht="15" hidden="false" customHeight="false" outlineLevel="0" collapsed="false">
      <c r="A1191" s="33" t="n">
        <v>4927</v>
      </c>
      <c r="B1191" s="33" t="s">
        <v>1612</v>
      </c>
      <c r="C1191" s="33" t="s">
        <v>1545</v>
      </c>
      <c r="D1191" s="33"/>
      <c r="E1191" s="33" t="n">
        <v>74</v>
      </c>
      <c r="F1191" s="33" t="s">
        <v>2159</v>
      </c>
      <c r="G1191" s="33" t="s">
        <v>1548</v>
      </c>
      <c r="H1191" s="33" t="n">
        <v>1</v>
      </c>
      <c r="I1191" s="33" t="n">
        <v>1</v>
      </c>
      <c r="J1191" s="33" t="n">
        <v>1</v>
      </c>
      <c r="K1191" s="32" t="n">
        <v>300</v>
      </c>
      <c r="L1191" s="33" t="str">
        <f aca="false">IF($B1191="","",IFERROR(INDEX('Code Mapping'!$D$5:$D$1753,MATCH($B1191,'Code Mapping'!$A$5:$A$1753,0)),"Unmapped"))</f>
        <v>Unmapped</v>
      </c>
      <c r="M1191" s="33" t="str">
        <f aca="false">IF($B1191="","",IFERROR(INDEX('Code Mapping'!$E$5:$E$1753,MATCH($B1191,'Code Mapping'!$A$5:$A$1753,0)),"Unmapped"))</f>
        <v>Unmapped</v>
      </c>
      <c r="N1191" s="33" t="str">
        <f aca="false">IF($F1191="","",$F1191)</f>
        <v>InflataRun 2024</v>
      </c>
    </row>
    <row r="1192" customFormat="false" ht="15" hidden="false" customHeight="false" outlineLevel="0" collapsed="false">
      <c r="A1192" s="33" t="n">
        <v>4803</v>
      </c>
      <c r="B1192" s="33" t="s">
        <v>1614</v>
      </c>
      <c r="C1192" s="33" t="s">
        <v>1545</v>
      </c>
      <c r="D1192" s="33"/>
      <c r="E1192" s="33" t="n">
        <v>74</v>
      </c>
      <c r="F1192" s="33" t="s">
        <v>2159</v>
      </c>
      <c r="G1192" s="33" t="s">
        <v>1548</v>
      </c>
      <c r="H1192" s="33" t="n">
        <v>1</v>
      </c>
      <c r="I1192" s="33" t="n">
        <v>1</v>
      </c>
      <c r="J1192" s="33" t="n">
        <v>1</v>
      </c>
      <c r="K1192" s="32" t="n">
        <v>300</v>
      </c>
      <c r="L1192" s="33" t="str">
        <f aca="false">IF($B1192="","",IFERROR(INDEX('Code Mapping'!$D$5:$D$1753,MATCH($B1192,'Code Mapping'!$A$5:$A$1753,0)),"Unmapped"))</f>
        <v>Unmapped</v>
      </c>
      <c r="M1192" s="33" t="str">
        <f aca="false">IF($B1192="","",IFERROR(INDEX('Code Mapping'!$E$5:$E$1753,MATCH($B1192,'Code Mapping'!$A$5:$A$1753,0)),"Unmapped"))</f>
        <v>Unmapped</v>
      </c>
      <c r="N1192" s="33" t="str">
        <f aca="false">IF($F1192="","",$F1192)</f>
        <v>InflataRun 2024</v>
      </c>
    </row>
    <row r="1193" customFormat="false" ht="15" hidden="false" customHeight="false" outlineLevel="0" collapsed="false">
      <c r="A1193" s="33" t="n">
        <v>4923</v>
      </c>
      <c r="B1193" s="33" t="s">
        <v>1616</v>
      </c>
      <c r="C1193" s="33" t="s">
        <v>1545</v>
      </c>
      <c r="D1193" s="33"/>
      <c r="E1193" s="33" t="n">
        <v>74</v>
      </c>
      <c r="F1193" s="33" t="s">
        <v>2159</v>
      </c>
      <c r="G1193" s="33" t="s">
        <v>1548</v>
      </c>
      <c r="H1193" s="33" t="n">
        <v>1</v>
      </c>
      <c r="I1193" s="33" t="n">
        <v>1</v>
      </c>
      <c r="J1193" s="33" t="n">
        <v>1</v>
      </c>
      <c r="K1193" s="32" t="n">
        <v>300</v>
      </c>
      <c r="L1193" s="33" t="str">
        <f aca="false">IF($B1193="","",IFERROR(INDEX('Code Mapping'!$D$5:$D$1753,MATCH($B1193,'Code Mapping'!$A$5:$A$1753,0)),"Unmapped"))</f>
        <v>Unmapped</v>
      </c>
      <c r="M1193" s="33" t="str">
        <f aca="false">IF($B1193="","",IFERROR(INDEX('Code Mapping'!$E$5:$E$1753,MATCH($B1193,'Code Mapping'!$A$5:$A$1753,0)),"Unmapped"))</f>
        <v>Unmapped</v>
      </c>
      <c r="N1193" s="33" t="str">
        <f aca="false">IF($F1193="","",$F1193)</f>
        <v>InflataRun 2024</v>
      </c>
    </row>
    <row r="1194" customFormat="false" ht="15" hidden="false" customHeight="false" outlineLevel="0" collapsed="false">
      <c r="A1194" s="33" t="n">
        <v>3674</v>
      </c>
      <c r="B1194" s="33" t="s">
        <v>1617</v>
      </c>
      <c r="C1194" s="33" t="s">
        <v>1554</v>
      </c>
      <c r="D1194" s="33"/>
      <c r="E1194" s="33" t="n">
        <v>74</v>
      </c>
      <c r="F1194" s="33" t="s">
        <v>2159</v>
      </c>
      <c r="G1194" s="33" t="s">
        <v>1548</v>
      </c>
      <c r="H1194" s="33" t="n">
        <v>1</v>
      </c>
      <c r="I1194" s="33" t="n">
        <v>1</v>
      </c>
      <c r="J1194" s="33" t="n">
        <v>1</v>
      </c>
      <c r="K1194" s="32" t="n">
        <v>75</v>
      </c>
      <c r="L1194" s="33" t="str">
        <f aca="false">IF($B1194="","",IFERROR(INDEX('Code Mapping'!$D$5:$D$1753,MATCH($B1194,'Code Mapping'!$A$5:$A$1753,0)),"Unmapped"))</f>
        <v>Unmapped</v>
      </c>
      <c r="M1194" s="33" t="str">
        <f aca="false">IF($B1194="","",IFERROR(INDEX('Code Mapping'!$E$5:$E$1753,MATCH($B1194,'Code Mapping'!$A$5:$A$1753,0)),"Unmapped"))</f>
        <v>Unmapped</v>
      </c>
      <c r="N1194" s="33" t="str">
        <f aca="false">IF($F1194="","",$F1194)</f>
        <v>InflataRun 2024</v>
      </c>
    </row>
    <row r="1195" customFormat="false" ht="15" hidden="false" customHeight="false" outlineLevel="0" collapsed="false">
      <c r="A1195" s="33" t="n">
        <v>4931</v>
      </c>
      <c r="B1195" s="33" t="s">
        <v>1602</v>
      </c>
      <c r="C1195" s="33" t="s">
        <v>1545</v>
      </c>
      <c r="D1195" s="33"/>
      <c r="E1195" s="33" t="n">
        <v>74</v>
      </c>
      <c r="F1195" s="33" t="s">
        <v>2159</v>
      </c>
      <c r="G1195" s="33" t="s">
        <v>1548</v>
      </c>
      <c r="H1195" s="33" t="n">
        <v>1</v>
      </c>
      <c r="I1195" s="33" t="n">
        <v>1</v>
      </c>
      <c r="J1195" s="33" t="n">
        <v>1</v>
      </c>
      <c r="K1195" s="32" t="n">
        <v>300</v>
      </c>
      <c r="L1195" s="33" t="str">
        <f aca="false">IF($B1195="","",IFERROR(INDEX('Code Mapping'!$D$5:$D$1753,MATCH($B1195,'Code Mapping'!$A$5:$A$1753,0)),"Unmapped"))</f>
        <v>Unmapped</v>
      </c>
      <c r="M1195" s="33" t="str">
        <f aca="false">IF($B1195="","",IFERROR(INDEX('Code Mapping'!$E$5:$E$1753,MATCH($B1195,'Code Mapping'!$A$5:$A$1753,0)),"Unmapped"))</f>
        <v>Unmapped</v>
      </c>
      <c r="N1195" s="33" t="str">
        <f aca="false">IF($F1195="","",$F1195)</f>
        <v>InflataRun 2024</v>
      </c>
    </row>
    <row r="1196" customFormat="false" ht="15" hidden="false" customHeight="false" outlineLevel="0" collapsed="false">
      <c r="A1196" s="33" t="n">
        <v>5021</v>
      </c>
      <c r="B1196" s="33" t="s">
        <v>1619</v>
      </c>
      <c r="C1196" s="33" t="s">
        <v>1545</v>
      </c>
      <c r="D1196" s="33"/>
      <c r="E1196" s="33" t="n">
        <v>74</v>
      </c>
      <c r="F1196" s="33" t="s">
        <v>2159</v>
      </c>
      <c r="G1196" s="33" t="s">
        <v>1548</v>
      </c>
      <c r="H1196" s="33" t="n">
        <v>1</v>
      </c>
      <c r="I1196" s="33" t="n">
        <v>1</v>
      </c>
      <c r="J1196" s="33" t="n">
        <v>1</v>
      </c>
      <c r="K1196" s="32" t="n">
        <v>300</v>
      </c>
      <c r="L1196" s="33" t="str">
        <f aca="false">IF($B1196="","",IFERROR(INDEX('Code Mapping'!$D$5:$D$1753,MATCH($B1196,'Code Mapping'!$A$5:$A$1753,0)),"Unmapped"))</f>
        <v>Unmapped</v>
      </c>
      <c r="M1196" s="33" t="str">
        <f aca="false">IF($B1196="","",IFERROR(INDEX('Code Mapping'!$E$5:$E$1753,MATCH($B1196,'Code Mapping'!$A$5:$A$1753,0)),"Unmapped"))</f>
        <v>Unmapped</v>
      </c>
      <c r="N1196" s="33" t="str">
        <f aca="false">IF($F1196="","",$F1196)</f>
        <v>InflataRun 2024</v>
      </c>
    </row>
    <row r="1197" customFormat="false" ht="15" hidden="false" customHeight="false" outlineLevel="0" collapsed="false">
      <c r="A1197" s="33" t="n">
        <v>4815</v>
      </c>
      <c r="B1197" s="33" t="s">
        <v>1620</v>
      </c>
      <c r="C1197" s="33" t="s">
        <v>1545</v>
      </c>
      <c r="D1197" s="33"/>
      <c r="E1197" s="33" t="n">
        <v>74</v>
      </c>
      <c r="F1197" s="33" t="s">
        <v>2159</v>
      </c>
      <c r="G1197" s="33" t="s">
        <v>1548</v>
      </c>
      <c r="H1197" s="33" t="n">
        <v>1</v>
      </c>
      <c r="I1197" s="33" t="n">
        <v>1</v>
      </c>
      <c r="J1197" s="33" t="n">
        <v>1</v>
      </c>
      <c r="K1197" s="32" t="n">
        <v>300</v>
      </c>
      <c r="L1197" s="33" t="str">
        <f aca="false">IF($B1197="","",IFERROR(INDEX('Code Mapping'!$D$5:$D$1753,MATCH($B1197,'Code Mapping'!$A$5:$A$1753,0)),"Unmapped"))</f>
        <v>Unmapped</v>
      </c>
      <c r="M1197" s="33" t="str">
        <f aca="false">IF($B1197="","",IFERROR(INDEX('Code Mapping'!$E$5:$E$1753,MATCH($B1197,'Code Mapping'!$A$5:$A$1753,0)),"Unmapped"))</f>
        <v>Unmapped</v>
      </c>
      <c r="N1197" s="33" t="str">
        <f aca="false">IF($F1197="","",$F1197)</f>
        <v>InflataRun 2024</v>
      </c>
    </row>
    <row r="1198" customFormat="false" ht="15" hidden="false" customHeight="false" outlineLevel="0" collapsed="false">
      <c r="A1198" s="33" t="n">
        <v>5005</v>
      </c>
      <c r="B1198" s="33" t="s">
        <v>1622</v>
      </c>
      <c r="C1198" s="33" t="s">
        <v>1545</v>
      </c>
      <c r="D1198" s="33"/>
      <c r="E1198" s="33" t="n">
        <v>74</v>
      </c>
      <c r="F1198" s="33" t="s">
        <v>2159</v>
      </c>
      <c r="G1198" s="33" t="s">
        <v>1548</v>
      </c>
      <c r="H1198" s="33" t="n">
        <v>1</v>
      </c>
      <c r="I1198" s="33" t="n">
        <v>1</v>
      </c>
      <c r="J1198" s="33" t="n">
        <v>1</v>
      </c>
      <c r="K1198" s="32" t="n">
        <v>300</v>
      </c>
      <c r="L1198" s="33" t="str">
        <f aca="false">IF($B1198="","",IFERROR(INDEX('Code Mapping'!$D$5:$D$1753,MATCH($B1198,'Code Mapping'!$A$5:$A$1753,0)),"Unmapped"))</f>
        <v>Unmapped</v>
      </c>
      <c r="M1198" s="33" t="str">
        <f aca="false">IF($B1198="","",IFERROR(INDEX('Code Mapping'!$E$5:$E$1753,MATCH($B1198,'Code Mapping'!$A$5:$A$1753,0)),"Unmapped"))</f>
        <v>Unmapped</v>
      </c>
      <c r="N1198" s="33" t="str">
        <f aca="false">IF($F1198="","",$F1198)</f>
        <v>InflataRun 2024</v>
      </c>
    </row>
    <row r="1199" customFormat="false" ht="15" hidden="false" customHeight="false" outlineLevel="0" collapsed="false">
      <c r="A1199" s="33" t="n">
        <v>4941</v>
      </c>
      <c r="B1199" s="33" t="s">
        <v>1623</v>
      </c>
      <c r="C1199" s="33" t="s">
        <v>1545</v>
      </c>
      <c r="D1199" s="33"/>
      <c r="E1199" s="33" t="n">
        <v>74</v>
      </c>
      <c r="F1199" s="33" t="s">
        <v>2159</v>
      </c>
      <c r="G1199" s="33" t="s">
        <v>1548</v>
      </c>
      <c r="H1199" s="33" t="n">
        <v>1</v>
      </c>
      <c r="I1199" s="33" t="n">
        <v>1</v>
      </c>
      <c r="J1199" s="33" t="n">
        <v>1</v>
      </c>
      <c r="K1199" s="32" t="n">
        <v>300</v>
      </c>
      <c r="L1199" s="33" t="str">
        <f aca="false">IF($B1199="","",IFERROR(INDEX('Code Mapping'!$D$5:$D$1753,MATCH($B1199,'Code Mapping'!$A$5:$A$1753,0)),"Unmapped"))</f>
        <v>Unmapped</v>
      </c>
      <c r="M1199" s="33" t="str">
        <f aca="false">IF($B1199="","",IFERROR(INDEX('Code Mapping'!$E$5:$E$1753,MATCH($B1199,'Code Mapping'!$A$5:$A$1753,0)),"Unmapped"))</f>
        <v>Unmapped</v>
      </c>
      <c r="N1199" s="33" t="str">
        <f aca="false">IF($F1199="","",$F1199)</f>
        <v>InflataRun 2024</v>
      </c>
    </row>
    <row r="1200" customFormat="false" ht="15" hidden="false" customHeight="false" outlineLevel="0" collapsed="false">
      <c r="A1200" s="33" t="n">
        <v>4829</v>
      </c>
      <c r="B1200" s="33" t="s">
        <v>1625</v>
      </c>
      <c r="C1200" s="33" t="s">
        <v>1545</v>
      </c>
      <c r="D1200" s="33"/>
      <c r="E1200" s="33" t="n">
        <v>74</v>
      </c>
      <c r="F1200" s="33" t="s">
        <v>2159</v>
      </c>
      <c r="G1200" s="33" t="s">
        <v>1548</v>
      </c>
      <c r="H1200" s="33" t="n">
        <v>1</v>
      </c>
      <c r="I1200" s="33" t="n">
        <v>1</v>
      </c>
      <c r="J1200" s="33" t="n">
        <v>1</v>
      </c>
      <c r="K1200" s="32" t="n">
        <v>300</v>
      </c>
      <c r="L1200" s="33" t="str">
        <f aca="false">IF($B1200="","",IFERROR(INDEX('Code Mapping'!$D$5:$D$1753,MATCH($B1200,'Code Mapping'!$A$5:$A$1753,0)),"Unmapped"))</f>
        <v>Unmapped</v>
      </c>
      <c r="M1200" s="33" t="str">
        <f aca="false">IF($B1200="","",IFERROR(INDEX('Code Mapping'!$E$5:$E$1753,MATCH($B1200,'Code Mapping'!$A$5:$A$1753,0)),"Unmapped"))</f>
        <v>Unmapped</v>
      </c>
      <c r="N1200" s="33" t="str">
        <f aca="false">IF($F1200="","",$F1200)</f>
        <v>InflataRun 2024</v>
      </c>
    </row>
    <row r="1201" customFormat="false" ht="15" hidden="false" customHeight="false" outlineLevel="0" collapsed="false">
      <c r="A1201" s="33" t="n">
        <v>4785</v>
      </c>
      <c r="B1201" s="33" t="s">
        <v>1626</v>
      </c>
      <c r="C1201" s="33" t="s">
        <v>1545</v>
      </c>
      <c r="D1201" s="33"/>
      <c r="E1201" s="33" t="n">
        <v>74</v>
      </c>
      <c r="F1201" s="33" t="s">
        <v>2159</v>
      </c>
      <c r="G1201" s="33" t="s">
        <v>1548</v>
      </c>
      <c r="H1201" s="33" t="n">
        <v>1</v>
      </c>
      <c r="I1201" s="33" t="n">
        <v>1</v>
      </c>
      <c r="J1201" s="33" t="n">
        <v>1</v>
      </c>
      <c r="K1201" s="32" t="n">
        <v>300</v>
      </c>
      <c r="L1201" s="33" t="str">
        <f aca="false">IF($B1201="","",IFERROR(INDEX('Code Mapping'!$D$5:$D$1753,MATCH($B1201,'Code Mapping'!$A$5:$A$1753,0)),"Unmapped"))</f>
        <v>Unmapped</v>
      </c>
      <c r="M1201" s="33" t="str">
        <f aca="false">IF($B1201="","",IFERROR(INDEX('Code Mapping'!$E$5:$E$1753,MATCH($B1201,'Code Mapping'!$A$5:$A$1753,0)),"Unmapped"))</f>
        <v>Unmapped</v>
      </c>
      <c r="N1201" s="33" t="str">
        <f aca="false">IF($F1201="","",$F1201)</f>
        <v>InflataRun 2024</v>
      </c>
    </row>
    <row r="1202" customFormat="false" ht="15" hidden="false" customHeight="false" outlineLevel="0" collapsed="false">
      <c r="A1202" s="33" t="n">
        <v>4814</v>
      </c>
      <c r="B1202" s="33" t="s">
        <v>1628</v>
      </c>
      <c r="C1202" s="33" t="s">
        <v>1545</v>
      </c>
      <c r="D1202" s="33"/>
      <c r="E1202" s="33" t="n">
        <v>74</v>
      </c>
      <c r="F1202" s="33" t="s">
        <v>2159</v>
      </c>
      <c r="G1202" s="33" t="s">
        <v>1548</v>
      </c>
      <c r="H1202" s="33" t="n">
        <v>1</v>
      </c>
      <c r="I1202" s="33" t="n">
        <v>1</v>
      </c>
      <c r="J1202" s="33" t="n">
        <v>1</v>
      </c>
      <c r="K1202" s="32" t="n">
        <v>300</v>
      </c>
      <c r="L1202" s="33" t="str">
        <f aca="false">IF($B1202="","",IFERROR(INDEX('Code Mapping'!$D$5:$D$1753,MATCH($B1202,'Code Mapping'!$A$5:$A$1753,0)),"Unmapped"))</f>
        <v>Unmapped</v>
      </c>
      <c r="M1202" s="33" t="str">
        <f aca="false">IF($B1202="","",IFERROR(INDEX('Code Mapping'!$E$5:$E$1753,MATCH($B1202,'Code Mapping'!$A$5:$A$1753,0)),"Unmapped"))</f>
        <v>Unmapped</v>
      </c>
      <c r="N1202" s="33" t="str">
        <f aca="false">IF($F1202="","",$F1202)</f>
        <v>InflataRun 2024</v>
      </c>
    </row>
    <row r="1203" customFormat="false" ht="15" hidden="false" customHeight="false" outlineLevel="0" collapsed="false">
      <c r="A1203" s="33" t="n">
        <v>4818</v>
      </c>
      <c r="B1203" s="33" t="s">
        <v>1704</v>
      </c>
      <c r="C1203" s="33" t="s">
        <v>1545</v>
      </c>
      <c r="D1203" s="33"/>
      <c r="E1203" s="33" t="n">
        <v>74</v>
      </c>
      <c r="F1203" s="33" t="s">
        <v>2159</v>
      </c>
      <c r="G1203" s="33" t="s">
        <v>461</v>
      </c>
      <c r="H1203" s="33" t="n">
        <v>1</v>
      </c>
      <c r="I1203" s="33" t="n">
        <v>1</v>
      </c>
      <c r="J1203" s="33" t="n">
        <v>1</v>
      </c>
      <c r="K1203" s="32" t="n">
        <v>300</v>
      </c>
      <c r="L1203" s="33" t="str">
        <f aca="false">IF($B1203="","",IFERROR(INDEX('Code Mapping'!$D$5:$D$1753,MATCH($B1203,'Code Mapping'!$A$5:$A$1753,0)),"Unmapped"))</f>
        <v>Unmapped</v>
      </c>
      <c r="M1203" s="33" t="str">
        <f aca="false">IF($B1203="","",IFERROR(INDEX('Code Mapping'!$E$5:$E$1753,MATCH($B1203,'Code Mapping'!$A$5:$A$1753,0)),"Unmapped"))</f>
        <v>Unmapped</v>
      </c>
      <c r="N1203" s="33" t="str">
        <f aca="false">IF($F1203="","",$F1203)</f>
        <v>InflataRun 2024</v>
      </c>
    </row>
    <row r="1204" customFormat="false" ht="15" hidden="false" customHeight="false" outlineLevel="0" collapsed="false">
      <c r="A1204" s="33" t="n">
        <v>3596</v>
      </c>
      <c r="B1204" s="33" t="s">
        <v>1731</v>
      </c>
      <c r="C1204" s="33" t="s">
        <v>1554</v>
      </c>
      <c r="D1204" s="33"/>
      <c r="E1204" s="33" t="n">
        <v>74</v>
      </c>
      <c r="F1204" s="33" t="s">
        <v>2159</v>
      </c>
      <c r="G1204" s="33" t="s">
        <v>461</v>
      </c>
      <c r="H1204" s="33" t="n">
        <v>1</v>
      </c>
      <c r="I1204" s="33" t="n">
        <v>1</v>
      </c>
      <c r="J1204" s="33" t="n">
        <v>1</v>
      </c>
      <c r="K1204" s="32" t="n">
        <v>75</v>
      </c>
      <c r="L1204" s="33" t="str">
        <f aca="false">IF($B1204="","",IFERROR(INDEX('Code Mapping'!$D$5:$D$1753,MATCH($B1204,'Code Mapping'!$A$5:$A$1753,0)),"Unmapped"))</f>
        <v>Unmapped</v>
      </c>
      <c r="M1204" s="33" t="str">
        <f aca="false">IF($B1204="","",IFERROR(INDEX('Code Mapping'!$E$5:$E$1753,MATCH($B1204,'Code Mapping'!$A$5:$A$1753,0)),"Unmapped"))</f>
        <v>Unmapped</v>
      </c>
      <c r="N1204" s="33" t="str">
        <f aca="false">IF($F1204="","",$F1204)</f>
        <v>InflataRun 2024</v>
      </c>
    </row>
    <row r="1205" customFormat="false" ht="15" hidden="false" customHeight="false" outlineLevel="0" collapsed="false">
      <c r="A1205" s="33" t="n">
        <v>3590</v>
      </c>
      <c r="B1205" s="33" t="s">
        <v>1727</v>
      </c>
      <c r="C1205" s="33" t="s">
        <v>1554</v>
      </c>
      <c r="D1205" s="33"/>
      <c r="E1205" s="33" t="n">
        <v>74</v>
      </c>
      <c r="F1205" s="33" t="s">
        <v>2159</v>
      </c>
      <c r="G1205" s="33" t="s">
        <v>461</v>
      </c>
      <c r="H1205" s="33" t="n">
        <v>1</v>
      </c>
      <c r="I1205" s="33" t="n">
        <v>1</v>
      </c>
      <c r="J1205" s="33" t="n">
        <v>1</v>
      </c>
      <c r="K1205" s="32" t="n">
        <v>75</v>
      </c>
      <c r="L1205" s="33" t="str">
        <f aca="false">IF($B1205="","",IFERROR(INDEX('Code Mapping'!$D$5:$D$1753,MATCH($B1205,'Code Mapping'!$A$5:$A$1753,0)),"Unmapped"))</f>
        <v>Unmapped</v>
      </c>
      <c r="M1205" s="33" t="str">
        <f aca="false">IF($B1205="","",IFERROR(INDEX('Code Mapping'!$E$5:$E$1753,MATCH($B1205,'Code Mapping'!$A$5:$A$1753,0)),"Unmapped"))</f>
        <v>Unmapped</v>
      </c>
      <c r="N1205" s="33" t="str">
        <f aca="false">IF($F1205="","",$F1205)</f>
        <v>InflataRun 2024</v>
      </c>
    </row>
    <row r="1206" customFormat="false" ht="15" hidden="false" customHeight="false" outlineLevel="0" collapsed="false">
      <c r="A1206" s="33" t="n">
        <v>5038</v>
      </c>
      <c r="B1206" s="33" t="s">
        <v>1718</v>
      </c>
      <c r="C1206" s="33" t="s">
        <v>1545</v>
      </c>
      <c r="D1206" s="33"/>
      <c r="E1206" s="33" t="n">
        <v>74</v>
      </c>
      <c r="F1206" s="33" t="s">
        <v>2159</v>
      </c>
      <c r="G1206" s="33" t="s">
        <v>461</v>
      </c>
      <c r="H1206" s="33" t="n">
        <v>1</v>
      </c>
      <c r="I1206" s="33" t="n">
        <v>1</v>
      </c>
      <c r="J1206" s="33" t="n">
        <v>1</v>
      </c>
      <c r="K1206" s="32" t="n">
        <v>300</v>
      </c>
      <c r="L1206" s="33" t="str">
        <f aca="false">IF($B1206="","",IFERROR(INDEX('Code Mapping'!$D$5:$D$1753,MATCH($B1206,'Code Mapping'!$A$5:$A$1753,0)),"Unmapped"))</f>
        <v>Unmapped</v>
      </c>
      <c r="M1206" s="33" t="str">
        <f aca="false">IF($B1206="","",IFERROR(INDEX('Code Mapping'!$E$5:$E$1753,MATCH($B1206,'Code Mapping'!$A$5:$A$1753,0)),"Unmapped"))</f>
        <v>Unmapped</v>
      </c>
      <c r="N1206" s="33" t="str">
        <f aca="false">IF($F1206="","",$F1206)</f>
        <v>InflataRun 2024</v>
      </c>
    </row>
    <row r="1207" customFormat="false" ht="15" hidden="false" customHeight="false" outlineLevel="0" collapsed="false">
      <c r="A1207" s="33" t="n">
        <v>3570</v>
      </c>
      <c r="B1207" s="33" t="s">
        <v>1716</v>
      </c>
      <c r="C1207" s="33" t="s">
        <v>1554</v>
      </c>
      <c r="D1207" s="33"/>
      <c r="E1207" s="33" t="n">
        <v>74</v>
      </c>
      <c r="F1207" s="33" t="s">
        <v>2159</v>
      </c>
      <c r="G1207" s="33" t="s">
        <v>461</v>
      </c>
      <c r="H1207" s="33" t="n">
        <v>1</v>
      </c>
      <c r="I1207" s="33" t="n">
        <v>1</v>
      </c>
      <c r="J1207" s="33" t="n">
        <v>1</v>
      </c>
      <c r="K1207" s="32" t="n">
        <v>75</v>
      </c>
      <c r="L1207" s="33" t="str">
        <f aca="false">IF($B1207="","",IFERROR(INDEX('Code Mapping'!$D$5:$D$1753,MATCH($B1207,'Code Mapping'!$A$5:$A$1753,0)),"Unmapped"))</f>
        <v>Unmapped</v>
      </c>
      <c r="M1207" s="33" t="str">
        <f aca="false">IF($B1207="","",IFERROR(INDEX('Code Mapping'!$E$5:$E$1753,MATCH($B1207,'Code Mapping'!$A$5:$A$1753,0)),"Unmapped"))</f>
        <v>Unmapped</v>
      </c>
      <c r="N1207" s="33" t="str">
        <f aca="false">IF($F1207="","",$F1207)</f>
        <v>InflataRun 2024</v>
      </c>
    </row>
    <row r="1208" customFormat="false" ht="15" hidden="false" customHeight="false" outlineLevel="0" collapsed="false">
      <c r="A1208" s="33" t="n">
        <v>4832</v>
      </c>
      <c r="B1208" s="33" t="s">
        <v>1714</v>
      </c>
      <c r="C1208" s="33" t="s">
        <v>1545</v>
      </c>
      <c r="D1208" s="33"/>
      <c r="E1208" s="33" t="n">
        <v>74</v>
      </c>
      <c r="F1208" s="33" t="s">
        <v>2159</v>
      </c>
      <c r="G1208" s="33" t="s">
        <v>461</v>
      </c>
      <c r="H1208" s="33" t="n">
        <v>1</v>
      </c>
      <c r="I1208" s="33" t="n">
        <v>1</v>
      </c>
      <c r="J1208" s="33" t="n">
        <v>1</v>
      </c>
      <c r="K1208" s="32" t="n">
        <v>300</v>
      </c>
      <c r="L1208" s="33" t="str">
        <f aca="false">IF($B1208="","",IFERROR(INDEX('Code Mapping'!$D$5:$D$1753,MATCH($B1208,'Code Mapping'!$A$5:$A$1753,0)),"Unmapped"))</f>
        <v>Unmapped</v>
      </c>
      <c r="M1208" s="33" t="str">
        <f aca="false">IF($B1208="","",IFERROR(INDEX('Code Mapping'!$E$5:$E$1753,MATCH($B1208,'Code Mapping'!$A$5:$A$1753,0)),"Unmapped"))</f>
        <v>Unmapped</v>
      </c>
      <c r="N1208" s="33" t="str">
        <f aca="false">IF($F1208="","",$F1208)</f>
        <v>InflataRun 2024</v>
      </c>
    </row>
    <row r="1209" customFormat="false" ht="15" hidden="false" customHeight="false" outlineLevel="0" collapsed="false">
      <c r="A1209" s="33" t="n">
        <v>4885</v>
      </c>
      <c r="B1209" s="33" t="s">
        <v>1713</v>
      </c>
      <c r="C1209" s="33" t="s">
        <v>1545</v>
      </c>
      <c r="D1209" s="33"/>
      <c r="E1209" s="33" t="n">
        <v>74</v>
      </c>
      <c r="F1209" s="33" t="s">
        <v>2159</v>
      </c>
      <c r="G1209" s="33" t="s">
        <v>461</v>
      </c>
      <c r="H1209" s="33" t="n">
        <v>1</v>
      </c>
      <c r="I1209" s="33" t="n">
        <v>1</v>
      </c>
      <c r="J1209" s="33" t="n">
        <v>1</v>
      </c>
      <c r="K1209" s="32" t="n">
        <v>300</v>
      </c>
      <c r="L1209" s="33" t="str">
        <f aca="false">IF($B1209="","",IFERROR(INDEX('Code Mapping'!$D$5:$D$1753,MATCH($B1209,'Code Mapping'!$A$5:$A$1753,0)),"Unmapped"))</f>
        <v>Unmapped</v>
      </c>
      <c r="M1209" s="33" t="str">
        <f aca="false">IF($B1209="","",IFERROR(INDEX('Code Mapping'!$E$5:$E$1753,MATCH($B1209,'Code Mapping'!$A$5:$A$1753,0)),"Unmapped"))</f>
        <v>Unmapped</v>
      </c>
      <c r="N1209" s="33" t="str">
        <f aca="false">IF($F1209="","",$F1209)</f>
        <v>InflataRun 2024</v>
      </c>
    </row>
    <row r="1210" customFormat="false" ht="15" hidden="false" customHeight="false" outlineLevel="0" collapsed="false">
      <c r="A1210" s="33" t="n">
        <v>3576</v>
      </c>
      <c r="B1210" s="33" t="s">
        <v>1708</v>
      </c>
      <c r="C1210" s="33" t="s">
        <v>1554</v>
      </c>
      <c r="D1210" s="33"/>
      <c r="E1210" s="33" t="n">
        <v>74</v>
      </c>
      <c r="F1210" s="33" t="s">
        <v>2159</v>
      </c>
      <c r="G1210" s="33" t="s">
        <v>461</v>
      </c>
      <c r="H1210" s="33" t="n">
        <v>1</v>
      </c>
      <c r="I1210" s="33" t="n">
        <v>1</v>
      </c>
      <c r="J1210" s="33" t="n">
        <v>1</v>
      </c>
      <c r="K1210" s="32" t="n">
        <v>75</v>
      </c>
      <c r="L1210" s="33" t="str">
        <f aca="false">IF($B1210="","",IFERROR(INDEX('Code Mapping'!$D$5:$D$1753,MATCH($B1210,'Code Mapping'!$A$5:$A$1753,0)),"Unmapped"))</f>
        <v>Unmapped</v>
      </c>
      <c r="M1210" s="33" t="str">
        <f aca="false">IF($B1210="","",IFERROR(INDEX('Code Mapping'!$E$5:$E$1753,MATCH($B1210,'Code Mapping'!$A$5:$A$1753,0)),"Unmapped"))</f>
        <v>Unmapped</v>
      </c>
      <c r="N1210" s="33" t="str">
        <f aca="false">IF($F1210="","",$F1210)</f>
        <v>InflataRun 2024</v>
      </c>
    </row>
    <row r="1211" customFormat="false" ht="15" hidden="false" customHeight="false" outlineLevel="0" collapsed="false">
      <c r="A1211" s="33" t="n">
        <v>5061</v>
      </c>
      <c r="B1211" s="33" t="s">
        <v>1705</v>
      </c>
      <c r="C1211" s="33" t="s">
        <v>1545</v>
      </c>
      <c r="D1211" s="33"/>
      <c r="E1211" s="33" t="n">
        <v>74</v>
      </c>
      <c r="F1211" s="33" t="s">
        <v>2159</v>
      </c>
      <c r="G1211" s="33" t="s">
        <v>461</v>
      </c>
      <c r="H1211" s="33" t="n">
        <v>1</v>
      </c>
      <c r="I1211" s="33" t="n">
        <v>1</v>
      </c>
      <c r="J1211" s="33" t="n">
        <v>1</v>
      </c>
      <c r="K1211" s="32" t="n">
        <v>300</v>
      </c>
      <c r="L1211" s="33" t="str">
        <f aca="false">IF($B1211="","",IFERROR(INDEX('Code Mapping'!$D$5:$D$1753,MATCH($B1211,'Code Mapping'!$A$5:$A$1753,0)),"Unmapped"))</f>
        <v>Unmapped</v>
      </c>
      <c r="M1211" s="33" t="str">
        <f aca="false">IF($B1211="","",IFERROR(INDEX('Code Mapping'!$E$5:$E$1753,MATCH($B1211,'Code Mapping'!$A$5:$A$1753,0)),"Unmapped"))</f>
        <v>Unmapped</v>
      </c>
      <c r="N1211" s="33" t="str">
        <f aca="false">IF($F1211="","",$F1211)</f>
        <v>InflataRun 2024</v>
      </c>
    </row>
    <row r="1212" customFormat="false" ht="15" hidden="false" customHeight="false" outlineLevel="0" collapsed="false">
      <c r="A1212" s="33" t="n">
        <v>3586</v>
      </c>
      <c r="B1212" s="33" t="s">
        <v>1697</v>
      </c>
      <c r="C1212" s="33" t="s">
        <v>1554</v>
      </c>
      <c r="D1212" s="33"/>
      <c r="E1212" s="33" t="n">
        <v>74</v>
      </c>
      <c r="F1212" s="33" t="s">
        <v>2159</v>
      </c>
      <c r="G1212" s="33" t="s">
        <v>461</v>
      </c>
      <c r="H1212" s="33" t="n">
        <v>1</v>
      </c>
      <c r="I1212" s="33" t="n">
        <v>1</v>
      </c>
      <c r="J1212" s="33" t="n">
        <v>1</v>
      </c>
      <c r="K1212" s="32" t="n">
        <v>75</v>
      </c>
      <c r="L1212" s="33" t="str">
        <f aca="false">IF($B1212="","",IFERROR(INDEX('Code Mapping'!$D$5:$D$1753,MATCH($B1212,'Code Mapping'!$A$5:$A$1753,0)),"Unmapped"))</f>
        <v>Unmapped</v>
      </c>
      <c r="M1212" s="33" t="str">
        <f aca="false">IF($B1212="","",IFERROR(INDEX('Code Mapping'!$E$5:$E$1753,MATCH($B1212,'Code Mapping'!$A$5:$A$1753,0)),"Unmapped"))</f>
        <v>Unmapped</v>
      </c>
      <c r="N1212" s="33" t="str">
        <f aca="false">IF($F1212="","",$F1212)</f>
        <v>InflataRun 2024</v>
      </c>
    </row>
    <row r="1213" customFormat="false" ht="15" hidden="false" customHeight="false" outlineLevel="0" collapsed="false">
      <c r="A1213" s="33" t="n">
        <v>5059</v>
      </c>
      <c r="B1213" s="33" t="s">
        <v>1702</v>
      </c>
      <c r="C1213" s="33" t="s">
        <v>1545</v>
      </c>
      <c r="D1213" s="33"/>
      <c r="E1213" s="33" t="n">
        <v>74</v>
      </c>
      <c r="F1213" s="33" t="s">
        <v>2159</v>
      </c>
      <c r="G1213" s="33" t="s">
        <v>461</v>
      </c>
      <c r="H1213" s="33" t="n">
        <v>1</v>
      </c>
      <c r="I1213" s="33" t="n">
        <v>1</v>
      </c>
      <c r="J1213" s="33" t="n">
        <v>1</v>
      </c>
      <c r="K1213" s="32" t="n">
        <v>300</v>
      </c>
      <c r="L1213" s="33" t="str">
        <f aca="false">IF($B1213="","",IFERROR(INDEX('Code Mapping'!$D$5:$D$1753,MATCH($B1213,'Code Mapping'!$A$5:$A$1753,0)),"Unmapped"))</f>
        <v>Unmapped</v>
      </c>
      <c r="M1213" s="33" t="str">
        <f aca="false">IF($B1213="","",IFERROR(INDEX('Code Mapping'!$E$5:$E$1753,MATCH($B1213,'Code Mapping'!$A$5:$A$1753,0)),"Unmapped"))</f>
        <v>Unmapped</v>
      </c>
      <c r="N1213" s="33" t="str">
        <f aca="false">IF($F1213="","",$F1213)</f>
        <v>InflataRun 2024</v>
      </c>
    </row>
    <row r="1214" customFormat="false" ht="15" hidden="false" customHeight="false" outlineLevel="0" collapsed="false">
      <c r="A1214" s="33" t="n">
        <v>3593</v>
      </c>
      <c r="B1214" s="33" t="s">
        <v>1701</v>
      </c>
      <c r="C1214" s="33" t="s">
        <v>1554</v>
      </c>
      <c r="D1214" s="33"/>
      <c r="E1214" s="33" t="n">
        <v>74</v>
      </c>
      <c r="F1214" s="33" t="s">
        <v>2159</v>
      </c>
      <c r="G1214" s="33" t="s">
        <v>461</v>
      </c>
      <c r="H1214" s="33" t="n">
        <v>1</v>
      </c>
      <c r="I1214" s="33" t="n">
        <v>1</v>
      </c>
      <c r="J1214" s="33" t="n">
        <v>1</v>
      </c>
      <c r="K1214" s="32" t="n">
        <v>75</v>
      </c>
      <c r="L1214" s="33" t="str">
        <f aca="false">IF($B1214="","",IFERROR(INDEX('Code Mapping'!$D$5:$D$1753,MATCH($B1214,'Code Mapping'!$A$5:$A$1753,0)),"Unmapped"))</f>
        <v>Unmapped</v>
      </c>
      <c r="M1214" s="33" t="str">
        <f aca="false">IF($B1214="","",IFERROR(INDEX('Code Mapping'!$E$5:$E$1753,MATCH($B1214,'Code Mapping'!$A$5:$A$1753,0)),"Unmapped"))</f>
        <v>Unmapped</v>
      </c>
      <c r="N1214" s="33" t="str">
        <f aca="false">IF($F1214="","",$F1214)</f>
        <v>InflataRun 2024</v>
      </c>
    </row>
    <row r="1215" customFormat="false" ht="15" hidden="false" customHeight="false" outlineLevel="0" collapsed="false">
      <c r="A1215" s="33" t="n">
        <v>5022</v>
      </c>
      <c r="B1215" s="33" t="s">
        <v>1739</v>
      </c>
      <c r="C1215" s="33" t="s">
        <v>1545</v>
      </c>
      <c r="D1215" s="33"/>
      <c r="E1215" s="33" t="n">
        <v>74</v>
      </c>
      <c r="F1215" s="33" t="s">
        <v>2159</v>
      </c>
      <c r="G1215" s="33" t="s">
        <v>461</v>
      </c>
      <c r="H1215" s="33" t="n">
        <v>1</v>
      </c>
      <c r="I1215" s="33" t="n">
        <v>1</v>
      </c>
      <c r="J1215" s="33" t="n">
        <v>1</v>
      </c>
      <c r="K1215" s="32" t="n">
        <v>300</v>
      </c>
      <c r="L1215" s="33" t="str">
        <f aca="false">IF($B1215="","",IFERROR(INDEX('Code Mapping'!$D$5:$D$1753,MATCH($B1215,'Code Mapping'!$A$5:$A$1753,0)),"Unmapped"))</f>
        <v>Unmapped</v>
      </c>
      <c r="M1215" s="33" t="str">
        <f aca="false">IF($B1215="","",IFERROR(INDEX('Code Mapping'!$E$5:$E$1753,MATCH($B1215,'Code Mapping'!$A$5:$A$1753,0)),"Unmapped"))</f>
        <v>Unmapped</v>
      </c>
      <c r="N1215" s="33" t="str">
        <f aca="false">IF($F1215="","",$F1215)</f>
        <v>InflataRun 2024</v>
      </c>
    </row>
    <row r="1216" customFormat="false" ht="15" hidden="false" customHeight="false" outlineLevel="0" collapsed="false">
      <c r="A1216" s="33" t="n">
        <v>4805</v>
      </c>
      <c r="B1216" s="33" t="s">
        <v>1695</v>
      </c>
      <c r="C1216" s="33" t="s">
        <v>1545</v>
      </c>
      <c r="D1216" s="33"/>
      <c r="E1216" s="33" t="n">
        <v>74</v>
      </c>
      <c r="F1216" s="33" t="s">
        <v>2159</v>
      </c>
      <c r="G1216" s="33" t="s">
        <v>461</v>
      </c>
      <c r="H1216" s="33" t="n">
        <v>1</v>
      </c>
      <c r="I1216" s="33" t="n">
        <v>1</v>
      </c>
      <c r="J1216" s="33" t="n">
        <v>1</v>
      </c>
      <c r="K1216" s="32" t="n">
        <v>300</v>
      </c>
      <c r="L1216" s="33" t="str">
        <f aca="false">IF($B1216="","",IFERROR(INDEX('Code Mapping'!$D$5:$D$1753,MATCH($B1216,'Code Mapping'!$A$5:$A$1753,0)),"Unmapped"))</f>
        <v>Unmapped</v>
      </c>
      <c r="M1216" s="33" t="str">
        <f aca="false">IF($B1216="","",IFERROR(INDEX('Code Mapping'!$E$5:$E$1753,MATCH($B1216,'Code Mapping'!$A$5:$A$1753,0)),"Unmapped"))</f>
        <v>Unmapped</v>
      </c>
      <c r="N1216" s="33" t="str">
        <f aca="false">IF($F1216="","",$F1216)</f>
        <v>InflataRun 2024</v>
      </c>
    </row>
    <row r="1217" customFormat="false" ht="15" hidden="false" customHeight="false" outlineLevel="0" collapsed="false">
      <c r="A1217" s="33" t="n">
        <v>5063</v>
      </c>
      <c r="B1217" s="33" t="s">
        <v>1693</v>
      </c>
      <c r="C1217" s="33" t="s">
        <v>1545</v>
      </c>
      <c r="D1217" s="33"/>
      <c r="E1217" s="33" t="n">
        <v>74</v>
      </c>
      <c r="F1217" s="33" t="s">
        <v>2159</v>
      </c>
      <c r="G1217" s="33" t="s">
        <v>461</v>
      </c>
      <c r="H1217" s="33" t="n">
        <v>1</v>
      </c>
      <c r="I1217" s="33" t="n">
        <v>1</v>
      </c>
      <c r="J1217" s="33" t="n">
        <v>1</v>
      </c>
      <c r="K1217" s="32" t="n">
        <v>300</v>
      </c>
      <c r="L1217" s="33" t="str">
        <f aca="false">IF($B1217="","",IFERROR(INDEX('Code Mapping'!$D$5:$D$1753,MATCH($B1217,'Code Mapping'!$A$5:$A$1753,0)),"Unmapped"))</f>
        <v>Unmapped</v>
      </c>
      <c r="M1217" s="33" t="str">
        <f aca="false">IF($B1217="","",IFERROR(INDEX('Code Mapping'!$E$5:$E$1753,MATCH($B1217,'Code Mapping'!$A$5:$A$1753,0)),"Unmapped"))</f>
        <v>Unmapped</v>
      </c>
      <c r="N1217" s="33" t="str">
        <f aca="false">IF($F1217="","",$F1217)</f>
        <v>InflataRun 2024</v>
      </c>
    </row>
    <row r="1218" customFormat="false" ht="15" hidden="false" customHeight="false" outlineLevel="0" collapsed="false">
      <c r="A1218" s="33" t="n">
        <v>4835</v>
      </c>
      <c r="B1218" s="33" t="s">
        <v>1685</v>
      </c>
      <c r="C1218" s="33" t="s">
        <v>1545</v>
      </c>
      <c r="D1218" s="33"/>
      <c r="E1218" s="33" t="n">
        <v>74</v>
      </c>
      <c r="F1218" s="33" t="s">
        <v>2159</v>
      </c>
      <c r="G1218" s="33" t="s">
        <v>461</v>
      </c>
      <c r="H1218" s="33" t="n">
        <v>1</v>
      </c>
      <c r="I1218" s="33" t="n">
        <v>1</v>
      </c>
      <c r="J1218" s="33" t="n">
        <v>1</v>
      </c>
      <c r="K1218" s="32" t="n">
        <v>300</v>
      </c>
      <c r="L1218" s="33" t="str">
        <f aca="false">IF($B1218="","",IFERROR(INDEX('Code Mapping'!$D$5:$D$1753,MATCH($B1218,'Code Mapping'!$A$5:$A$1753,0)),"Unmapped"))</f>
        <v>Unmapped</v>
      </c>
      <c r="M1218" s="33" t="str">
        <f aca="false">IF($B1218="","",IFERROR(INDEX('Code Mapping'!$E$5:$E$1753,MATCH($B1218,'Code Mapping'!$A$5:$A$1753,0)),"Unmapped"))</f>
        <v>Unmapped</v>
      </c>
      <c r="N1218" s="33" t="str">
        <f aca="false">IF($F1218="","",$F1218)</f>
        <v>InflataRun 2024</v>
      </c>
    </row>
    <row r="1219" customFormat="false" ht="15" hidden="false" customHeight="false" outlineLevel="0" collapsed="false">
      <c r="A1219" s="33" t="n">
        <v>5016</v>
      </c>
      <c r="B1219" s="33" t="s">
        <v>1680</v>
      </c>
      <c r="C1219" s="33" t="s">
        <v>1545</v>
      </c>
      <c r="D1219" s="33"/>
      <c r="E1219" s="33" t="n">
        <v>74</v>
      </c>
      <c r="F1219" s="33" t="s">
        <v>2159</v>
      </c>
      <c r="G1219" s="33" t="s">
        <v>461</v>
      </c>
      <c r="H1219" s="33" t="n">
        <v>1</v>
      </c>
      <c r="I1219" s="33" t="n">
        <v>1</v>
      </c>
      <c r="J1219" s="33" t="n">
        <v>1</v>
      </c>
      <c r="K1219" s="32" t="n">
        <v>300</v>
      </c>
      <c r="L1219" s="33" t="str">
        <f aca="false">IF($B1219="","",IFERROR(INDEX('Code Mapping'!$D$5:$D$1753,MATCH($B1219,'Code Mapping'!$A$5:$A$1753,0)),"Unmapped"))</f>
        <v>Unmapped</v>
      </c>
      <c r="M1219" s="33" t="str">
        <f aca="false">IF($B1219="","",IFERROR(INDEX('Code Mapping'!$E$5:$E$1753,MATCH($B1219,'Code Mapping'!$A$5:$A$1753,0)),"Unmapped"))</f>
        <v>Unmapped</v>
      </c>
      <c r="N1219" s="33" t="str">
        <f aca="false">IF($F1219="","",$F1219)</f>
        <v>InflataRun 2024</v>
      </c>
    </row>
    <row r="1220" customFormat="false" ht="15" hidden="false" customHeight="false" outlineLevel="0" collapsed="false">
      <c r="A1220" s="33" t="n">
        <v>4584</v>
      </c>
      <c r="B1220" s="33" t="s">
        <v>1679</v>
      </c>
      <c r="C1220" s="33" t="s">
        <v>1552</v>
      </c>
      <c r="D1220" s="33"/>
      <c r="E1220" s="33" t="n">
        <v>74</v>
      </c>
      <c r="F1220" s="33" t="s">
        <v>2159</v>
      </c>
      <c r="G1220" s="33" t="s">
        <v>461</v>
      </c>
      <c r="H1220" s="33" t="n">
        <v>1</v>
      </c>
      <c r="I1220" s="33" t="n">
        <v>1</v>
      </c>
      <c r="J1220" s="33" t="n">
        <v>1</v>
      </c>
      <c r="K1220" s="32" t="n">
        <v>150</v>
      </c>
      <c r="L1220" s="33" t="str">
        <f aca="false">IF($B1220="","",IFERROR(INDEX('Code Mapping'!$D$5:$D$1753,MATCH($B1220,'Code Mapping'!$A$5:$A$1753,0)),"Unmapped"))</f>
        <v>Unmapped</v>
      </c>
      <c r="M1220" s="33" t="str">
        <f aca="false">IF($B1220="","",IFERROR(INDEX('Code Mapping'!$E$5:$E$1753,MATCH($B1220,'Code Mapping'!$A$5:$A$1753,0)),"Unmapped"))</f>
        <v>Unmapped</v>
      </c>
      <c r="N1220" s="33" t="str">
        <f aca="false">IF($F1220="","",$F1220)</f>
        <v>InflataRun 2024</v>
      </c>
    </row>
    <row r="1221" customFormat="false" ht="15" hidden="false" customHeight="false" outlineLevel="0" collapsed="false">
      <c r="A1221" s="33" t="n">
        <v>4824</v>
      </c>
      <c r="B1221" s="33" t="s">
        <v>1734</v>
      </c>
      <c r="C1221" s="33" t="s">
        <v>1545</v>
      </c>
      <c r="D1221" s="33"/>
      <c r="E1221" s="33" t="n">
        <v>74</v>
      </c>
      <c r="F1221" s="33" t="s">
        <v>2159</v>
      </c>
      <c r="G1221" s="33" t="s">
        <v>461</v>
      </c>
      <c r="H1221" s="33" t="n">
        <v>1</v>
      </c>
      <c r="I1221" s="33" t="n">
        <v>1</v>
      </c>
      <c r="J1221" s="33" t="n">
        <v>1</v>
      </c>
      <c r="K1221" s="32" t="n">
        <v>300</v>
      </c>
      <c r="L1221" s="33" t="str">
        <f aca="false">IF($B1221="","",IFERROR(INDEX('Code Mapping'!$D$5:$D$1753,MATCH($B1221,'Code Mapping'!$A$5:$A$1753,0)),"Unmapped"))</f>
        <v>Unmapped</v>
      </c>
      <c r="M1221" s="33" t="str">
        <f aca="false">IF($B1221="","",IFERROR(INDEX('Code Mapping'!$E$5:$E$1753,MATCH($B1221,'Code Mapping'!$A$5:$A$1753,0)),"Unmapped"))</f>
        <v>Unmapped</v>
      </c>
      <c r="N1221" s="33" t="str">
        <f aca="false">IF($F1221="","",$F1221)</f>
        <v>InflataRun 2024</v>
      </c>
    </row>
    <row r="1222" customFormat="false" ht="15" hidden="false" customHeight="false" outlineLevel="0" collapsed="false">
      <c r="A1222" s="33" t="n">
        <v>5427</v>
      </c>
      <c r="B1222" s="33" t="s">
        <v>2010</v>
      </c>
      <c r="C1222" s="33" t="s">
        <v>2011</v>
      </c>
      <c r="D1222" s="33"/>
      <c r="E1222" s="33" t="n">
        <v>74</v>
      </c>
      <c r="F1222" s="33" t="s">
        <v>2159</v>
      </c>
      <c r="G1222" s="33" t="s">
        <v>461</v>
      </c>
      <c r="H1222" s="33" t="n">
        <v>4</v>
      </c>
      <c r="I1222" s="33" t="n">
        <v>12</v>
      </c>
      <c r="J1222" s="33" t="n">
        <v>12</v>
      </c>
      <c r="K1222" s="32" t="n">
        <v>450</v>
      </c>
      <c r="L1222" s="33" t="str">
        <f aca="false">IF($B1222="","",IFERROR(INDEX('Code Mapping'!$D$5:$D$1753,MATCH($B1222,'Code Mapping'!$A$5:$A$1753,0)),"Unmapped"))</f>
        <v>Unmapped</v>
      </c>
      <c r="M1222" s="33" t="str">
        <f aca="false">IF($B1222="","",IFERROR(INDEX('Code Mapping'!$E$5:$E$1753,MATCH($B1222,'Code Mapping'!$A$5:$A$1753,0)),"Unmapped"))</f>
        <v>Unmapped</v>
      </c>
      <c r="N1222" s="33" t="str">
        <f aca="false">IF($F1222="","",$F1222)</f>
        <v>InflataRun 2024</v>
      </c>
    </row>
    <row r="1223" customFormat="false" ht="15" hidden="false" customHeight="false" outlineLevel="0" collapsed="false">
      <c r="A1223" s="33" t="n">
        <v>4901</v>
      </c>
      <c r="B1223" s="33" t="s">
        <v>1743</v>
      </c>
      <c r="C1223" s="33" t="s">
        <v>1545</v>
      </c>
      <c r="D1223" s="33"/>
      <c r="E1223" s="33" t="n">
        <v>74</v>
      </c>
      <c r="F1223" s="33" t="s">
        <v>2159</v>
      </c>
      <c r="G1223" s="33" t="s">
        <v>461</v>
      </c>
      <c r="H1223" s="33" t="n">
        <v>1</v>
      </c>
      <c r="I1223" s="33" t="n">
        <v>1</v>
      </c>
      <c r="J1223" s="33" t="n">
        <v>1</v>
      </c>
      <c r="K1223" s="32" t="n">
        <v>300</v>
      </c>
      <c r="L1223" s="33" t="str">
        <f aca="false">IF($B1223="","",IFERROR(INDEX('Code Mapping'!$D$5:$D$1753,MATCH($B1223,'Code Mapping'!$A$5:$A$1753,0)),"Unmapped"))</f>
        <v>Unmapped</v>
      </c>
      <c r="M1223" s="33" t="str">
        <f aca="false">IF($B1223="","",IFERROR(INDEX('Code Mapping'!$E$5:$E$1753,MATCH($B1223,'Code Mapping'!$A$5:$A$1753,0)),"Unmapped"))</f>
        <v>Unmapped</v>
      </c>
      <c r="N1223" s="33" t="str">
        <f aca="false">IF($F1223="","",$F1223)</f>
        <v>InflataRun 2024</v>
      </c>
    </row>
    <row r="1224" customFormat="false" ht="15" hidden="false" customHeight="false" outlineLevel="0" collapsed="false">
      <c r="A1224" s="33" t="n">
        <v>5060</v>
      </c>
      <c r="B1224" s="33" t="s">
        <v>1764</v>
      </c>
      <c r="C1224" s="33" t="s">
        <v>1545</v>
      </c>
      <c r="D1224" s="33"/>
      <c r="E1224" s="33" t="n">
        <v>74</v>
      </c>
      <c r="F1224" s="33" t="s">
        <v>2159</v>
      </c>
      <c r="G1224" s="33" t="s">
        <v>461</v>
      </c>
      <c r="H1224" s="33" t="n">
        <v>1</v>
      </c>
      <c r="I1224" s="33" t="n">
        <v>1</v>
      </c>
      <c r="J1224" s="33" t="n">
        <v>1</v>
      </c>
      <c r="K1224" s="32" t="n">
        <v>300</v>
      </c>
      <c r="L1224" s="33" t="str">
        <f aca="false">IF($B1224="","",IFERROR(INDEX('Code Mapping'!$D$5:$D$1753,MATCH($B1224,'Code Mapping'!$A$5:$A$1753,0)),"Unmapped"))</f>
        <v>Unmapped</v>
      </c>
      <c r="M1224" s="33" t="str">
        <f aca="false">IF($B1224="","",IFERROR(INDEX('Code Mapping'!$E$5:$E$1753,MATCH($B1224,'Code Mapping'!$A$5:$A$1753,0)),"Unmapped"))</f>
        <v>Unmapped</v>
      </c>
      <c r="N1224" s="33" t="str">
        <f aca="false">IF($F1224="","",$F1224)</f>
        <v>InflataRun 2024</v>
      </c>
    </row>
    <row r="1225" customFormat="false" ht="15" hidden="false" customHeight="false" outlineLevel="0" collapsed="false">
      <c r="A1225" s="33" t="n">
        <v>4896</v>
      </c>
      <c r="B1225" s="33" t="s">
        <v>1676</v>
      </c>
      <c r="C1225" s="33" t="s">
        <v>1545</v>
      </c>
      <c r="D1225" s="33"/>
      <c r="E1225" s="33" t="n">
        <v>74</v>
      </c>
      <c r="F1225" s="33" t="s">
        <v>2159</v>
      </c>
      <c r="G1225" s="33" t="s">
        <v>461</v>
      </c>
      <c r="H1225" s="33" t="n">
        <v>1</v>
      </c>
      <c r="I1225" s="33" t="n">
        <v>1</v>
      </c>
      <c r="J1225" s="33" t="n">
        <v>1</v>
      </c>
      <c r="K1225" s="32" t="n">
        <v>300</v>
      </c>
      <c r="L1225" s="33" t="str">
        <f aca="false">IF($B1225="","",IFERROR(INDEX('Code Mapping'!$D$5:$D$1753,MATCH($B1225,'Code Mapping'!$A$5:$A$1753,0)),"Unmapped"))</f>
        <v>Unmapped</v>
      </c>
      <c r="M1225" s="33" t="str">
        <f aca="false">IF($B1225="","",IFERROR(INDEX('Code Mapping'!$E$5:$E$1753,MATCH($B1225,'Code Mapping'!$A$5:$A$1753,0)),"Unmapped"))</f>
        <v>Unmapped</v>
      </c>
      <c r="N1225" s="33" t="str">
        <f aca="false">IF($F1225="","",$F1225)</f>
        <v>InflataRun 2024</v>
      </c>
    </row>
    <row r="1226" customFormat="false" ht="15" hidden="false" customHeight="false" outlineLevel="0" collapsed="false">
      <c r="A1226" s="33" t="n">
        <v>5420</v>
      </c>
      <c r="B1226" s="33" t="s">
        <v>2006</v>
      </c>
      <c r="C1226" s="33" t="s">
        <v>2007</v>
      </c>
      <c r="D1226" s="33"/>
      <c r="E1226" s="33" t="n">
        <v>74</v>
      </c>
      <c r="F1226" s="33" t="s">
        <v>2159</v>
      </c>
      <c r="G1226" s="33" t="s">
        <v>461</v>
      </c>
      <c r="H1226" s="33" t="n">
        <v>9</v>
      </c>
      <c r="I1226" s="33" t="n">
        <v>32</v>
      </c>
      <c r="J1226" s="33" t="n">
        <v>32</v>
      </c>
      <c r="K1226" s="32" t="n">
        <v>1200</v>
      </c>
      <c r="L1226" s="33" t="str">
        <f aca="false">IF($B1226="","",IFERROR(INDEX('Code Mapping'!$D$5:$D$1753,MATCH($B1226,'Code Mapping'!$A$5:$A$1753,0)),"Unmapped"))</f>
        <v>Unmapped</v>
      </c>
      <c r="M1226" s="33" t="str">
        <f aca="false">IF($B1226="","",IFERROR(INDEX('Code Mapping'!$E$5:$E$1753,MATCH($B1226,'Code Mapping'!$A$5:$A$1753,0)),"Unmapped"))</f>
        <v>Unmapped</v>
      </c>
      <c r="N1226" s="33" t="str">
        <f aca="false">IF($F1226="","",$F1226)</f>
        <v>InflataRun 2024</v>
      </c>
    </row>
    <row r="1227" customFormat="false" ht="15" hidden="false" customHeight="false" outlineLevel="0" collapsed="false">
      <c r="A1227" s="33" t="n">
        <v>5424</v>
      </c>
      <c r="B1227" s="33" t="s">
        <v>1999</v>
      </c>
      <c r="C1227" s="33" t="s">
        <v>2000</v>
      </c>
      <c r="D1227" s="33"/>
      <c r="E1227" s="33" t="n">
        <v>74</v>
      </c>
      <c r="F1227" s="33" t="s">
        <v>2159</v>
      </c>
      <c r="G1227" s="33" t="s">
        <v>461</v>
      </c>
      <c r="H1227" s="33" t="n">
        <v>1</v>
      </c>
      <c r="I1227" s="33" t="n">
        <v>2</v>
      </c>
      <c r="J1227" s="33" t="n">
        <v>2</v>
      </c>
      <c r="K1227" s="32" t="n">
        <v>15</v>
      </c>
      <c r="L1227" s="33" t="str">
        <f aca="false">IF($B1227="","",IFERROR(INDEX('Code Mapping'!$D$5:$D$1753,MATCH($B1227,'Code Mapping'!$A$5:$A$1753,0)),"Unmapped"))</f>
        <v>Snoonu Employees</v>
      </c>
      <c r="M1227" s="33" t="str">
        <f aca="false">IF($B1227="","",IFERROR(INDEX('Code Mapping'!$E$5:$E$1753,MATCH($B1227,'Code Mapping'!$A$5:$A$1753,0)),"Unmapped"))</f>
        <v>Corporate discount</v>
      </c>
      <c r="N1227" s="33" t="str">
        <f aca="false">IF($F1227="","",$F1227)</f>
        <v>InflataRun 2024</v>
      </c>
    </row>
    <row r="1228" customFormat="false" ht="15" hidden="false" customHeight="false" outlineLevel="0" collapsed="false">
      <c r="A1228" s="33" t="n">
        <v>5426</v>
      </c>
      <c r="B1228" s="33" t="s">
        <v>1964</v>
      </c>
      <c r="C1228" s="33" t="s">
        <v>1965</v>
      </c>
      <c r="D1228" s="33"/>
      <c r="E1228" s="33" t="n">
        <v>74</v>
      </c>
      <c r="F1228" s="33" t="s">
        <v>2159</v>
      </c>
      <c r="G1228" s="33" t="s">
        <v>461</v>
      </c>
      <c r="H1228" s="33" t="n">
        <v>39</v>
      </c>
      <c r="I1228" s="33" t="n">
        <v>80</v>
      </c>
      <c r="J1228" s="33" t="n">
        <v>80</v>
      </c>
      <c r="K1228" s="32" t="n">
        <v>1980</v>
      </c>
      <c r="L1228" s="33" t="str">
        <f aca="false">IF($B1228="","",IFERROR(INDEX('Code Mapping'!$D$5:$D$1753,MATCH($B1228,'Code Mapping'!$A$5:$A$1753,0)),"Unmapped"))</f>
        <v>Qatar Airways</v>
      </c>
      <c r="M1228" s="33" t="str">
        <f aca="false">IF($B1228="","",IFERROR(INDEX('Code Mapping'!$E$5:$E$1753,MATCH($B1228,'Code Mapping'!$A$5:$A$1753,0)),"Unmapped"))</f>
        <v>Corporate discount</v>
      </c>
      <c r="N1228" s="33" t="str">
        <f aca="false">IF($F1228="","",$F1228)</f>
        <v>InflataRun 2024</v>
      </c>
    </row>
    <row r="1229" customFormat="false" ht="15" hidden="false" customHeight="false" outlineLevel="0" collapsed="false">
      <c r="A1229" s="33" t="n">
        <v>5425</v>
      </c>
      <c r="B1229" s="33" t="s">
        <v>1952</v>
      </c>
      <c r="C1229" s="33" t="s">
        <v>1953</v>
      </c>
      <c r="D1229" s="33"/>
      <c r="E1229" s="33" t="n">
        <v>74</v>
      </c>
      <c r="F1229" s="33" t="s">
        <v>2159</v>
      </c>
      <c r="G1229" s="33" t="s">
        <v>461</v>
      </c>
      <c r="H1229" s="33" t="n">
        <v>68</v>
      </c>
      <c r="I1229" s="33" t="n">
        <v>154</v>
      </c>
      <c r="J1229" s="33" t="n">
        <v>154</v>
      </c>
      <c r="K1229" s="32" t="n">
        <v>4025</v>
      </c>
      <c r="L1229" s="33" t="str">
        <f aca="false">IF($B1229="","",IFERROR(INDEX('Code Mapping'!$D$5:$D$1753,MATCH($B1229,'Code Mapping'!$A$5:$A$1753,0)),"Unmapped"))</f>
        <v>My Book</v>
      </c>
      <c r="M1229" s="33" t="str">
        <f aca="false">IF($B1229="","",IFERROR(INDEX('Code Mapping'!$E$5:$E$1753,MATCH($B1229,'Code Mapping'!$A$5:$A$1753,0)),"Unmapped"))</f>
        <v>Aggregator BOGO</v>
      </c>
      <c r="N1229" s="33" t="str">
        <f aca="false">IF($F1229="","",$F1229)</f>
        <v>InflataRun 2024</v>
      </c>
    </row>
    <row r="1230" customFormat="false" ht="15" hidden="false" customHeight="false" outlineLevel="0" collapsed="false">
      <c r="A1230" s="33" t="n">
        <v>4582</v>
      </c>
      <c r="B1230" s="33" t="s">
        <v>1769</v>
      </c>
      <c r="C1230" s="33" t="s">
        <v>1552</v>
      </c>
      <c r="D1230" s="33"/>
      <c r="E1230" s="33" t="n">
        <v>74</v>
      </c>
      <c r="F1230" s="33" t="s">
        <v>2159</v>
      </c>
      <c r="G1230" s="33" t="s">
        <v>461</v>
      </c>
      <c r="H1230" s="33" t="n">
        <v>1</v>
      </c>
      <c r="I1230" s="33" t="n">
        <v>1</v>
      </c>
      <c r="J1230" s="33" t="n">
        <v>1</v>
      </c>
      <c r="K1230" s="32" t="n">
        <v>150</v>
      </c>
      <c r="L1230" s="33" t="str">
        <f aca="false">IF($B1230="","",IFERROR(INDEX('Code Mapping'!$D$5:$D$1753,MATCH($B1230,'Code Mapping'!$A$5:$A$1753,0)),"Unmapped"))</f>
        <v>Unmapped</v>
      </c>
      <c r="M1230" s="33" t="str">
        <f aca="false">IF($B1230="","",IFERROR(INDEX('Code Mapping'!$E$5:$E$1753,MATCH($B1230,'Code Mapping'!$A$5:$A$1753,0)),"Unmapped"))</f>
        <v>Unmapped</v>
      </c>
      <c r="N1230" s="33" t="str">
        <f aca="false">IF($F1230="","",$F1230)</f>
        <v>InflataRun 2024</v>
      </c>
    </row>
    <row r="1231" customFormat="false" ht="15" hidden="false" customHeight="false" outlineLevel="0" collapsed="false">
      <c r="A1231" s="33" t="n">
        <v>3666</v>
      </c>
      <c r="B1231" s="33" t="s">
        <v>1766</v>
      </c>
      <c r="C1231" s="33" t="s">
        <v>1554</v>
      </c>
      <c r="D1231" s="33"/>
      <c r="E1231" s="33" t="n">
        <v>74</v>
      </c>
      <c r="F1231" s="33" t="s">
        <v>2159</v>
      </c>
      <c r="G1231" s="33" t="s">
        <v>461</v>
      </c>
      <c r="H1231" s="33" t="n">
        <v>1</v>
      </c>
      <c r="I1231" s="33" t="n">
        <v>1</v>
      </c>
      <c r="J1231" s="33" t="n">
        <v>1</v>
      </c>
      <c r="K1231" s="32" t="n">
        <v>75</v>
      </c>
      <c r="L1231" s="33" t="str">
        <f aca="false">IF($B1231="","",IFERROR(INDEX('Code Mapping'!$D$5:$D$1753,MATCH($B1231,'Code Mapping'!$A$5:$A$1753,0)),"Unmapped"))</f>
        <v>Unmapped</v>
      </c>
      <c r="M1231" s="33" t="str">
        <f aca="false">IF($B1231="","",IFERROR(INDEX('Code Mapping'!$E$5:$E$1753,MATCH($B1231,'Code Mapping'!$A$5:$A$1753,0)),"Unmapped"))</f>
        <v>Unmapped</v>
      </c>
      <c r="N1231" s="33" t="str">
        <f aca="false">IF($F1231="","",$F1231)</f>
        <v>InflataRun 2024</v>
      </c>
    </row>
    <row r="1232" customFormat="false" ht="15" hidden="false" customHeight="false" outlineLevel="0" collapsed="false">
      <c r="A1232" s="33" t="n">
        <v>4581</v>
      </c>
      <c r="B1232" s="33" t="s">
        <v>1763</v>
      </c>
      <c r="C1232" s="33" t="s">
        <v>1552</v>
      </c>
      <c r="D1232" s="33"/>
      <c r="E1232" s="33" t="n">
        <v>74</v>
      </c>
      <c r="F1232" s="33" t="s">
        <v>2159</v>
      </c>
      <c r="G1232" s="33" t="s">
        <v>461</v>
      </c>
      <c r="H1232" s="33" t="n">
        <v>1</v>
      </c>
      <c r="I1232" s="33" t="n">
        <v>1</v>
      </c>
      <c r="J1232" s="33" t="n">
        <v>1</v>
      </c>
      <c r="K1232" s="32" t="n">
        <v>150</v>
      </c>
      <c r="L1232" s="33" t="str">
        <f aca="false">IF($B1232="","",IFERROR(INDEX('Code Mapping'!$D$5:$D$1753,MATCH($B1232,'Code Mapping'!$A$5:$A$1753,0)),"Unmapped"))</f>
        <v>Unmapped</v>
      </c>
      <c r="M1232" s="33" t="str">
        <f aca="false">IF($B1232="","",IFERROR(INDEX('Code Mapping'!$E$5:$E$1753,MATCH($B1232,'Code Mapping'!$A$5:$A$1753,0)),"Unmapped"))</f>
        <v>Unmapped</v>
      </c>
      <c r="N1232" s="33" t="str">
        <f aca="false">IF($F1232="","",$F1232)</f>
        <v>InflataRun 2024</v>
      </c>
    </row>
    <row r="1233" customFormat="false" ht="15" hidden="false" customHeight="false" outlineLevel="0" collapsed="false">
      <c r="A1233" s="33" t="n">
        <v>3603</v>
      </c>
      <c r="B1233" s="33" t="s">
        <v>1744</v>
      </c>
      <c r="C1233" s="33" t="s">
        <v>1554</v>
      </c>
      <c r="D1233" s="33"/>
      <c r="E1233" s="33" t="n">
        <v>74</v>
      </c>
      <c r="F1233" s="33" t="s">
        <v>2159</v>
      </c>
      <c r="G1233" s="33" t="s">
        <v>461</v>
      </c>
      <c r="H1233" s="33" t="n">
        <v>1</v>
      </c>
      <c r="I1233" s="33" t="n">
        <v>1</v>
      </c>
      <c r="J1233" s="33" t="n">
        <v>1</v>
      </c>
      <c r="K1233" s="32" t="n">
        <v>75</v>
      </c>
      <c r="L1233" s="33" t="str">
        <f aca="false">IF($B1233="","",IFERROR(INDEX('Code Mapping'!$D$5:$D$1753,MATCH($B1233,'Code Mapping'!$A$5:$A$1753,0)),"Unmapped"))</f>
        <v>Unmapped</v>
      </c>
      <c r="M1233" s="33" t="str">
        <f aca="false">IF($B1233="","",IFERROR(INDEX('Code Mapping'!$E$5:$E$1753,MATCH($B1233,'Code Mapping'!$A$5:$A$1753,0)),"Unmapped"))</f>
        <v>Unmapped</v>
      </c>
      <c r="N1233" s="33" t="str">
        <f aca="false">IF($F1233="","",$F1233)</f>
        <v>InflataRun 2024</v>
      </c>
    </row>
    <row r="1234" customFormat="false" ht="15" hidden="false" customHeight="false" outlineLevel="0" collapsed="false">
      <c r="A1234" s="33" t="n">
        <v>4794</v>
      </c>
      <c r="B1234" s="33" t="s">
        <v>1762</v>
      </c>
      <c r="C1234" s="33" t="s">
        <v>1545</v>
      </c>
      <c r="D1234" s="33"/>
      <c r="E1234" s="33" t="n">
        <v>74</v>
      </c>
      <c r="F1234" s="33" t="s">
        <v>2159</v>
      </c>
      <c r="G1234" s="33" t="s">
        <v>461</v>
      </c>
      <c r="H1234" s="33" t="n">
        <v>1</v>
      </c>
      <c r="I1234" s="33" t="n">
        <v>1</v>
      </c>
      <c r="J1234" s="33" t="n">
        <v>1</v>
      </c>
      <c r="K1234" s="32" t="n">
        <v>300</v>
      </c>
      <c r="L1234" s="33" t="str">
        <f aca="false">IF($B1234="","",IFERROR(INDEX('Code Mapping'!$D$5:$D$1753,MATCH($B1234,'Code Mapping'!$A$5:$A$1753,0)),"Unmapped"))</f>
        <v>Unmapped</v>
      </c>
      <c r="M1234" s="33" t="str">
        <f aca="false">IF($B1234="","",IFERROR(INDEX('Code Mapping'!$E$5:$E$1753,MATCH($B1234,'Code Mapping'!$A$5:$A$1753,0)),"Unmapped"))</f>
        <v>Unmapped</v>
      </c>
      <c r="N1234" s="33" t="str">
        <f aca="false">IF($F1234="","",$F1234)</f>
        <v>InflataRun 2024</v>
      </c>
    </row>
    <row r="1235" customFormat="false" ht="15" hidden="false" customHeight="false" outlineLevel="0" collapsed="false">
      <c r="A1235" s="33" t="n">
        <v>4984</v>
      </c>
      <c r="B1235" s="33" t="s">
        <v>1760</v>
      </c>
      <c r="C1235" s="33" t="s">
        <v>1545</v>
      </c>
      <c r="D1235" s="33"/>
      <c r="E1235" s="33" t="n">
        <v>74</v>
      </c>
      <c r="F1235" s="33" t="s">
        <v>2159</v>
      </c>
      <c r="G1235" s="33" t="s">
        <v>461</v>
      </c>
      <c r="H1235" s="33" t="n">
        <v>1</v>
      </c>
      <c r="I1235" s="33" t="n">
        <v>1</v>
      </c>
      <c r="J1235" s="33" t="n">
        <v>1</v>
      </c>
      <c r="K1235" s="32" t="n">
        <v>300</v>
      </c>
      <c r="L1235" s="33" t="str">
        <f aca="false">IF($B1235="","",IFERROR(INDEX('Code Mapping'!$D$5:$D$1753,MATCH($B1235,'Code Mapping'!$A$5:$A$1753,0)),"Unmapped"))</f>
        <v>Unmapped</v>
      </c>
      <c r="M1235" s="33" t="str">
        <f aca="false">IF($B1235="","",IFERROR(INDEX('Code Mapping'!$E$5:$E$1753,MATCH($B1235,'Code Mapping'!$A$5:$A$1753,0)),"Unmapped"))</f>
        <v>Unmapped</v>
      </c>
      <c r="N1235" s="33" t="str">
        <f aca="false">IF($F1235="","",$F1235)</f>
        <v>InflataRun 2024</v>
      </c>
    </row>
    <row r="1236" customFormat="false" ht="15" hidden="false" customHeight="false" outlineLevel="0" collapsed="false">
      <c r="A1236" s="33" t="n">
        <v>4837</v>
      </c>
      <c r="B1236" s="33" t="s">
        <v>1755</v>
      </c>
      <c r="C1236" s="33" t="s">
        <v>1545</v>
      </c>
      <c r="D1236" s="33"/>
      <c r="E1236" s="33" t="n">
        <v>74</v>
      </c>
      <c r="F1236" s="33" t="s">
        <v>2159</v>
      </c>
      <c r="G1236" s="33" t="s">
        <v>461</v>
      </c>
      <c r="H1236" s="33" t="n">
        <v>1</v>
      </c>
      <c r="I1236" s="33" t="n">
        <v>1</v>
      </c>
      <c r="J1236" s="33" t="n">
        <v>1</v>
      </c>
      <c r="K1236" s="32" t="n">
        <v>300</v>
      </c>
      <c r="L1236" s="33" t="str">
        <f aca="false">IF($B1236="","",IFERROR(INDEX('Code Mapping'!$D$5:$D$1753,MATCH($B1236,'Code Mapping'!$A$5:$A$1753,0)),"Unmapped"))</f>
        <v>Unmapped</v>
      </c>
      <c r="M1236" s="33" t="str">
        <f aca="false">IF($B1236="","",IFERROR(INDEX('Code Mapping'!$E$5:$E$1753,MATCH($B1236,'Code Mapping'!$A$5:$A$1753,0)),"Unmapped"))</f>
        <v>Unmapped</v>
      </c>
      <c r="N1236" s="33" t="str">
        <f aca="false">IF($F1236="","",$F1236)</f>
        <v>InflataRun 2024</v>
      </c>
    </row>
    <row r="1237" customFormat="false" ht="15" hidden="false" customHeight="false" outlineLevel="0" collapsed="false">
      <c r="A1237" s="33" t="n">
        <v>3667</v>
      </c>
      <c r="B1237" s="33" t="s">
        <v>1751</v>
      </c>
      <c r="C1237" s="33" t="s">
        <v>1554</v>
      </c>
      <c r="D1237" s="33"/>
      <c r="E1237" s="33" t="n">
        <v>74</v>
      </c>
      <c r="F1237" s="33" t="s">
        <v>2159</v>
      </c>
      <c r="G1237" s="33" t="s">
        <v>461</v>
      </c>
      <c r="H1237" s="33" t="n">
        <v>1</v>
      </c>
      <c r="I1237" s="33" t="n">
        <v>1</v>
      </c>
      <c r="J1237" s="33" t="n">
        <v>1</v>
      </c>
      <c r="K1237" s="32" t="n">
        <v>75</v>
      </c>
      <c r="L1237" s="33" t="str">
        <f aca="false">IF($B1237="","",IFERROR(INDEX('Code Mapping'!$D$5:$D$1753,MATCH($B1237,'Code Mapping'!$A$5:$A$1753,0)),"Unmapped"))</f>
        <v>Unmapped</v>
      </c>
      <c r="M1237" s="33" t="str">
        <f aca="false">IF($B1237="","",IFERROR(INDEX('Code Mapping'!$E$5:$E$1753,MATCH($B1237,'Code Mapping'!$A$5:$A$1753,0)),"Unmapped"))</f>
        <v>Unmapped</v>
      </c>
      <c r="N1237" s="33" t="str">
        <f aca="false">IF($F1237="","",$F1237)</f>
        <v>InflataRun 2024</v>
      </c>
    </row>
    <row r="1238" customFormat="false" ht="15" hidden="false" customHeight="false" outlineLevel="0" collapsed="false">
      <c r="A1238" s="33" t="n">
        <v>4777</v>
      </c>
      <c r="B1238" s="33" t="s">
        <v>1750</v>
      </c>
      <c r="C1238" s="33" t="s">
        <v>1545</v>
      </c>
      <c r="D1238" s="33"/>
      <c r="E1238" s="33" t="n">
        <v>74</v>
      </c>
      <c r="F1238" s="33" t="s">
        <v>2159</v>
      </c>
      <c r="G1238" s="33" t="s">
        <v>461</v>
      </c>
      <c r="H1238" s="33" t="n">
        <v>1</v>
      </c>
      <c r="I1238" s="33" t="n">
        <v>1</v>
      </c>
      <c r="J1238" s="33" t="n">
        <v>1</v>
      </c>
      <c r="K1238" s="32" t="n">
        <v>300</v>
      </c>
      <c r="L1238" s="33" t="str">
        <f aca="false">IF($B1238="","",IFERROR(INDEX('Code Mapping'!$D$5:$D$1753,MATCH($B1238,'Code Mapping'!$A$5:$A$1753,0)),"Unmapped"))</f>
        <v>Unmapped</v>
      </c>
      <c r="M1238" s="33" t="str">
        <f aca="false">IF($B1238="","",IFERROR(INDEX('Code Mapping'!$E$5:$E$1753,MATCH($B1238,'Code Mapping'!$A$5:$A$1753,0)),"Unmapped"))</f>
        <v>Unmapped</v>
      </c>
      <c r="N1238" s="33" t="str">
        <f aca="false">IF($F1238="","",$F1238)</f>
        <v>InflataRun 2024</v>
      </c>
    </row>
    <row r="1239" customFormat="false" ht="15" hidden="false" customHeight="false" outlineLevel="0" collapsed="false">
      <c r="A1239" s="33" t="n">
        <v>5029</v>
      </c>
      <c r="B1239" s="33" t="s">
        <v>1748</v>
      </c>
      <c r="C1239" s="33" t="s">
        <v>1545</v>
      </c>
      <c r="D1239" s="33"/>
      <c r="E1239" s="33" t="n">
        <v>74</v>
      </c>
      <c r="F1239" s="33" t="s">
        <v>2159</v>
      </c>
      <c r="G1239" s="33" t="s">
        <v>461</v>
      </c>
      <c r="H1239" s="33" t="n">
        <v>1</v>
      </c>
      <c r="I1239" s="33" t="n">
        <v>1</v>
      </c>
      <c r="J1239" s="33" t="n">
        <v>1</v>
      </c>
      <c r="K1239" s="32" t="n">
        <v>300</v>
      </c>
      <c r="L1239" s="33" t="str">
        <f aca="false">IF($B1239="","",IFERROR(INDEX('Code Mapping'!$D$5:$D$1753,MATCH($B1239,'Code Mapping'!$A$5:$A$1753,0)),"Unmapped"))</f>
        <v>Unmapped</v>
      </c>
      <c r="M1239" s="33" t="str">
        <f aca="false">IF($B1239="","",IFERROR(INDEX('Code Mapping'!$E$5:$E$1753,MATCH($B1239,'Code Mapping'!$A$5:$A$1753,0)),"Unmapped"))</f>
        <v>Unmapped</v>
      </c>
      <c r="N1239" s="33" t="str">
        <f aca="false">IF($F1239="","",$F1239)</f>
        <v>InflataRun 2024</v>
      </c>
    </row>
    <row r="1240" customFormat="false" ht="15" hidden="false" customHeight="false" outlineLevel="0" collapsed="false">
      <c r="A1240" s="33" t="n">
        <v>5062</v>
      </c>
      <c r="B1240" s="33" t="s">
        <v>1745</v>
      </c>
      <c r="C1240" s="33" t="s">
        <v>1545</v>
      </c>
      <c r="D1240" s="33"/>
      <c r="E1240" s="33" t="n">
        <v>74</v>
      </c>
      <c r="F1240" s="33" t="s">
        <v>2159</v>
      </c>
      <c r="G1240" s="33" t="s">
        <v>461</v>
      </c>
      <c r="H1240" s="33" t="n">
        <v>1</v>
      </c>
      <c r="I1240" s="33" t="n">
        <v>1</v>
      </c>
      <c r="J1240" s="33" t="n">
        <v>1</v>
      </c>
      <c r="K1240" s="32" t="n">
        <v>300</v>
      </c>
      <c r="L1240" s="33" t="str">
        <f aca="false">IF($B1240="","",IFERROR(INDEX('Code Mapping'!$D$5:$D$1753,MATCH($B1240,'Code Mapping'!$A$5:$A$1753,0)),"Unmapped"))</f>
        <v>Unmapped</v>
      </c>
      <c r="M1240" s="33" t="str">
        <f aca="false">IF($B1240="","",IFERROR(INDEX('Code Mapping'!$E$5:$E$1753,MATCH($B1240,'Code Mapping'!$A$5:$A$1753,0)),"Unmapped"))</f>
        <v>Unmapped</v>
      </c>
      <c r="N1240" s="33" t="str">
        <f aca="false">IF($F1240="","",$F1240)</f>
        <v>InflataRun 2024</v>
      </c>
    </row>
    <row r="1241" customFormat="false" ht="15" hidden="false" customHeight="false" outlineLevel="0" collapsed="false">
      <c r="A1241" s="33" t="n">
        <v>4864</v>
      </c>
      <c r="B1241" s="33" t="s">
        <v>1678</v>
      </c>
      <c r="C1241" s="33" t="s">
        <v>1545</v>
      </c>
      <c r="D1241" s="33"/>
      <c r="E1241" s="33" t="n">
        <v>74</v>
      </c>
      <c r="F1241" s="33" t="s">
        <v>2159</v>
      </c>
      <c r="G1241" s="33" t="s">
        <v>461</v>
      </c>
      <c r="H1241" s="33" t="n">
        <v>1</v>
      </c>
      <c r="I1241" s="33" t="n">
        <v>1</v>
      </c>
      <c r="J1241" s="33" t="n">
        <v>1</v>
      </c>
      <c r="K1241" s="32" t="n">
        <v>300</v>
      </c>
      <c r="L1241" s="33" t="str">
        <f aca="false">IF($B1241="","",IFERROR(INDEX('Code Mapping'!$D$5:$D$1753,MATCH($B1241,'Code Mapping'!$A$5:$A$1753,0)),"Unmapped"))</f>
        <v>Unmapped</v>
      </c>
      <c r="M1241" s="33" t="str">
        <f aca="false">IF($B1241="","",IFERROR(INDEX('Code Mapping'!$E$5:$E$1753,MATCH($B1241,'Code Mapping'!$A$5:$A$1753,0)),"Unmapped"))</f>
        <v>Unmapped</v>
      </c>
      <c r="N1241" s="33" t="str">
        <f aca="false">IF($F1241="","",$F1241)</f>
        <v>InflataRun 2024</v>
      </c>
    </row>
    <row r="1242" customFormat="false" ht="15" hidden="false" customHeight="false" outlineLevel="0" collapsed="false">
      <c r="A1242" s="33" t="n">
        <v>5052</v>
      </c>
      <c r="B1242" s="33" t="s">
        <v>1696</v>
      </c>
      <c r="C1242" s="33" t="s">
        <v>1545</v>
      </c>
      <c r="D1242" s="33"/>
      <c r="E1242" s="33" t="n">
        <v>74</v>
      </c>
      <c r="F1242" s="33" t="s">
        <v>2159</v>
      </c>
      <c r="G1242" s="33" t="s">
        <v>461</v>
      </c>
      <c r="H1242" s="33" t="n">
        <v>1</v>
      </c>
      <c r="I1242" s="33" t="n">
        <v>1</v>
      </c>
      <c r="J1242" s="33" t="n">
        <v>1</v>
      </c>
      <c r="K1242" s="32" t="n">
        <v>300</v>
      </c>
      <c r="L1242" s="33" t="str">
        <f aca="false">IF($B1242="","",IFERROR(INDEX('Code Mapping'!$D$5:$D$1753,MATCH($B1242,'Code Mapping'!$A$5:$A$1753,0)),"Unmapped"))</f>
        <v>Unmapped</v>
      </c>
      <c r="M1242" s="33" t="str">
        <f aca="false">IF($B1242="","",IFERROR(INDEX('Code Mapping'!$E$5:$E$1753,MATCH($B1242,'Code Mapping'!$A$5:$A$1753,0)),"Unmapped"))</f>
        <v>Unmapped</v>
      </c>
      <c r="N1242" s="33" t="str">
        <f aca="false">IF($F1242="","",$F1242)</f>
        <v>InflataRun 2024</v>
      </c>
    </row>
    <row r="1243" customFormat="false" ht="15" hidden="false" customHeight="false" outlineLevel="0" collapsed="false">
      <c r="A1243" s="33" t="n">
        <v>4780</v>
      </c>
      <c r="B1243" s="33" t="s">
        <v>1675</v>
      </c>
      <c r="C1243" s="33" t="s">
        <v>1545</v>
      </c>
      <c r="D1243" s="33"/>
      <c r="E1243" s="33" t="n">
        <v>74</v>
      </c>
      <c r="F1243" s="33" t="s">
        <v>2159</v>
      </c>
      <c r="G1243" s="33" t="s">
        <v>461</v>
      </c>
      <c r="H1243" s="33" t="n">
        <v>1</v>
      </c>
      <c r="I1243" s="33" t="n">
        <v>1</v>
      </c>
      <c r="J1243" s="33" t="n">
        <v>1</v>
      </c>
      <c r="K1243" s="32" t="n">
        <v>300</v>
      </c>
      <c r="L1243" s="33" t="str">
        <f aca="false">IF($B1243="","",IFERROR(INDEX('Code Mapping'!$D$5:$D$1753,MATCH($B1243,'Code Mapping'!$A$5:$A$1753,0)),"Unmapped"))</f>
        <v>Unmapped</v>
      </c>
      <c r="M1243" s="33" t="str">
        <f aca="false">IF($B1243="","",IFERROR(INDEX('Code Mapping'!$E$5:$E$1753,MATCH($B1243,'Code Mapping'!$A$5:$A$1753,0)),"Unmapped"))</f>
        <v>Unmapped</v>
      </c>
      <c r="N1243" s="33" t="str">
        <f aca="false">IF($F1243="","",$F1243)</f>
        <v>InflataRun 2024</v>
      </c>
    </row>
    <row r="1244" customFormat="false" ht="15" hidden="false" customHeight="false" outlineLevel="0" collapsed="false">
      <c r="A1244" s="33" t="n">
        <v>4909</v>
      </c>
      <c r="B1244" s="33" t="s">
        <v>1610</v>
      </c>
      <c r="C1244" s="33" t="s">
        <v>1545</v>
      </c>
      <c r="D1244" s="33"/>
      <c r="E1244" s="33" t="n">
        <v>74</v>
      </c>
      <c r="F1244" s="33" t="s">
        <v>2159</v>
      </c>
      <c r="G1244" s="33" t="s">
        <v>461</v>
      </c>
      <c r="H1244" s="33" t="n">
        <v>1</v>
      </c>
      <c r="I1244" s="33" t="n">
        <v>1</v>
      </c>
      <c r="J1244" s="33" t="n">
        <v>1</v>
      </c>
      <c r="K1244" s="32" t="n">
        <v>300</v>
      </c>
      <c r="L1244" s="33" t="str">
        <f aca="false">IF($B1244="","",IFERROR(INDEX('Code Mapping'!$D$5:$D$1753,MATCH($B1244,'Code Mapping'!$A$5:$A$1753,0)),"Unmapped"))</f>
        <v>Unmapped</v>
      </c>
      <c r="M1244" s="33" t="str">
        <f aca="false">IF($B1244="","",IFERROR(INDEX('Code Mapping'!$E$5:$E$1753,MATCH($B1244,'Code Mapping'!$A$5:$A$1753,0)),"Unmapped"))</f>
        <v>Unmapped</v>
      </c>
      <c r="N1244" s="33" t="str">
        <f aca="false">IF($F1244="","",$F1244)</f>
        <v>InflataRun 2024</v>
      </c>
    </row>
    <row r="1245" customFormat="false" ht="15" hidden="false" customHeight="false" outlineLevel="0" collapsed="false">
      <c r="A1245" s="33" t="n">
        <v>5024</v>
      </c>
      <c r="B1245" s="33" t="s">
        <v>1608</v>
      </c>
      <c r="C1245" s="33" t="s">
        <v>1545</v>
      </c>
      <c r="D1245" s="33"/>
      <c r="E1245" s="33" t="n">
        <v>74</v>
      </c>
      <c r="F1245" s="33" t="s">
        <v>2159</v>
      </c>
      <c r="G1245" s="33" t="s">
        <v>461</v>
      </c>
      <c r="H1245" s="33" t="n">
        <v>1</v>
      </c>
      <c r="I1245" s="33" t="n">
        <v>1</v>
      </c>
      <c r="J1245" s="33" t="n">
        <v>1</v>
      </c>
      <c r="K1245" s="32" t="n">
        <v>300</v>
      </c>
      <c r="L1245" s="33" t="str">
        <f aca="false">IF($B1245="","",IFERROR(INDEX('Code Mapping'!$D$5:$D$1753,MATCH($B1245,'Code Mapping'!$A$5:$A$1753,0)),"Unmapped"))</f>
        <v>Al Jazeera Imtiyazat</v>
      </c>
      <c r="M1245" s="33" t="str">
        <f aca="false">IF($B1245="","",IFERROR(INDEX('Code Mapping'!$E$5:$E$1753,MATCH($B1245,'Code Mapping'!$A$5:$A$1753,0)),"Unmapped"))</f>
        <v>Corporate discount</v>
      </c>
      <c r="N1245" s="33" t="str">
        <f aca="false">IF($F1245="","",$F1245)</f>
        <v>InflataRun 2024</v>
      </c>
    </row>
    <row r="1246" customFormat="false" ht="15" hidden="false" customHeight="false" outlineLevel="0" collapsed="false">
      <c r="A1246" s="33" t="n">
        <v>4856</v>
      </c>
      <c r="B1246" s="33" t="s">
        <v>1606</v>
      </c>
      <c r="C1246" s="33" t="s">
        <v>1545</v>
      </c>
      <c r="D1246" s="33"/>
      <c r="E1246" s="33" t="n">
        <v>74</v>
      </c>
      <c r="F1246" s="33" t="s">
        <v>2159</v>
      </c>
      <c r="G1246" s="33" t="s">
        <v>461</v>
      </c>
      <c r="H1246" s="33" t="n">
        <v>1</v>
      </c>
      <c r="I1246" s="33" t="n">
        <v>1</v>
      </c>
      <c r="J1246" s="33" t="n">
        <v>1</v>
      </c>
      <c r="K1246" s="32" t="n">
        <v>300</v>
      </c>
      <c r="L1246" s="33" t="str">
        <f aca="false">IF($B1246="","",IFERROR(INDEX('Code Mapping'!$D$5:$D$1753,MATCH($B1246,'Code Mapping'!$A$5:$A$1753,0)),"Unmapped"))</f>
        <v>Unmapped</v>
      </c>
      <c r="M1246" s="33" t="str">
        <f aca="false">IF($B1246="","",IFERROR(INDEX('Code Mapping'!$E$5:$E$1753,MATCH($B1246,'Code Mapping'!$A$5:$A$1753,0)),"Unmapped"))</f>
        <v>Unmapped</v>
      </c>
      <c r="N1246" s="33" t="str">
        <f aca="false">IF($F1246="","",$F1246)</f>
        <v>InflataRun 2024</v>
      </c>
    </row>
    <row r="1247" customFormat="false" ht="15" hidden="false" customHeight="false" outlineLevel="0" collapsed="false">
      <c r="A1247" s="33" t="n">
        <v>4892</v>
      </c>
      <c r="B1247" s="33" t="s">
        <v>1603</v>
      </c>
      <c r="C1247" s="33" t="s">
        <v>1545</v>
      </c>
      <c r="D1247" s="33"/>
      <c r="E1247" s="33" t="n">
        <v>74</v>
      </c>
      <c r="F1247" s="33" t="s">
        <v>2159</v>
      </c>
      <c r="G1247" s="33" t="s">
        <v>461</v>
      </c>
      <c r="H1247" s="33" t="n">
        <v>1</v>
      </c>
      <c r="I1247" s="33" t="n">
        <v>1</v>
      </c>
      <c r="J1247" s="33" t="n">
        <v>1</v>
      </c>
      <c r="K1247" s="32" t="n">
        <v>300</v>
      </c>
      <c r="L1247" s="33" t="str">
        <f aca="false">IF($B1247="","",IFERROR(INDEX('Code Mapping'!$D$5:$D$1753,MATCH($B1247,'Code Mapping'!$A$5:$A$1753,0)),"Unmapped"))</f>
        <v>Unmapped</v>
      </c>
      <c r="M1247" s="33" t="str">
        <f aca="false">IF($B1247="","",IFERROR(INDEX('Code Mapping'!$E$5:$E$1753,MATCH($B1247,'Code Mapping'!$A$5:$A$1753,0)),"Unmapped"))</f>
        <v>Unmapped</v>
      </c>
      <c r="N1247" s="33" t="str">
        <f aca="false">IF($F1247="","",$F1247)</f>
        <v>InflataRun 2024</v>
      </c>
    </row>
    <row r="1248" customFormat="false" ht="15" hidden="false" customHeight="false" outlineLevel="0" collapsed="false">
      <c r="A1248" s="33" t="n">
        <v>4770</v>
      </c>
      <c r="B1248" s="33" t="s">
        <v>1597</v>
      </c>
      <c r="C1248" s="33" t="s">
        <v>1545</v>
      </c>
      <c r="D1248" s="33"/>
      <c r="E1248" s="33" t="n">
        <v>74</v>
      </c>
      <c r="F1248" s="33" t="s">
        <v>2159</v>
      </c>
      <c r="G1248" s="33" t="s">
        <v>461</v>
      </c>
      <c r="H1248" s="33" t="n">
        <v>1</v>
      </c>
      <c r="I1248" s="33" t="n">
        <v>1</v>
      </c>
      <c r="J1248" s="33" t="n">
        <v>1</v>
      </c>
      <c r="K1248" s="32" t="n">
        <v>300</v>
      </c>
      <c r="L1248" s="33" t="str">
        <f aca="false">IF($B1248="","",IFERROR(INDEX('Code Mapping'!$D$5:$D$1753,MATCH($B1248,'Code Mapping'!$A$5:$A$1753,0)),"Unmapped"))</f>
        <v>Unmapped</v>
      </c>
      <c r="M1248" s="33" t="str">
        <f aca="false">IF($B1248="","",IFERROR(INDEX('Code Mapping'!$E$5:$E$1753,MATCH($B1248,'Code Mapping'!$A$5:$A$1753,0)),"Unmapped"))</f>
        <v>Unmapped</v>
      </c>
      <c r="N1248" s="33" t="str">
        <f aca="false">IF($F1248="","",$F1248)</f>
        <v>InflataRun 2024</v>
      </c>
    </row>
    <row r="1249" customFormat="false" ht="15" hidden="false" customHeight="false" outlineLevel="0" collapsed="false">
      <c r="A1249" s="33" t="n">
        <v>4990</v>
      </c>
      <c r="B1249" s="33" t="s">
        <v>1596</v>
      </c>
      <c r="C1249" s="33" t="s">
        <v>1545</v>
      </c>
      <c r="D1249" s="33"/>
      <c r="E1249" s="33" t="n">
        <v>74</v>
      </c>
      <c r="F1249" s="33" t="s">
        <v>2159</v>
      </c>
      <c r="G1249" s="33" t="s">
        <v>461</v>
      </c>
      <c r="H1249" s="33" t="n">
        <v>1</v>
      </c>
      <c r="I1249" s="33" t="n">
        <v>1</v>
      </c>
      <c r="J1249" s="33" t="n">
        <v>1</v>
      </c>
      <c r="K1249" s="32" t="n">
        <v>300</v>
      </c>
      <c r="L1249" s="33" t="str">
        <f aca="false">IF($B1249="","",IFERROR(INDEX('Code Mapping'!$D$5:$D$1753,MATCH($B1249,'Code Mapping'!$A$5:$A$1753,0)),"Unmapped"))</f>
        <v>Unmapped</v>
      </c>
      <c r="M1249" s="33" t="str">
        <f aca="false">IF($B1249="","",IFERROR(INDEX('Code Mapping'!$E$5:$E$1753,MATCH($B1249,'Code Mapping'!$A$5:$A$1753,0)),"Unmapped"))</f>
        <v>Unmapped</v>
      </c>
      <c r="N1249" s="33" t="str">
        <f aca="false">IF($F1249="","",$F1249)</f>
        <v>InflataRun 2024</v>
      </c>
    </row>
    <row r="1250" customFormat="false" ht="15" hidden="false" customHeight="false" outlineLevel="0" collapsed="false">
      <c r="A1250" s="33" t="n">
        <v>4771</v>
      </c>
      <c r="B1250" s="33" t="s">
        <v>1588</v>
      </c>
      <c r="C1250" s="33" t="s">
        <v>1545</v>
      </c>
      <c r="D1250" s="33"/>
      <c r="E1250" s="33" t="n">
        <v>74</v>
      </c>
      <c r="F1250" s="33" t="s">
        <v>2159</v>
      </c>
      <c r="G1250" s="33" t="s">
        <v>461</v>
      </c>
      <c r="H1250" s="33" t="n">
        <v>1</v>
      </c>
      <c r="I1250" s="33" t="n">
        <v>1</v>
      </c>
      <c r="J1250" s="33" t="n">
        <v>1</v>
      </c>
      <c r="K1250" s="32" t="n">
        <v>300</v>
      </c>
      <c r="L1250" s="33" t="str">
        <f aca="false">IF($B1250="","",IFERROR(INDEX('Code Mapping'!$D$5:$D$1753,MATCH($B1250,'Code Mapping'!$A$5:$A$1753,0)),"Unmapped"))</f>
        <v>Unmapped</v>
      </c>
      <c r="M1250" s="33" t="str">
        <f aca="false">IF($B1250="","",IFERROR(INDEX('Code Mapping'!$E$5:$E$1753,MATCH($B1250,'Code Mapping'!$A$5:$A$1753,0)),"Unmapped"))</f>
        <v>Unmapped</v>
      </c>
      <c r="N1250" s="33" t="str">
        <f aca="false">IF($F1250="","",$F1250)</f>
        <v>InflataRun 2024</v>
      </c>
    </row>
    <row r="1251" customFormat="false" ht="15" hidden="false" customHeight="false" outlineLevel="0" collapsed="false">
      <c r="A1251" s="33" t="n">
        <v>4895</v>
      </c>
      <c r="B1251" s="33" t="s">
        <v>1584</v>
      </c>
      <c r="C1251" s="33" t="s">
        <v>1545</v>
      </c>
      <c r="D1251" s="33"/>
      <c r="E1251" s="33" t="n">
        <v>74</v>
      </c>
      <c r="F1251" s="33" t="s">
        <v>2159</v>
      </c>
      <c r="G1251" s="33" t="s">
        <v>461</v>
      </c>
      <c r="H1251" s="33" t="n">
        <v>1</v>
      </c>
      <c r="I1251" s="33" t="n">
        <v>1</v>
      </c>
      <c r="J1251" s="33" t="n">
        <v>1</v>
      </c>
      <c r="K1251" s="32" t="n">
        <v>300</v>
      </c>
      <c r="L1251" s="33" t="str">
        <f aca="false">IF($B1251="","",IFERROR(INDEX('Code Mapping'!$D$5:$D$1753,MATCH($B1251,'Code Mapping'!$A$5:$A$1753,0)),"Unmapped"))</f>
        <v>Unmapped</v>
      </c>
      <c r="M1251" s="33" t="str">
        <f aca="false">IF($B1251="","",IFERROR(INDEX('Code Mapping'!$E$5:$E$1753,MATCH($B1251,'Code Mapping'!$A$5:$A$1753,0)),"Unmapped"))</f>
        <v>Unmapped</v>
      </c>
      <c r="N1251" s="33" t="str">
        <f aca="false">IF($F1251="","",$F1251)</f>
        <v>InflataRun 2024</v>
      </c>
    </row>
    <row r="1252" customFormat="false" ht="15" hidden="false" customHeight="false" outlineLevel="0" collapsed="false">
      <c r="A1252" s="33" t="n">
        <v>4826</v>
      </c>
      <c r="B1252" s="33" t="s">
        <v>1577</v>
      </c>
      <c r="C1252" s="33" t="s">
        <v>1545</v>
      </c>
      <c r="D1252" s="33"/>
      <c r="E1252" s="33" t="n">
        <v>74</v>
      </c>
      <c r="F1252" s="33" t="s">
        <v>2159</v>
      </c>
      <c r="G1252" s="33" t="s">
        <v>461</v>
      </c>
      <c r="H1252" s="33" t="n">
        <v>1</v>
      </c>
      <c r="I1252" s="33" t="n">
        <v>1</v>
      </c>
      <c r="J1252" s="33" t="n">
        <v>1</v>
      </c>
      <c r="K1252" s="32" t="n">
        <v>300</v>
      </c>
      <c r="L1252" s="33" t="str">
        <f aca="false">IF($B1252="","",IFERROR(INDEX('Code Mapping'!$D$5:$D$1753,MATCH($B1252,'Code Mapping'!$A$5:$A$1753,0)),"Unmapped"))</f>
        <v>Unmapped</v>
      </c>
      <c r="M1252" s="33" t="str">
        <f aca="false">IF($B1252="","",IFERROR(INDEX('Code Mapping'!$E$5:$E$1753,MATCH($B1252,'Code Mapping'!$A$5:$A$1753,0)),"Unmapped"))</f>
        <v>Unmapped</v>
      </c>
      <c r="N1252" s="33" t="str">
        <f aca="false">IF($F1252="","",$F1252)</f>
        <v>InflataRun 2024</v>
      </c>
    </row>
    <row r="1253" customFormat="false" ht="15" hidden="false" customHeight="false" outlineLevel="0" collapsed="false">
      <c r="A1253" s="33" t="n">
        <v>3581</v>
      </c>
      <c r="B1253" s="33" t="s">
        <v>1575</v>
      </c>
      <c r="C1253" s="33" t="s">
        <v>1554</v>
      </c>
      <c r="D1253" s="33"/>
      <c r="E1253" s="33" t="n">
        <v>74</v>
      </c>
      <c r="F1253" s="33" t="s">
        <v>2159</v>
      </c>
      <c r="G1253" s="33" t="s">
        <v>461</v>
      </c>
      <c r="H1253" s="33" t="n">
        <v>1</v>
      </c>
      <c r="I1253" s="33" t="n">
        <v>1</v>
      </c>
      <c r="J1253" s="33" t="n">
        <v>1</v>
      </c>
      <c r="K1253" s="32" t="n">
        <v>75</v>
      </c>
      <c r="L1253" s="33" t="str">
        <f aca="false">IF($B1253="","",IFERROR(INDEX('Code Mapping'!$D$5:$D$1753,MATCH($B1253,'Code Mapping'!$A$5:$A$1753,0)),"Unmapped"))</f>
        <v>Unmapped</v>
      </c>
      <c r="M1253" s="33" t="str">
        <f aca="false">IF($B1253="","",IFERROR(INDEX('Code Mapping'!$E$5:$E$1753,MATCH($B1253,'Code Mapping'!$A$5:$A$1753,0)),"Unmapped"))</f>
        <v>Unmapped</v>
      </c>
      <c r="N1253" s="33" t="str">
        <f aca="false">IF($F1253="","",$F1253)</f>
        <v>InflataRun 2024</v>
      </c>
    </row>
    <row r="1254" customFormat="false" ht="15" hidden="false" customHeight="false" outlineLevel="0" collapsed="false">
      <c r="A1254" s="33" t="n">
        <v>4919</v>
      </c>
      <c r="B1254" s="33" t="s">
        <v>1564</v>
      </c>
      <c r="C1254" s="33" t="s">
        <v>1545</v>
      </c>
      <c r="D1254" s="33"/>
      <c r="E1254" s="33" t="n">
        <v>74</v>
      </c>
      <c r="F1254" s="33" t="s">
        <v>2159</v>
      </c>
      <c r="G1254" s="33" t="s">
        <v>461</v>
      </c>
      <c r="H1254" s="33" t="n">
        <v>1</v>
      </c>
      <c r="I1254" s="33" t="n">
        <v>1</v>
      </c>
      <c r="J1254" s="33" t="n">
        <v>1</v>
      </c>
      <c r="K1254" s="32" t="n">
        <v>300</v>
      </c>
      <c r="L1254" s="33" t="str">
        <f aca="false">IF($B1254="","",IFERROR(INDEX('Code Mapping'!$D$5:$D$1753,MATCH($B1254,'Code Mapping'!$A$5:$A$1753,0)),"Unmapped"))</f>
        <v>Unmapped</v>
      </c>
      <c r="M1254" s="33" t="str">
        <f aca="false">IF($B1254="","",IFERROR(INDEX('Code Mapping'!$E$5:$E$1753,MATCH($B1254,'Code Mapping'!$A$5:$A$1753,0)),"Unmapped"))</f>
        <v>Unmapped</v>
      </c>
      <c r="N1254" s="33" t="str">
        <f aca="false">IF($F1254="","",$F1254)</f>
        <v>InflataRun 2024</v>
      </c>
    </row>
    <row r="1255" customFormat="false" ht="15" hidden="false" customHeight="false" outlineLevel="0" collapsed="false">
      <c r="A1255" s="33" t="n">
        <v>3577</v>
      </c>
      <c r="B1255" s="33" t="s">
        <v>1558</v>
      </c>
      <c r="C1255" s="33" t="s">
        <v>1554</v>
      </c>
      <c r="D1255" s="33"/>
      <c r="E1255" s="33" t="n">
        <v>74</v>
      </c>
      <c r="F1255" s="33" t="s">
        <v>2159</v>
      </c>
      <c r="G1255" s="33" t="s">
        <v>461</v>
      </c>
      <c r="H1255" s="33" t="n">
        <v>1</v>
      </c>
      <c r="I1255" s="33" t="n">
        <v>1</v>
      </c>
      <c r="J1255" s="33" t="n">
        <v>1</v>
      </c>
      <c r="K1255" s="32" t="n">
        <v>75</v>
      </c>
      <c r="L1255" s="33" t="str">
        <f aca="false">IF($B1255="","",IFERROR(INDEX('Code Mapping'!$D$5:$D$1753,MATCH($B1255,'Code Mapping'!$A$5:$A$1753,0)),"Unmapped"))</f>
        <v>Unmapped</v>
      </c>
      <c r="M1255" s="33" t="str">
        <f aca="false">IF($B1255="","",IFERROR(INDEX('Code Mapping'!$E$5:$E$1753,MATCH($B1255,'Code Mapping'!$A$5:$A$1753,0)),"Unmapped"))</f>
        <v>Unmapped</v>
      </c>
      <c r="N1255" s="33" t="str">
        <f aca="false">IF($F1255="","",$F1255)</f>
        <v>InflataRun 2024</v>
      </c>
    </row>
    <row r="1256" customFormat="false" ht="15" hidden="false" customHeight="false" outlineLevel="0" collapsed="false">
      <c r="A1256" s="33" t="n">
        <v>4859</v>
      </c>
      <c r="B1256" s="33" t="s">
        <v>1555</v>
      </c>
      <c r="C1256" s="33" t="s">
        <v>1545</v>
      </c>
      <c r="D1256" s="33"/>
      <c r="E1256" s="33" t="n">
        <v>74</v>
      </c>
      <c r="F1256" s="33" t="s">
        <v>2159</v>
      </c>
      <c r="G1256" s="33" t="s">
        <v>461</v>
      </c>
      <c r="H1256" s="33" t="n">
        <v>1</v>
      </c>
      <c r="I1256" s="33" t="n">
        <v>1</v>
      </c>
      <c r="J1256" s="33" t="n">
        <v>1</v>
      </c>
      <c r="K1256" s="32" t="n">
        <v>300</v>
      </c>
      <c r="L1256" s="33" t="str">
        <f aca="false">IF($B1256="","",IFERROR(INDEX('Code Mapping'!$D$5:$D$1753,MATCH($B1256,'Code Mapping'!$A$5:$A$1753,0)),"Unmapped"))</f>
        <v>Unmapped</v>
      </c>
      <c r="M1256" s="33" t="str">
        <f aca="false">IF($B1256="","",IFERROR(INDEX('Code Mapping'!$E$5:$E$1753,MATCH($B1256,'Code Mapping'!$A$5:$A$1753,0)),"Unmapped"))</f>
        <v>Unmapped</v>
      </c>
      <c r="N1256" s="33" t="str">
        <f aca="false">IF($F1256="","",$F1256)</f>
        <v>InflataRun 2024</v>
      </c>
    </row>
    <row r="1257" customFormat="false" ht="15" hidden="false" customHeight="false" outlineLevel="0" collapsed="false">
      <c r="A1257" s="33" t="n">
        <v>4583</v>
      </c>
      <c r="B1257" s="33" t="s">
        <v>1551</v>
      </c>
      <c r="C1257" s="33" t="s">
        <v>1552</v>
      </c>
      <c r="D1257" s="33"/>
      <c r="E1257" s="33" t="n">
        <v>74</v>
      </c>
      <c r="F1257" s="33" t="s">
        <v>2159</v>
      </c>
      <c r="G1257" s="33" t="s">
        <v>461</v>
      </c>
      <c r="H1257" s="33" t="n">
        <v>1</v>
      </c>
      <c r="I1257" s="33" t="n">
        <v>1</v>
      </c>
      <c r="J1257" s="33" t="n">
        <v>1</v>
      </c>
      <c r="K1257" s="32" t="n">
        <v>150</v>
      </c>
      <c r="L1257" s="33" t="str">
        <f aca="false">IF($B1257="","",IFERROR(INDEX('Code Mapping'!$D$5:$D$1753,MATCH($B1257,'Code Mapping'!$A$5:$A$1753,0)),"Unmapped"))</f>
        <v>Unmapped</v>
      </c>
      <c r="M1257" s="33" t="str">
        <f aca="false">IF($B1257="","",IFERROR(INDEX('Code Mapping'!$E$5:$E$1753,MATCH($B1257,'Code Mapping'!$A$5:$A$1753,0)),"Unmapped"))</f>
        <v>Unmapped</v>
      </c>
      <c r="N1257" s="33" t="str">
        <f aca="false">IF($F1257="","",$F1257)</f>
        <v>InflataRun 2024</v>
      </c>
    </row>
    <row r="1258" customFormat="false" ht="15" hidden="false" customHeight="false" outlineLevel="0" collapsed="false">
      <c r="A1258" s="33" t="n">
        <v>4855</v>
      </c>
      <c r="B1258" s="33" t="s">
        <v>1546</v>
      </c>
      <c r="C1258" s="33" t="s">
        <v>1545</v>
      </c>
      <c r="D1258" s="33"/>
      <c r="E1258" s="33" t="n">
        <v>74</v>
      </c>
      <c r="F1258" s="33" t="s">
        <v>2159</v>
      </c>
      <c r="G1258" s="33" t="s">
        <v>461</v>
      </c>
      <c r="H1258" s="33" t="n">
        <v>1</v>
      </c>
      <c r="I1258" s="33" t="n">
        <v>1</v>
      </c>
      <c r="J1258" s="33" t="n">
        <v>1</v>
      </c>
      <c r="K1258" s="32" t="n">
        <v>300</v>
      </c>
      <c r="L1258" s="33" t="str">
        <f aca="false">IF($B1258="","",IFERROR(INDEX('Code Mapping'!$D$5:$D$1753,MATCH($B1258,'Code Mapping'!$A$5:$A$1753,0)),"Unmapped"))</f>
        <v>Unmapped</v>
      </c>
      <c r="M1258" s="33" t="str">
        <f aca="false">IF($B1258="","",IFERROR(INDEX('Code Mapping'!$E$5:$E$1753,MATCH($B1258,'Code Mapping'!$A$5:$A$1753,0)),"Unmapped"))</f>
        <v>Unmapped</v>
      </c>
      <c r="N1258" s="33" t="str">
        <f aca="false">IF($F1258="","",$F1258)</f>
        <v>InflataRun 2024</v>
      </c>
    </row>
    <row r="1259" customFormat="false" ht="15" hidden="false" customHeight="false" outlineLevel="0" collapsed="false">
      <c r="A1259" s="33" t="n">
        <v>4783</v>
      </c>
      <c r="B1259" s="33" t="s">
        <v>1544</v>
      </c>
      <c r="C1259" s="33" t="s">
        <v>1545</v>
      </c>
      <c r="D1259" s="33"/>
      <c r="E1259" s="33" t="n">
        <v>74</v>
      </c>
      <c r="F1259" s="33" t="s">
        <v>2159</v>
      </c>
      <c r="G1259" s="33" t="s">
        <v>461</v>
      </c>
      <c r="H1259" s="33" t="n">
        <v>1</v>
      </c>
      <c r="I1259" s="33" t="n">
        <v>1</v>
      </c>
      <c r="J1259" s="33" t="n">
        <v>1</v>
      </c>
      <c r="K1259" s="32" t="n">
        <v>300</v>
      </c>
      <c r="L1259" s="33" t="str">
        <f aca="false">IF($B1259="","",IFERROR(INDEX('Code Mapping'!$D$5:$D$1753,MATCH($B1259,'Code Mapping'!$A$5:$A$1753,0)),"Unmapped"))</f>
        <v>Unmapped</v>
      </c>
      <c r="M1259" s="33" t="str">
        <f aca="false">IF($B1259="","",IFERROR(INDEX('Code Mapping'!$E$5:$E$1753,MATCH($B1259,'Code Mapping'!$A$5:$A$1753,0)),"Unmapped"))</f>
        <v>Unmapped</v>
      </c>
      <c r="N1259" s="33" t="str">
        <f aca="false">IF($F1259="","",$F1259)</f>
        <v>InflataRun 2024</v>
      </c>
    </row>
    <row r="1260" customFormat="false" ht="15" hidden="false" customHeight="false" outlineLevel="0" collapsed="false">
      <c r="A1260" s="33" t="n">
        <v>5422</v>
      </c>
      <c r="B1260" s="33" t="s">
        <v>459</v>
      </c>
      <c r="C1260" s="33" t="s">
        <v>460</v>
      </c>
      <c r="D1260" s="33"/>
      <c r="E1260" s="33" t="n">
        <v>74</v>
      </c>
      <c r="F1260" s="33" t="s">
        <v>2159</v>
      </c>
      <c r="G1260" s="33" t="s">
        <v>461</v>
      </c>
      <c r="H1260" s="33" t="n">
        <v>1</v>
      </c>
      <c r="I1260" s="33" t="n">
        <v>3</v>
      </c>
      <c r="J1260" s="33" t="n">
        <v>3</v>
      </c>
      <c r="K1260" s="32" t="n">
        <v>45</v>
      </c>
      <c r="L1260" s="33" t="str">
        <f aca="false">IF($B1260="","",IFERROR(INDEX('Code Mapping'!$D$5:$D$1753,MATCH($B1260,'Code Mapping'!$A$5:$A$1753,0)),"Unmapped"))</f>
        <v>Unmapped</v>
      </c>
      <c r="M1260" s="33" t="str">
        <f aca="false">IF($B1260="","",IFERROR(INDEX('Code Mapping'!$E$5:$E$1753,MATCH($B1260,'Code Mapping'!$A$5:$A$1753,0)),"Unmapped"))</f>
        <v>Unmapped</v>
      </c>
      <c r="N1260" s="33" t="str">
        <f aca="false">IF($F1260="","",$F1260)</f>
        <v>InflataRun 2024</v>
      </c>
    </row>
    <row r="1261" customFormat="false" ht="15" hidden="false" customHeight="false" outlineLevel="0" collapsed="false">
      <c r="A1261" s="33" t="n">
        <v>4861</v>
      </c>
      <c r="B1261" s="33" t="s">
        <v>1671</v>
      </c>
      <c r="C1261" s="33" t="s">
        <v>1545</v>
      </c>
      <c r="D1261" s="33"/>
      <c r="E1261" s="33" t="n">
        <v>74</v>
      </c>
      <c r="F1261" s="33" t="s">
        <v>2159</v>
      </c>
      <c r="G1261" s="33" t="s">
        <v>461</v>
      </c>
      <c r="H1261" s="33" t="n">
        <v>1</v>
      </c>
      <c r="I1261" s="33" t="n">
        <v>1</v>
      </c>
      <c r="J1261" s="33" t="n">
        <v>1</v>
      </c>
      <c r="K1261" s="32" t="n">
        <v>300</v>
      </c>
      <c r="L1261" s="33" t="str">
        <f aca="false">IF($B1261="","",IFERROR(INDEX('Code Mapping'!$D$5:$D$1753,MATCH($B1261,'Code Mapping'!$A$5:$A$1753,0)),"Unmapped"))</f>
        <v>Unmapped</v>
      </c>
      <c r="M1261" s="33" t="str">
        <f aca="false">IF($B1261="","",IFERROR(INDEX('Code Mapping'!$E$5:$E$1753,MATCH($B1261,'Code Mapping'!$A$5:$A$1753,0)),"Unmapped"))</f>
        <v>Unmapped</v>
      </c>
      <c r="N1261" s="33" t="str">
        <f aca="false">IF($F1261="","",$F1261)</f>
        <v>InflataRun 2024</v>
      </c>
    </row>
    <row r="1262" customFormat="false" ht="15" hidden="false" customHeight="false" outlineLevel="0" collapsed="false">
      <c r="A1262" s="33" t="n">
        <v>5007</v>
      </c>
      <c r="B1262" s="33" t="s">
        <v>1609</v>
      </c>
      <c r="C1262" s="33" t="s">
        <v>1545</v>
      </c>
      <c r="D1262" s="33"/>
      <c r="E1262" s="33" t="n">
        <v>74</v>
      </c>
      <c r="F1262" s="33" t="s">
        <v>2159</v>
      </c>
      <c r="G1262" s="33" t="s">
        <v>461</v>
      </c>
      <c r="H1262" s="33" t="n">
        <v>1</v>
      </c>
      <c r="I1262" s="33" t="n">
        <v>1</v>
      </c>
      <c r="J1262" s="33" t="n">
        <v>1</v>
      </c>
      <c r="K1262" s="32" t="n">
        <v>300</v>
      </c>
      <c r="L1262" s="33" t="str">
        <f aca="false">IF($B1262="","",IFERROR(INDEX('Code Mapping'!$D$5:$D$1753,MATCH($B1262,'Code Mapping'!$A$5:$A$1753,0)),"Unmapped"))</f>
        <v>Al Jazeera Imtiyazat</v>
      </c>
      <c r="M1262" s="33" t="str">
        <f aca="false">IF($B1262="","",IFERROR(INDEX('Code Mapping'!$E$5:$E$1753,MATCH($B1262,'Code Mapping'!$A$5:$A$1753,0)),"Unmapped"))</f>
        <v>Corporate discount</v>
      </c>
      <c r="N1262" s="33" t="str">
        <f aca="false">IF($F1262="","",$F1262)</f>
        <v>InflataRun 2024</v>
      </c>
    </row>
    <row r="1263" customFormat="false" ht="15" hidden="false" customHeight="false" outlineLevel="0" collapsed="false">
      <c r="A1263" s="33" t="n">
        <v>4974</v>
      </c>
      <c r="B1263" s="33" t="s">
        <v>1587</v>
      </c>
      <c r="C1263" s="33" t="s">
        <v>1545</v>
      </c>
      <c r="D1263" s="33"/>
      <c r="E1263" s="33" t="n">
        <v>74</v>
      </c>
      <c r="F1263" s="33" t="s">
        <v>2159</v>
      </c>
      <c r="G1263" s="33" t="s">
        <v>461</v>
      </c>
      <c r="H1263" s="33" t="n">
        <v>1</v>
      </c>
      <c r="I1263" s="33" t="n">
        <v>1</v>
      </c>
      <c r="J1263" s="33" t="n">
        <v>1</v>
      </c>
      <c r="K1263" s="32" t="n">
        <v>300</v>
      </c>
      <c r="L1263" s="33" t="str">
        <f aca="false">IF($B1263="","",IFERROR(INDEX('Code Mapping'!$D$5:$D$1753,MATCH($B1263,'Code Mapping'!$A$5:$A$1753,0)),"Unmapped"))</f>
        <v>Unmapped</v>
      </c>
      <c r="M1263" s="33" t="str">
        <f aca="false">IF($B1263="","",IFERROR(INDEX('Code Mapping'!$E$5:$E$1753,MATCH($B1263,'Code Mapping'!$A$5:$A$1753,0)),"Unmapped"))</f>
        <v>Unmapped</v>
      </c>
      <c r="N1263" s="33" t="str">
        <f aca="false">IF($F1263="","",$F1263)</f>
        <v>InflataRun 2024</v>
      </c>
    </row>
    <row r="1264" customFormat="false" ht="15" hidden="false" customHeight="false" outlineLevel="0" collapsed="false">
      <c r="A1264" s="33" t="n">
        <v>4991</v>
      </c>
      <c r="B1264" s="33" t="s">
        <v>1611</v>
      </c>
      <c r="C1264" s="33" t="s">
        <v>1545</v>
      </c>
      <c r="D1264" s="33"/>
      <c r="E1264" s="33" t="n">
        <v>74</v>
      </c>
      <c r="F1264" s="33" t="s">
        <v>2159</v>
      </c>
      <c r="G1264" s="33" t="s">
        <v>461</v>
      </c>
      <c r="H1264" s="33" t="n">
        <v>1</v>
      </c>
      <c r="I1264" s="33" t="n">
        <v>1</v>
      </c>
      <c r="J1264" s="33" t="n">
        <v>1</v>
      </c>
      <c r="K1264" s="32" t="n">
        <v>300</v>
      </c>
      <c r="L1264" s="33" t="str">
        <f aca="false">IF($B1264="","",IFERROR(INDEX('Code Mapping'!$D$5:$D$1753,MATCH($B1264,'Code Mapping'!$A$5:$A$1753,0)),"Unmapped"))</f>
        <v>Unmapped</v>
      </c>
      <c r="M1264" s="33" t="str">
        <f aca="false">IF($B1264="","",IFERROR(INDEX('Code Mapping'!$E$5:$E$1753,MATCH($B1264,'Code Mapping'!$A$5:$A$1753,0)),"Unmapped"))</f>
        <v>Unmapped</v>
      </c>
      <c r="N1264" s="33" t="str">
        <f aca="false">IF($F1264="","",$F1264)</f>
        <v>InflataRun 2024</v>
      </c>
    </row>
    <row r="1265" customFormat="false" ht="15" hidden="false" customHeight="false" outlineLevel="0" collapsed="false">
      <c r="A1265" s="33" t="n">
        <v>5069</v>
      </c>
      <c r="B1265" s="33" t="s">
        <v>1643</v>
      </c>
      <c r="C1265" s="33" t="s">
        <v>1545</v>
      </c>
      <c r="D1265" s="33"/>
      <c r="E1265" s="33" t="n">
        <v>74</v>
      </c>
      <c r="F1265" s="33" t="s">
        <v>2159</v>
      </c>
      <c r="G1265" s="33" t="s">
        <v>461</v>
      </c>
      <c r="H1265" s="33" t="n">
        <v>1</v>
      </c>
      <c r="I1265" s="33" t="n">
        <v>1</v>
      </c>
      <c r="J1265" s="33" t="n">
        <v>1</v>
      </c>
      <c r="K1265" s="32" t="n">
        <v>300</v>
      </c>
      <c r="L1265" s="33" t="str">
        <f aca="false">IF($B1265="","",IFERROR(INDEX('Code Mapping'!$D$5:$D$1753,MATCH($B1265,'Code Mapping'!$A$5:$A$1753,0)),"Unmapped"))</f>
        <v>Unmapped</v>
      </c>
      <c r="M1265" s="33" t="str">
        <f aca="false">IF($B1265="","",IFERROR(INDEX('Code Mapping'!$E$5:$E$1753,MATCH($B1265,'Code Mapping'!$A$5:$A$1753,0)),"Unmapped"))</f>
        <v>Unmapped</v>
      </c>
      <c r="N1265" s="33" t="str">
        <f aca="false">IF($F1265="","",$F1265)</f>
        <v>InflataRun 2024</v>
      </c>
    </row>
    <row r="1266" customFormat="false" ht="15" hidden="false" customHeight="false" outlineLevel="0" collapsed="false">
      <c r="A1266" s="33" t="n">
        <v>5026</v>
      </c>
      <c r="B1266" s="33" t="s">
        <v>1668</v>
      </c>
      <c r="C1266" s="33" t="s">
        <v>1545</v>
      </c>
      <c r="D1266" s="33"/>
      <c r="E1266" s="33" t="n">
        <v>74</v>
      </c>
      <c r="F1266" s="33" t="s">
        <v>2159</v>
      </c>
      <c r="G1266" s="33" t="s">
        <v>461</v>
      </c>
      <c r="H1266" s="33" t="n">
        <v>1</v>
      </c>
      <c r="I1266" s="33" t="n">
        <v>1</v>
      </c>
      <c r="J1266" s="33" t="n">
        <v>1</v>
      </c>
      <c r="K1266" s="32" t="n">
        <v>300</v>
      </c>
      <c r="L1266" s="33" t="str">
        <f aca="false">IF($B1266="","",IFERROR(INDEX('Code Mapping'!$D$5:$D$1753,MATCH($B1266,'Code Mapping'!$A$5:$A$1753,0)),"Unmapped"))</f>
        <v>Unmapped</v>
      </c>
      <c r="M1266" s="33" t="str">
        <f aca="false">IF($B1266="","",IFERROR(INDEX('Code Mapping'!$E$5:$E$1753,MATCH($B1266,'Code Mapping'!$A$5:$A$1753,0)),"Unmapped"))</f>
        <v>Unmapped</v>
      </c>
      <c r="N1266" s="33" t="str">
        <f aca="false">IF($F1266="","",$F1266)</f>
        <v>InflataRun 2024</v>
      </c>
    </row>
    <row r="1267" customFormat="false" ht="15" hidden="false" customHeight="false" outlineLevel="0" collapsed="false">
      <c r="A1267" s="33" t="n">
        <v>4938</v>
      </c>
      <c r="B1267" s="33" t="s">
        <v>1613</v>
      </c>
      <c r="C1267" s="33" t="s">
        <v>1545</v>
      </c>
      <c r="D1267" s="33"/>
      <c r="E1267" s="33" t="n">
        <v>74</v>
      </c>
      <c r="F1267" s="33" t="s">
        <v>2159</v>
      </c>
      <c r="G1267" s="33" t="s">
        <v>461</v>
      </c>
      <c r="H1267" s="33" t="n">
        <v>1</v>
      </c>
      <c r="I1267" s="33" t="n">
        <v>1</v>
      </c>
      <c r="J1267" s="33" t="n">
        <v>1</v>
      </c>
      <c r="K1267" s="32" t="n">
        <v>300</v>
      </c>
      <c r="L1267" s="33" t="str">
        <f aca="false">IF($B1267="","",IFERROR(INDEX('Code Mapping'!$D$5:$D$1753,MATCH($B1267,'Code Mapping'!$A$5:$A$1753,0)),"Unmapped"))</f>
        <v>Unmapped</v>
      </c>
      <c r="M1267" s="33" t="str">
        <f aca="false">IF($B1267="","",IFERROR(INDEX('Code Mapping'!$E$5:$E$1753,MATCH($B1267,'Code Mapping'!$A$5:$A$1753,0)),"Unmapped"))</f>
        <v>Unmapped</v>
      </c>
      <c r="N1267" s="33" t="str">
        <f aca="false">IF($F1267="","",$F1267)</f>
        <v>InflataRun 2024</v>
      </c>
    </row>
    <row r="1268" customFormat="false" ht="15" hidden="false" customHeight="false" outlineLevel="0" collapsed="false">
      <c r="A1268" s="33" t="n">
        <v>4905</v>
      </c>
      <c r="B1268" s="33" t="s">
        <v>1666</v>
      </c>
      <c r="C1268" s="33" t="s">
        <v>1545</v>
      </c>
      <c r="D1268" s="33"/>
      <c r="E1268" s="33" t="n">
        <v>74</v>
      </c>
      <c r="F1268" s="33" t="s">
        <v>2159</v>
      </c>
      <c r="G1268" s="33" t="s">
        <v>461</v>
      </c>
      <c r="H1268" s="33" t="n">
        <v>1</v>
      </c>
      <c r="I1268" s="33" t="n">
        <v>1</v>
      </c>
      <c r="J1268" s="33" t="n">
        <v>1</v>
      </c>
      <c r="K1268" s="32" t="n">
        <v>300</v>
      </c>
      <c r="L1268" s="33" t="str">
        <f aca="false">IF($B1268="","",IFERROR(INDEX('Code Mapping'!$D$5:$D$1753,MATCH($B1268,'Code Mapping'!$A$5:$A$1753,0)),"Unmapped"))</f>
        <v>Unmapped</v>
      </c>
      <c r="M1268" s="33" t="str">
        <f aca="false">IF($B1268="","",IFERROR(INDEX('Code Mapping'!$E$5:$E$1753,MATCH($B1268,'Code Mapping'!$A$5:$A$1753,0)),"Unmapped"))</f>
        <v>Unmapped</v>
      </c>
      <c r="N1268" s="33" t="str">
        <f aca="false">IF($F1268="","",$F1268)</f>
        <v>InflataRun 2024</v>
      </c>
    </row>
    <row r="1269" customFormat="false" ht="15" hidden="false" customHeight="false" outlineLevel="0" collapsed="false">
      <c r="A1269" s="33" t="n">
        <v>4843</v>
      </c>
      <c r="B1269" s="33" t="s">
        <v>1664</v>
      </c>
      <c r="C1269" s="33" t="s">
        <v>1545</v>
      </c>
      <c r="D1269" s="33"/>
      <c r="E1269" s="33" t="n">
        <v>74</v>
      </c>
      <c r="F1269" s="33" t="s">
        <v>2159</v>
      </c>
      <c r="G1269" s="33" t="s">
        <v>461</v>
      </c>
      <c r="H1269" s="33" t="n">
        <v>1</v>
      </c>
      <c r="I1269" s="33" t="n">
        <v>1</v>
      </c>
      <c r="J1269" s="33" t="n">
        <v>1</v>
      </c>
      <c r="K1269" s="32" t="n">
        <v>300</v>
      </c>
      <c r="L1269" s="33" t="str">
        <f aca="false">IF($B1269="","",IFERROR(INDEX('Code Mapping'!$D$5:$D$1753,MATCH($B1269,'Code Mapping'!$A$5:$A$1753,0)),"Unmapped"))</f>
        <v>Unmapped</v>
      </c>
      <c r="M1269" s="33" t="str">
        <f aca="false">IF($B1269="","",IFERROR(INDEX('Code Mapping'!$E$5:$E$1753,MATCH($B1269,'Code Mapping'!$A$5:$A$1753,0)),"Unmapped"))</f>
        <v>Unmapped</v>
      </c>
      <c r="N1269" s="33" t="str">
        <f aca="false">IF($F1269="","",$F1269)</f>
        <v>InflataRun 2024</v>
      </c>
    </row>
    <row r="1270" customFormat="false" ht="15" hidden="false" customHeight="false" outlineLevel="0" collapsed="false">
      <c r="A1270" s="33" t="n">
        <v>4981</v>
      </c>
      <c r="B1270" s="33" t="s">
        <v>1669</v>
      </c>
      <c r="C1270" s="33" t="s">
        <v>1545</v>
      </c>
      <c r="D1270" s="33"/>
      <c r="E1270" s="33" t="n">
        <v>74</v>
      </c>
      <c r="F1270" s="33" t="s">
        <v>2159</v>
      </c>
      <c r="G1270" s="33" t="s">
        <v>461</v>
      </c>
      <c r="H1270" s="33" t="n">
        <v>1</v>
      </c>
      <c r="I1270" s="33" t="n">
        <v>1</v>
      </c>
      <c r="J1270" s="33" t="n">
        <v>1</v>
      </c>
      <c r="K1270" s="32" t="n">
        <v>300</v>
      </c>
      <c r="L1270" s="33" t="str">
        <f aca="false">IF($B1270="","",IFERROR(INDEX('Code Mapping'!$D$5:$D$1753,MATCH($B1270,'Code Mapping'!$A$5:$A$1753,0)),"Unmapped"))</f>
        <v>Unmapped</v>
      </c>
      <c r="M1270" s="33" t="str">
        <f aca="false">IF($B1270="","",IFERROR(INDEX('Code Mapping'!$E$5:$E$1753,MATCH($B1270,'Code Mapping'!$A$5:$A$1753,0)),"Unmapped"))</f>
        <v>Unmapped</v>
      </c>
      <c r="N1270" s="33" t="str">
        <f aca="false">IF($F1270="","",$F1270)</f>
        <v>InflataRun 2024</v>
      </c>
    </row>
    <row r="1271" customFormat="false" ht="15" hidden="false" customHeight="false" outlineLevel="0" collapsed="false">
      <c r="A1271" s="33" t="n">
        <v>4994</v>
      </c>
      <c r="B1271" s="33" t="s">
        <v>1654</v>
      </c>
      <c r="C1271" s="33" t="s">
        <v>1545</v>
      </c>
      <c r="D1271" s="33"/>
      <c r="E1271" s="33" t="n">
        <v>74</v>
      </c>
      <c r="F1271" s="33" t="s">
        <v>2159</v>
      </c>
      <c r="G1271" s="33" t="s">
        <v>461</v>
      </c>
      <c r="H1271" s="33" t="n">
        <v>1</v>
      </c>
      <c r="I1271" s="33" t="n">
        <v>1</v>
      </c>
      <c r="J1271" s="33" t="n">
        <v>1</v>
      </c>
      <c r="K1271" s="32" t="n">
        <v>300</v>
      </c>
      <c r="L1271" s="33" t="str">
        <f aca="false">IF($B1271="","",IFERROR(INDEX('Code Mapping'!$D$5:$D$1753,MATCH($B1271,'Code Mapping'!$A$5:$A$1753,0)),"Unmapped"))</f>
        <v>Unmapped</v>
      </c>
      <c r="M1271" s="33" t="str">
        <f aca="false">IF($B1271="","",IFERROR(INDEX('Code Mapping'!$E$5:$E$1753,MATCH($B1271,'Code Mapping'!$A$5:$A$1753,0)),"Unmapped"))</f>
        <v>Unmapped</v>
      </c>
      <c r="N1271" s="33" t="str">
        <f aca="false">IF($F1271="","",$F1271)</f>
        <v>InflataRun 2024</v>
      </c>
    </row>
    <row r="1272" customFormat="false" ht="15" hidden="false" customHeight="false" outlineLevel="0" collapsed="false">
      <c r="A1272" s="33" t="n">
        <v>5023</v>
      </c>
      <c r="B1272" s="33" t="s">
        <v>1651</v>
      </c>
      <c r="C1272" s="33" t="s">
        <v>1545</v>
      </c>
      <c r="D1272" s="33"/>
      <c r="E1272" s="33" t="n">
        <v>74</v>
      </c>
      <c r="F1272" s="33" t="s">
        <v>2159</v>
      </c>
      <c r="G1272" s="33" t="s">
        <v>461</v>
      </c>
      <c r="H1272" s="33" t="n">
        <v>1</v>
      </c>
      <c r="I1272" s="33" t="n">
        <v>1</v>
      </c>
      <c r="J1272" s="33" t="n">
        <v>1</v>
      </c>
      <c r="K1272" s="32" t="n">
        <v>300</v>
      </c>
      <c r="L1272" s="33" t="str">
        <f aca="false">IF($B1272="","",IFERROR(INDEX('Code Mapping'!$D$5:$D$1753,MATCH($B1272,'Code Mapping'!$A$5:$A$1753,0)),"Unmapped"))</f>
        <v>Unmapped</v>
      </c>
      <c r="M1272" s="33" t="str">
        <f aca="false">IF($B1272="","",IFERROR(INDEX('Code Mapping'!$E$5:$E$1753,MATCH($B1272,'Code Mapping'!$A$5:$A$1753,0)),"Unmapped"))</f>
        <v>Unmapped</v>
      </c>
      <c r="N1272" s="33" t="str">
        <f aca="false">IF($F1272="","",$F1272)</f>
        <v>InflataRun 2024</v>
      </c>
    </row>
    <row r="1273" customFormat="false" ht="15" hidden="false" customHeight="false" outlineLevel="0" collapsed="false">
      <c r="A1273" s="33" t="n">
        <v>5019</v>
      </c>
      <c r="B1273" s="33" t="s">
        <v>1648</v>
      </c>
      <c r="C1273" s="33" t="s">
        <v>1545</v>
      </c>
      <c r="D1273" s="33"/>
      <c r="E1273" s="33" t="n">
        <v>74</v>
      </c>
      <c r="F1273" s="33" t="s">
        <v>2159</v>
      </c>
      <c r="G1273" s="33" t="s">
        <v>461</v>
      </c>
      <c r="H1273" s="33" t="n">
        <v>1</v>
      </c>
      <c r="I1273" s="33" t="n">
        <v>1</v>
      </c>
      <c r="J1273" s="33" t="n">
        <v>1</v>
      </c>
      <c r="K1273" s="32" t="n">
        <v>300</v>
      </c>
      <c r="L1273" s="33" t="str">
        <f aca="false">IF($B1273="","",IFERROR(INDEX('Code Mapping'!$D$5:$D$1753,MATCH($B1273,'Code Mapping'!$A$5:$A$1753,0)),"Unmapped"))</f>
        <v>Unmapped</v>
      </c>
      <c r="M1273" s="33" t="str">
        <f aca="false">IF($B1273="","",IFERROR(INDEX('Code Mapping'!$E$5:$E$1753,MATCH($B1273,'Code Mapping'!$A$5:$A$1753,0)),"Unmapped"))</f>
        <v>Unmapped</v>
      </c>
      <c r="N1273" s="33" t="str">
        <f aca="false">IF($F1273="","",$F1273)</f>
        <v>InflataRun 2024</v>
      </c>
    </row>
    <row r="1274" customFormat="false" ht="15" hidden="false" customHeight="false" outlineLevel="0" collapsed="false">
      <c r="A1274" s="33" t="n">
        <v>4986</v>
      </c>
      <c r="B1274" s="33" t="s">
        <v>1653</v>
      </c>
      <c r="C1274" s="33" t="s">
        <v>1545</v>
      </c>
      <c r="D1274" s="33"/>
      <c r="E1274" s="33" t="n">
        <v>74</v>
      </c>
      <c r="F1274" s="33" t="s">
        <v>2159</v>
      </c>
      <c r="G1274" s="33" t="s">
        <v>461</v>
      </c>
      <c r="H1274" s="33" t="n">
        <v>1</v>
      </c>
      <c r="I1274" s="33" t="n">
        <v>1</v>
      </c>
      <c r="J1274" s="33" t="n">
        <v>1</v>
      </c>
      <c r="K1274" s="32" t="n">
        <v>300</v>
      </c>
      <c r="L1274" s="33" t="str">
        <f aca="false">IF($B1274="","",IFERROR(INDEX('Code Mapping'!$D$5:$D$1753,MATCH($B1274,'Code Mapping'!$A$5:$A$1753,0)),"Unmapped"))</f>
        <v>Unmapped</v>
      </c>
      <c r="M1274" s="33" t="str">
        <f aca="false">IF($B1274="","",IFERROR(INDEX('Code Mapping'!$E$5:$E$1753,MATCH($B1274,'Code Mapping'!$A$5:$A$1753,0)),"Unmapped"))</f>
        <v>Unmapped</v>
      </c>
      <c r="N1274" s="33" t="str">
        <f aca="false">IF($F1274="","",$F1274)</f>
        <v>InflataRun 2024</v>
      </c>
    </row>
    <row r="1275" customFormat="false" ht="15" hidden="false" customHeight="false" outlineLevel="0" collapsed="false">
      <c r="A1275" s="33" t="n">
        <v>4982</v>
      </c>
      <c r="B1275" s="33" t="s">
        <v>1634</v>
      </c>
      <c r="C1275" s="33" t="s">
        <v>1545</v>
      </c>
      <c r="D1275" s="33"/>
      <c r="E1275" s="33" t="n">
        <v>74</v>
      </c>
      <c r="F1275" s="33" t="s">
        <v>2159</v>
      </c>
      <c r="G1275" s="33" t="s">
        <v>461</v>
      </c>
      <c r="H1275" s="33" t="n">
        <v>1</v>
      </c>
      <c r="I1275" s="33" t="n">
        <v>1</v>
      </c>
      <c r="J1275" s="33" t="n">
        <v>1</v>
      </c>
      <c r="K1275" s="32" t="n">
        <v>300</v>
      </c>
      <c r="L1275" s="33" t="str">
        <f aca="false">IF($B1275="","",IFERROR(INDEX('Code Mapping'!$D$5:$D$1753,MATCH($B1275,'Code Mapping'!$A$5:$A$1753,0)),"Unmapped"))</f>
        <v>Unmapped</v>
      </c>
      <c r="M1275" s="33" t="str">
        <f aca="false">IF($B1275="","",IFERROR(INDEX('Code Mapping'!$E$5:$E$1753,MATCH($B1275,'Code Mapping'!$A$5:$A$1753,0)),"Unmapped"))</f>
        <v>Unmapped</v>
      </c>
      <c r="N1275" s="33" t="str">
        <f aca="false">IF($F1275="","",$F1275)</f>
        <v>InflataRun 2024</v>
      </c>
    </row>
    <row r="1276" customFormat="false" ht="15" hidden="false" customHeight="false" outlineLevel="0" collapsed="false">
      <c r="A1276" s="33" t="n">
        <v>3571</v>
      </c>
      <c r="B1276" s="33" t="s">
        <v>1632</v>
      </c>
      <c r="C1276" s="33" t="s">
        <v>1554</v>
      </c>
      <c r="D1276" s="33"/>
      <c r="E1276" s="33" t="n">
        <v>74</v>
      </c>
      <c r="F1276" s="33" t="s">
        <v>2159</v>
      </c>
      <c r="G1276" s="33" t="s">
        <v>461</v>
      </c>
      <c r="H1276" s="33" t="n">
        <v>1</v>
      </c>
      <c r="I1276" s="33" t="n">
        <v>1</v>
      </c>
      <c r="J1276" s="33" t="n">
        <v>1</v>
      </c>
      <c r="K1276" s="32" t="n">
        <v>75</v>
      </c>
      <c r="L1276" s="33" t="str">
        <f aca="false">IF($B1276="","",IFERROR(INDEX('Code Mapping'!$D$5:$D$1753,MATCH($B1276,'Code Mapping'!$A$5:$A$1753,0)),"Unmapped"))</f>
        <v>Unmapped</v>
      </c>
      <c r="M1276" s="33" t="str">
        <f aca="false">IF($B1276="","",IFERROR(INDEX('Code Mapping'!$E$5:$E$1753,MATCH($B1276,'Code Mapping'!$A$5:$A$1753,0)),"Unmapped"))</f>
        <v>Unmapped</v>
      </c>
      <c r="N1276" s="33" t="str">
        <f aca="false">IF($F1276="","",$F1276)</f>
        <v>InflataRun 2024</v>
      </c>
    </row>
    <row r="1277" customFormat="false" ht="15" hidden="false" customHeight="false" outlineLevel="0" collapsed="false">
      <c r="A1277" s="33" t="n">
        <v>4580</v>
      </c>
      <c r="B1277" s="33" t="s">
        <v>1631</v>
      </c>
      <c r="C1277" s="33" t="s">
        <v>1552</v>
      </c>
      <c r="D1277" s="33"/>
      <c r="E1277" s="33" t="n">
        <v>74</v>
      </c>
      <c r="F1277" s="33" t="s">
        <v>2159</v>
      </c>
      <c r="G1277" s="33" t="s">
        <v>461</v>
      </c>
      <c r="H1277" s="33" t="n">
        <v>1</v>
      </c>
      <c r="I1277" s="33" t="n">
        <v>1</v>
      </c>
      <c r="J1277" s="33" t="n">
        <v>1</v>
      </c>
      <c r="K1277" s="32" t="n">
        <v>150</v>
      </c>
      <c r="L1277" s="33" t="str">
        <f aca="false">IF($B1277="","",IFERROR(INDEX('Code Mapping'!$D$5:$D$1753,MATCH($B1277,'Code Mapping'!$A$5:$A$1753,0)),"Unmapped"))</f>
        <v>Unmapped</v>
      </c>
      <c r="M1277" s="33" t="str">
        <f aca="false">IF($B1277="","",IFERROR(INDEX('Code Mapping'!$E$5:$E$1753,MATCH($B1277,'Code Mapping'!$A$5:$A$1753,0)),"Unmapped"))</f>
        <v>Unmapped</v>
      </c>
      <c r="N1277" s="33" t="str">
        <f aca="false">IF($F1277="","",$F1277)</f>
        <v>InflataRun 2024</v>
      </c>
    </row>
    <row r="1278" customFormat="false" ht="15" hidden="false" customHeight="false" outlineLevel="0" collapsed="false">
      <c r="A1278" s="33" t="n">
        <v>4585</v>
      </c>
      <c r="B1278" s="33" t="s">
        <v>1627</v>
      </c>
      <c r="C1278" s="33" t="s">
        <v>1552</v>
      </c>
      <c r="D1278" s="33"/>
      <c r="E1278" s="33" t="n">
        <v>74</v>
      </c>
      <c r="F1278" s="33" t="s">
        <v>2159</v>
      </c>
      <c r="G1278" s="33" t="s">
        <v>461</v>
      </c>
      <c r="H1278" s="33" t="n">
        <v>1</v>
      </c>
      <c r="I1278" s="33" t="n">
        <v>1</v>
      </c>
      <c r="J1278" s="33" t="n">
        <v>1</v>
      </c>
      <c r="K1278" s="32" t="n">
        <v>150</v>
      </c>
      <c r="L1278" s="33" t="str">
        <f aca="false">IF($B1278="","",IFERROR(INDEX('Code Mapping'!$D$5:$D$1753,MATCH($B1278,'Code Mapping'!$A$5:$A$1753,0)),"Unmapped"))</f>
        <v>Unmapped</v>
      </c>
      <c r="M1278" s="33" t="str">
        <f aca="false">IF($B1278="","",IFERROR(INDEX('Code Mapping'!$E$5:$E$1753,MATCH($B1278,'Code Mapping'!$A$5:$A$1753,0)),"Unmapped"))</f>
        <v>Unmapped</v>
      </c>
      <c r="N1278" s="33" t="str">
        <f aca="false">IF($F1278="","",$F1278)</f>
        <v>InflataRun 2024</v>
      </c>
    </row>
    <row r="1279" customFormat="false" ht="15" hidden="false" customHeight="false" outlineLevel="0" collapsed="false">
      <c r="A1279" s="33" t="n">
        <v>5009</v>
      </c>
      <c r="B1279" s="33" t="s">
        <v>1624</v>
      </c>
      <c r="C1279" s="33" t="s">
        <v>1545</v>
      </c>
      <c r="D1279" s="33"/>
      <c r="E1279" s="33" t="n">
        <v>74</v>
      </c>
      <c r="F1279" s="33" t="s">
        <v>2159</v>
      </c>
      <c r="G1279" s="33" t="s">
        <v>461</v>
      </c>
      <c r="H1279" s="33" t="n">
        <v>1</v>
      </c>
      <c r="I1279" s="33" t="n">
        <v>1</v>
      </c>
      <c r="J1279" s="33" t="n">
        <v>1</v>
      </c>
      <c r="K1279" s="32" t="n">
        <v>300</v>
      </c>
      <c r="L1279" s="33" t="str">
        <f aca="false">IF($B1279="","",IFERROR(INDEX('Code Mapping'!$D$5:$D$1753,MATCH($B1279,'Code Mapping'!$A$5:$A$1753,0)),"Unmapped"))</f>
        <v>Unmapped</v>
      </c>
      <c r="M1279" s="33" t="str">
        <f aca="false">IF($B1279="","",IFERROR(INDEX('Code Mapping'!$E$5:$E$1753,MATCH($B1279,'Code Mapping'!$A$5:$A$1753,0)),"Unmapped"))</f>
        <v>Unmapped</v>
      </c>
      <c r="N1279" s="33" t="str">
        <f aca="false">IF($F1279="","",$F1279)</f>
        <v>InflataRun 2024</v>
      </c>
    </row>
    <row r="1280" customFormat="false" ht="15" hidden="false" customHeight="false" outlineLevel="0" collapsed="false">
      <c r="A1280" s="33" t="n">
        <v>4850</v>
      </c>
      <c r="B1280" s="33" t="s">
        <v>1621</v>
      </c>
      <c r="C1280" s="33" t="s">
        <v>1545</v>
      </c>
      <c r="D1280" s="33"/>
      <c r="E1280" s="33" t="n">
        <v>74</v>
      </c>
      <c r="F1280" s="33" t="s">
        <v>2159</v>
      </c>
      <c r="G1280" s="33" t="s">
        <v>461</v>
      </c>
      <c r="H1280" s="33" t="n">
        <v>1</v>
      </c>
      <c r="I1280" s="33" t="n">
        <v>1</v>
      </c>
      <c r="J1280" s="33" t="n">
        <v>1</v>
      </c>
      <c r="K1280" s="32" t="n">
        <v>300</v>
      </c>
      <c r="L1280" s="33" t="str">
        <f aca="false">IF($B1280="","",IFERROR(INDEX('Code Mapping'!$D$5:$D$1753,MATCH($B1280,'Code Mapping'!$A$5:$A$1753,0)),"Unmapped"))</f>
        <v>Unmapped</v>
      </c>
      <c r="M1280" s="33" t="str">
        <f aca="false">IF($B1280="","",IFERROR(INDEX('Code Mapping'!$E$5:$E$1753,MATCH($B1280,'Code Mapping'!$A$5:$A$1753,0)),"Unmapped"))</f>
        <v>Unmapped</v>
      </c>
      <c r="N1280" s="33" t="str">
        <f aca="false">IF($F1280="","",$F1280)</f>
        <v>InflataRun 2024</v>
      </c>
    </row>
    <row r="1281" customFormat="false" ht="15" hidden="false" customHeight="false" outlineLevel="0" collapsed="false">
      <c r="A1281" s="33" t="n">
        <v>4789</v>
      </c>
      <c r="B1281" s="33" t="s">
        <v>1615</v>
      </c>
      <c r="C1281" s="33" t="s">
        <v>1545</v>
      </c>
      <c r="D1281" s="33"/>
      <c r="E1281" s="33" t="n">
        <v>74</v>
      </c>
      <c r="F1281" s="33" t="s">
        <v>2159</v>
      </c>
      <c r="G1281" s="33" t="s">
        <v>461</v>
      </c>
      <c r="H1281" s="33" t="n">
        <v>1</v>
      </c>
      <c r="I1281" s="33" t="n">
        <v>1</v>
      </c>
      <c r="J1281" s="33" t="n">
        <v>1</v>
      </c>
      <c r="K1281" s="32" t="n">
        <v>300</v>
      </c>
      <c r="L1281" s="33" t="str">
        <f aca="false">IF($B1281="","",IFERROR(INDEX('Code Mapping'!$D$5:$D$1753,MATCH($B1281,'Code Mapping'!$A$5:$A$1753,0)),"Unmapped"))</f>
        <v>Unmapped</v>
      </c>
      <c r="M1281" s="33" t="str">
        <f aca="false">IF($B1281="","",IFERROR(INDEX('Code Mapping'!$E$5:$E$1753,MATCH($B1281,'Code Mapping'!$A$5:$A$1753,0)),"Unmapped"))</f>
        <v>Unmapped</v>
      </c>
      <c r="N1281" s="33" t="str">
        <f aca="false">IF($F1281="","",$F1281)</f>
        <v>InflataRun 2024</v>
      </c>
    </row>
    <row r="1282" customFormat="false" ht="15" hidden="false" customHeight="false" outlineLevel="0" collapsed="false">
      <c r="A1282" s="33" t="n">
        <v>2311</v>
      </c>
      <c r="B1282" s="33" t="s">
        <v>896</v>
      </c>
      <c r="C1282" s="33" t="s">
        <v>827</v>
      </c>
      <c r="D1282" s="33"/>
      <c r="E1282" s="33" t="n">
        <v>55</v>
      </c>
      <c r="F1282" s="33" t="s">
        <v>2160</v>
      </c>
      <c r="G1282" s="33" t="s">
        <v>505</v>
      </c>
      <c r="H1282" s="33" t="n">
        <v>1</v>
      </c>
      <c r="I1282" s="33" t="n">
        <v>1</v>
      </c>
      <c r="J1282" s="33" t="n">
        <v>1</v>
      </c>
      <c r="K1282" s="32" t="n">
        <v>75</v>
      </c>
      <c r="L1282" s="33" t="str">
        <f aca="false">IF($B1282="","",IFERROR(INDEX('Code Mapping'!$D$5:$D$1753,MATCH($B1282,'Code Mapping'!$A$5:$A$1753,0)),"Unmapped"))</f>
        <v>Unmapped</v>
      </c>
      <c r="M1282" s="33" t="str">
        <f aca="false">IF($B1282="","",IFERROR(INDEX('Code Mapping'!$E$5:$E$1753,MATCH($B1282,'Code Mapping'!$A$5:$A$1753,0)),"Unmapped"))</f>
        <v>Unmapped</v>
      </c>
      <c r="N1282" s="33" t="str">
        <f aca="false">IF($F1282="","",$F1282)</f>
        <v>InflataCity</v>
      </c>
    </row>
    <row r="1283" customFormat="false" ht="15" hidden="false" customHeight="false" outlineLevel="0" collapsed="false">
      <c r="A1283" s="33" t="n">
        <v>2667</v>
      </c>
      <c r="B1283" s="33" t="s">
        <v>888</v>
      </c>
      <c r="C1283" s="33" t="s">
        <v>825</v>
      </c>
      <c r="D1283" s="33"/>
      <c r="E1283" s="33" t="n">
        <v>55</v>
      </c>
      <c r="F1283" s="33" t="s">
        <v>2160</v>
      </c>
      <c r="G1283" s="33" t="s">
        <v>505</v>
      </c>
      <c r="H1283" s="33" t="n">
        <v>1</v>
      </c>
      <c r="I1283" s="33" t="n">
        <v>1</v>
      </c>
      <c r="J1283" s="33" t="n">
        <v>1</v>
      </c>
      <c r="K1283" s="32" t="n">
        <v>75</v>
      </c>
      <c r="L1283" s="33" t="str">
        <f aca="false">IF($B1283="","",IFERROR(INDEX('Code Mapping'!$D$5:$D$1753,MATCH($B1283,'Code Mapping'!$A$5:$A$1753,0)),"Unmapped"))</f>
        <v>Unmapped</v>
      </c>
      <c r="M1283" s="33" t="str">
        <f aca="false">IF($B1283="","",IFERROR(INDEX('Code Mapping'!$E$5:$E$1753,MATCH($B1283,'Code Mapping'!$A$5:$A$1753,0)),"Unmapped"))</f>
        <v>Unmapped</v>
      </c>
      <c r="N1283" s="33" t="str">
        <f aca="false">IF($F1283="","",$F1283)</f>
        <v>InflataCity</v>
      </c>
    </row>
    <row r="1284" customFormat="false" ht="15" hidden="false" customHeight="false" outlineLevel="0" collapsed="false">
      <c r="A1284" s="33" t="n">
        <v>2753</v>
      </c>
      <c r="B1284" s="33" t="s">
        <v>895</v>
      </c>
      <c r="C1284" s="33" t="s">
        <v>825</v>
      </c>
      <c r="D1284" s="33"/>
      <c r="E1284" s="33" t="n">
        <v>55</v>
      </c>
      <c r="F1284" s="33" t="s">
        <v>2160</v>
      </c>
      <c r="G1284" s="33" t="s">
        <v>505</v>
      </c>
      <c r="H1284" s="33" t="n">
        <v>1</v>
      </c>
      <c r="I1284" s="33" t="n">
        <v>1</v>
      </c>
      <c r="J1284" s="33" t="n">
        <v>1</v>
      </c>
      <c r="K1284" s="32" t="n">
        <v>75</v>
      </c>
      <c r="L1284" s="33" t="str">
        <f aca="false">IF($B1284="","",IFERROR(INDEX('Code Mapping'!$D$5:$D$1753,MATCH($B1284,'Code Mapping'!$A$5:$A$1753,0)),"Unmapped"))</f>
        <v>Unmapped</v>
      </c>
      <c r="M1284" s="33" t="str">
        <f aca="false">IF($B1284="","",IFERROR(INDEX('Code Mapping'!$E$5:$E$1753,MATCH($B1284,'Code Mapping'!$A$5:$A$1753,0)),"Unmapped"))</f>
        <v>Unmapped</v>
      </c>
      <c r="N1284" s="33" t="str">
        <f aca="false">IF($F1284="","",$F1284)</f>
        <v>InflataCity</v>
      </c>
    </row>
    <row r="1285" customFormat="false" ht="15" hidden="false" customHeight="false" outlineLevel="0" collapsed="false">
      <c r="A1285" s="33" t="n">
        <v>2431</v>
      </c>
      <c r="B1285" s="33" t="s">
        <v>894</v>
      </c>
      <c r="C1285" s="33" t="s">
        <v>823</v>
      </c>
      <c r="D1285" s="33"/>
      <c r="E1285" s="33" t="n">
        <v>55</v>
      </c>
      <c r="F1285" s="33" t="s">
        <v>2160</v>
      </c>
      <c r="G1285" s="33" t="s">
        <v>505</v>
      </c>
      <c r="H1285" s="33" t="n">
        <v>1</v>
      </c>
      <c r="I1285" s="33" t="n">
        <v>1</v>
      </c>
      <c r="J1285" s="33" t="n">
        <v>1</v>
      </c>
      <c r="K1285" s="32" t="n">
        <v>300</v>
      </c>
      <c r="L1285" s="33" t="str">
        <f aca="false">IF($B1285="","",IFERROR(INDEX('Code Mapping'!$D$5:$D$1753,MATCH($B1285,'Code Mapping'!$A$5:$A$1753,0)),"Unmapped"))</f>
        <v>Unmapped</v>
      </c>
      <c r="M1285" s="33" t="str">
        <f aca="false">IF($B1285="","",IFERROR(INDEX('Code Mapping'!$E$5:$E$1753,MATCH($B1285,'Code Mapping'!$A$5:$A$1753,0)),"Unmapped"))</f>
        <v>Unmapped</v>
      </c>
      <c r="N1285" s="33" t="str">
        <f aca="false">IF($F1285="","",$F1285)</f>
        <v>InflataCity</v>
      </c>
    </row>
    <row r="1286" customFormat="false" ht="15" hidden="false" customHeight="false" outlineLevel="0" collapsed="false">
      <c r="A1286" s="33" t="n">
        <v>2201</v>
      </c>
      <c r="B1286" s="33" t="s">
        <v>893</v>
      </c>
      <c r="C1286" s="33" t="s">
        <v>827</v>
      </c>
      <c r="D1286" s="33"/>
      <c r="E1286" s="33" t="n">
        <v>55</v>
      </c>
      <c r="F1286" s="33" t="s">
        <v>2160</v>
      </c>
      <c r="G1286" s="33" t="s">
        <v>505</v>
      </c>
      <c r="H1286" s="33" t="n">
        <v>1</v>
      </c>
      <c r="I1286" s="33" t="n">
        <v>1</v>
      </c>
      <c r="J1286" s="33" t="n">
        <v>1</v>
      </c>
      <c r="K1286" s="32" t="n">
        <v>75</v>
      </c>
      <c r="L1286" s="33" t="str">
        <f aca="false">IF($B1286="","",IFERROR(INDEX('Code Mapping'!$D$5:$D$1753,MATCH($B1286,'Code Mapping'!$A$5:$A$1753,0)),"Unmapped"))</f>
        <v>Unmapped</v>
      </c>
      <c r="M1286" s="33" t="str">
        <f aca="false">IF($B1286="","",IFERROR(INDEX('Code Mapping'!$E$5:$E$1753,MATCH($B1286,'Code Mapping'!$A$5:$A$1753,0)),"Unmapped"))</f>
        <v>Unmapped</v>
      </c>
      <c r="N1286" s="33" t="str">
        <f aca="false">IF($F1286="","",$F1286)</f>
        <v>InflataCity</v>
      </c>
    </row>
    <row r="1287" customFormat="false" ht="15" hidden="false" customHeight="false" outlineLevel="0" collapsed="false">
      <c r="A1287" s="33" t="n">
        <v>2443</v>
      </c>
      <c r="B1287" s="33" t="s">
        <v>891</v>
      </c>
      <c r="C1287" s="33" t="s">
        <v>823</v>
      </c>
      <c r="D1287" s="33"/>
      <c r="E1287" s="33" t="n">
        <v>55</v>
      </c>
      <c r="F1287" s="33" t="s">
        <v>2160</v>
      </c>
      <c r="G1287" s="33" t="s">
        <v>505</v>
      </c>
      <c r="H1287" s="33" t="n">
        <v>1</v>
      </c>
      <c r="I1287" s="33" t="n">
        <v>1</v>
      </c>
      <c r="J1287" s="33" t="n">
        <v>1</v>
      </c>
      <c r="K1287" s="32" t="n">
        <v>300</v>
      </c>
      <c r="L1287" s="33" t="str">
        <f aca="false">IF($B1287="","",IFERROR(INDEX('Code Mapping'!$D$5:$D$1753,MATCH($B1287,'Code Mapping'!$A$5:$A$1753,0)),"Unmapped"))</f>
        <v>Unmapped</v>
      </c>
      <c r="M1287" s="33" t="str">
        <f aca="false">IF($B1287="","",IFERROR(INDEX('Code Mapping'!$E$5:$E$1753,MATCH($B1287,'Code Mapping'!$A$5:$A$1753,0)),"Unmapped"))</f>
        <v>Unmapped</v>
      </c>
      <c r="N1287" s="33" t="str">
        <f aca="false">IF($F1287="","",$F1287)</f>
        <v>InflataCity</v>
      </c>
    </row>
    <row r="1288" customFormat="false" ht="15" hidden="false" customHeight="false" outlineLevel="0" collapsed="false">
      <c r="A1288" s="33" t="n">
        <v>2455</v>
      </c>
      <c r="B1288" s="33" t="s">
        <v>890</v>
      </c>
      <c r="C1288" s="33" t="s">
        <v>823</v>
      </c>
      <c r="D1288" s="33"/>
      <c r="E1288" s="33" t="n">
        <v>55</v>
      </c>
      <c r="F1288" s="33" t="s">
        <v>2160</v>
      </c>
      <c r="G1288" s="33" t="s">
        <v>505</v>
      </c>
      <c r="H1288" s="33" t="n">
        <v>1</v>
      </c>
      <c r="I1288" s="33" t="n">
        <v>1</v>
      </c>
      <c r="J1288" s="33" t="n">
        <v>1</v>
      </c>
      <c r="K1288" s="32" t="n">
        <v>300</v>
      </c>
      <c r="L1288" s="33" t="str">
        <f aca="false">IF($B1288="","",IFERROR(INDEX('Code Mapping'!$D$5:$D$1753,MATCH($B1288,'Code Mapping'!$A$5:$A$1753,0)),"Unmapped"))</f>
        <v>Unmapped</v>
      </c>
      <c r="M1288" s="33" t="str">
        <f aca="false">IF($B1288="","",IFERROR(INDEX('Code Mapping'!$E$5:$E$1753,MATCH($B1288,'Code Mapping'!$A$5:$A$1753,0)),"Unmapped"))</f>
        <v>Unmapped</v>
      </c>
      <c r="N1288" s="33" t="str">
        <f aca="false">IF($F1288="","",$F1288)</f>
        <v>InflataCity</v>
      </c>
    </row>
    <row r="1289" customFormat="false" ht="15" hidden="false" customHeight="false" outlineLevel="0" collapsed="false">
      <c r="A1289" s="33" t="n">
        <v>2668</v>
      </c>
      <c r="B1289" s="33" t="s">
        <v>889</v>
      </c>
      <c r="C1289" s="33" t="s">
        <v>825</v>
      </c>
      <c r="D1289" s="33"/>
      <c r="E1289" s="33" t="n">
        <v>55</v>
      </c>
      <c r="F1289" s="33" t="s">
        <v>2160</v>
      </c>
      <c r="G1289" s="33" t="s">
        <v>505</v>
      </c>
      <c r="H1289" s="33" t="n">
        <v>1</v>
      </c>
      <c r="I1289" s="33" t="n">
        <v>1</v>
      </c>
      <c r="J1289" s="33" t="n">
        <v>1</v>
      </c>
      <c r="K1289" s="32" t="n">
        <v>75</v>
      </c>
      <c r="L1289" s="33" t="str">
        <f aca="false">IF($B1289="","",IFERROR(INDEX('Code Mapping'!$D$5:$D$1753,MATCH($B1289,'Code Mapping'!$A$5:$A$1753,0)),"Unmapped"))</f>
        <v>Unmapped</v>
      </c>
      <c r="M1289" s="33" t="str">
        <f aca="false">IF($B1289="","",IFERROR(INDEX('Code Mapping'!$E$5:$E$1753,MATCH($B1289,'Code Mapping'!$A$5:$A$1753,0)),"Unmapped"))</f>
        <v>Unmapped</v>
      </c>
      <c r="N1289" s="33" t="str">
        <f aca="false">IF($F1289="","",$F1289)</f>
        <v>InflataCity</v>
      </c>
    </row>
    <row r="1290" customFormat="false" ht="15" hidden="false" customHeight="false" outlineLevel="0" collapsed="false">
      <c r="A1290" s="33" t="n">
        <v>2650</v>
      </c>
      <c r="B1290" s="33" t="s">
        <v>878</v>
      </c>
      <c r="C1290" s="33" t="s">
        <v>825</v>
      </c>
      <c r="D1290" s="33"/>
      <c r="E1290" s="33" t="n">
        <v>55</v>
      </c>
      <c r="F1290" s="33" t="s">
        <v>2160</v>
      </c>
      <c r="G1290" s="33" t="s">
        <v>505</v>
      </c>
      <c r="H1290" s="33" t="n">
        <v>1</v>
      </c>
      <c r="I1290" s="33" t="n">
        <v>1</v>
      </c>
      <c r="J1290" s="33" t="n">
        <v>1</v>
      </c>
      <c r="K1290" s="32" t="n">
        <v>75</v>
      </c>
      <c r="L1290" s="33" t="str">
        <f aca="false">IF($B1290="","",IFERROR(INDEX('Code Mapping'!$D$5:$D$1753,MATCH($B1290,'Code Mapping'!$A$5:$A$1753,0)),"Unmapped"))</f>
        <v>Unmapped</v>
      </c>
      <c r="M1290" s="33" t="str">
        <f aca="false">IF($B1290="","",IFERROR(INDEX('Code Mapping'!$E$5:$E$1753,MATCH($B1290,'Code Mapping'!$A$5:$A$1753,0)),"Unmapped"))</f>
        <v>Unmapped</v>
      </c>
      <c r="N1290" s="33" t="str">
        <f aca="false">IF($F1290="","",$F1290)</f>
        <v>InflataCity</v>
      </c>
    </row>
    <row r="1291" customFormat="false" ht="15" hidden="false" customHeight="false" outlineLevel="0" collapsed="false">
      <c r="A1291" s="33" t="n">
        <v>2438</v>
      </c>
      <c r="B1291" s="33" t="s">
        <v>887</v>
      </c>
      <c r="C1291" s="33" t="s">
        <v>823</v>
      </c>
      <c r="D1291" s="33"/>
      <c r="E1291" s="33" t="n">
        <v>55</v>
      </c>
      <c r="F1291" s="33" t="s">
        <v>2160</v>
      </c>
      <c r="G1291" s="33" t="s">
        <v>505</v>
      </c>
      <c r="H1291" s="33" t="n">
        <v>1</v>
      </c>
      <c r="I1291" s="33" t="n">
        <v>1</v>
      </c>
      <c r="J1291" s="33" t="n">
        <v>1</v>
      </c>
      <c r="K1291" s="32" t="n">
        <v>300</v>
      </c>
      <c r="L1291" s="33" t="str">
        <f aca="false">IF($B1291="","",IFERROR(INDEX('Code Mapping'!$D$5:$D$1753,MATCH($B1291,'Code Mapping'!$A$5:$A$1753,0)),"Unmapped"))</f>
        <v>Unmapped</v>
      </c>
      <c r="M1291" s="33" t="str">
        <f aca="false">IF($B1291="","",IFERROR(INDEX('Code Mapping'!$E$5:$E$1753,MATCH($B1291,'Code Mapping'!$A$5:$A$1753,0)),"Unmapped"))</f>
        <v>Unmapped</v>
      </c>
      <c r="N1291" s="33" t="str">
        <f aca="false">IF($F1291="","",$F1291)</f>
        <v>InflataCity</v>
      </c>
    </row>
    <row r="1292" customFormat="false" ht="15" hidden="false" customHeight="false" outlineLevel="0" collapsed="false">
      <c r="A1292" s="33" t="n">
        <v>2440</v>
      </c>
      <c r="B1292" s="33" t="s">
        <v>884</v>
      </c>
      <c r="C1292" s="33" t="s">
        <v>823</v>
      </c>
      <c r="D1292" s="33"/>
      <c r="E1292" s="33" t="n">
        <v>55</v>
      </c>
      <c r="F1292" s="33" t="s">
        <v>2160</v>
      </c>
      <c r="G1292" s="33" t="s">
        <v>505</v>
      </c>
      <c r="H1292" s="33" t="n">
        <v>1</v>
      </c>
      <c r="I1292" s="33" t="n">
        <v>1</v>
      </c>
      <c r="J1292" s="33" t="n">
        <v>1</v>
      </c>
      <c r="K1292" s="32" t="n">
        <v>300</v>
      </c>
      <c r="L1292" s="33" t="str">
        <f aca="false">IF($B1292="","",IFERROR(INDEX('Code Mapping'!$D$5:$D$1753,MATCH($B1292,'Code Mapping'!$A$5:$A$1753,0)),"Unmapped"))</f>
        <v>Unmapped</v>
      </c>
      <c r="M1292" s="33" t="str">
        <f aca="false">IF($B1292="","",IFERROR(INDEX('Code Mapping'!$E$5:$E$1753,MATCH($B1292,'Code Mapping'!$A$5:$A$1753,0)),"Unmapped"))</f>
        <v>Unmapped</v>
      </c>
      <c r="N1292" s="33" t="str">
        <f aca="false">IF($F1292="","",$F1292)</f>
        <v>InflataCity</v>
      </c>
    </row>
    <row r="1293" customFormat="false" ht="15" hidden="false" customHeight="false" outlineLevel="0" collapsed="false">
      <c r="A1293" s="33" t="n">
        <v>2780</v>
      </c>
      <c r="B1293" s="33" t="s">
        <v>883</v>
      </c>
      <c r="C1293" s="33" t="s">
        <v>825</v>
      </c>
      <c r="D1293" s="33"/>
      <c r="E1293" s="33" t="n">
        <v>55</v>
      </c>
      <c r="F1293" s="33" t="s">
        <v>2160</v>
      </c>
      <c r="G1293" s="33" t="s">
        <v>505</v>
      </c>
      <c r="H1293" s="33" t="n">
        <v>1</v>
      </c>
      <c r="I1293" s="33" t="n">
        <v>1</v>
      </c>
      <c r="J1293" s="33" t="n">
        <v>1</v>
      </c>
      <c r="K1293" s="32" t="n">
        <v>75</v>
      </c>
      <c r="L1293" s="33" t="str">
        <f aca="false">IF($B1293="","",IFERROR(INDEX('Code Mapping'!$D$5:$D$1753,MATCH($B1293,'Code Mapping'!$A$5:$A$1753,0)),"Unmapped"))</f>
        <v>Unmapped</v>
      </c>
      <c r="M1293" s="33" t="str">
        <f aca="false">IF($B1293="","",IFERROR(INDEX('Code Mapping'!$E$5:$E$1753,MATCH($B1293,'Code Mapping'!$A$5:$A$1753,0)),"Unmapped"))</f>
        <v>Unmapped</v>
      </c>
      <c r="N1293" s="33" t="str">
        <f aca="false">IF($F1293="","",$F1293)</f>
        <v>InflataCity</v>
      </c>
    </row>
    <row r="1294" customFormat="false" ht="15" hidden="false" customHeight="false" outlineLevel="0" collapsed="false">
      <c r="A1294" s="33" t="n">
        <v>2472</v>
      </c>
      <c r="B1294" s="33" t="s">
        <v>882</v>
      </c>
      <c r="C1294" s="33" t="s">
        <v>823</v>
      </c>
      <c r="D1294" s="33"/>
      <c r="E1294" s="33" t="n">
        <v>55</v>
      </c>
      <c r="F1294" s="33" t="s">
        <v>2160</v>
      </c>
      <c r="G1294" s="33" t="s">
        <v>505</v>
      </c>
      <c r="H1294" s="33" t="n">
        <v>1</v>
      </c>
      <c r="I1294" s="33" t="n">
        <v>1</v>
      </c>
      <c r="J1294" s="33" t="n">
        <v>1</v>
      </c>
      <c r="K1294" s="32" t="n">
        <v>300</v>
      </c>
      <c r="L1294" s="33" t="str">
        <f aca="false">IF($B1294="","",IFERROR(INDEX('Code Mapping'!$D$5:$D$1753,MATCH($B1294,'Code Mapping'!$A$5:$A$1753,0)),"Unmapped"))</f>
        <v>Unmapped</v>
      </c>
      <c r="M1294" s="33" t="str">
        <f aca="false">IF($B1294="","",IFERROR(INDEX('Code Mapping'!$E$5:$E$1753,MATCH($B1294,'Code Mapping'!$A$5:$A$1753,0)),"Unmapped"))</f>
        <v>Unmapped</v>
      </c>
      <c r="N1294" s="33" t="str">
        <f aca="false">IF($F1294="","",$F1294)</f>
        <v>InflataCity</v>
      </c>
    </row>
    <row r="1295" customFormat="false" ht="15" hidden="false" customHeight="false" outlineLevel="0" collapsed="false">
      <c r="A1295" s="33" t="n">
        <v>2417</v>
      </c>
      <c r="B1295" s="33" t="s">
        <v>881</v>
      </c>
      <c r="C1295" s="33" t="s">
        <v>823</v>
      </c>
      <c r="D1295" s="33"/>
      <c r="E1295" s="33" t="n">
        <v>55</v>
      </c>
      <c r="F1295" s="33" t="s">
        <v>2160</v>
      </c>
      <c r="G1295" s="33" t="s">
        <v>505</v>
      </c>
      <c r="H1295" s="33" t="n">
        <v>1</v>
      </c>
      <c r="I1295" s="33" t="n">
        <v>1</v>
      </c>
      <c r="J1295" s="33" t="n">
        <v>1</v>
      </c>
      <c r="K1295" s="32" t="n">
        <v>300</v>
      </c>
      <c r="L1295" s="33" t="str">
        <f aca="false">IF($B1295="","",IFERROR(INDEX('Code Mapping'!$D$5:$D$1753,MATCH($B1295,'Code Mapping'!$A$5:$A$1753,0)),"Unmapped"))</f>
        <v>Unmapped</v>
      </c>
      <c r="M1295" s="33" t="str">
        <f aca="false">IF($B1295="","",IFERROR(INDEX('Code Mapping'!$E$5:$E$1753,MATCH($B1295,'Code Mapping'!$A$5:$A$1753,0)),"Unmapped"))</f>
        <v>Unmapped</v>
      </c>
      <c r="N1295" s="33" t="str">
        <f aca="false">IF($F1295="","",$F1295)</f>
        <v>InflataCity</v>
      </c>
    </row>
    <row r="1296" customFormat="false" ht="15" hidden="false" customHeight="false" outlineLevel="0" collapsed="false">
      <c r="A1296" s="33" t="n">
        <v>2693</v>
      </c>
      <c r="B1296" s="33" t="s">
        <v>880</v>
      </c>
      <c r="C1296" s="33" t="s">
        <v>825</v>
      </c>
      <c r="D1296" s="33"/>
      <c r="E1296" s="33" t="n">
        <v>55</v>
      </c>
      <c r="F1296" s="33" t="s">
        <v>2160</v>
      </c>
      <c r="G1296" s="33" t="s">
        <v>505</v>
      </c>
      <c r="H1296" s="33" t="n">
        <v>1</v>
      </c>
      <c r="I1296" s="33" t="n">
        <v>1</v>
      </c>
      <c r="J1296" s="33" t="n">
        <v>1</v>
      </c>
      <c r="K1296" s="32" t="n">
        <v>75</v>
      </c>
      <c r="L1296" s="33" t="str">
        <f aca="false">IF($B1296="","",IFERROR(INDEX('Code Mapping'!$D$5:$D$1753,MATCH($B1296,'Code Mapping'!$A$5:$A$1753,0)),"Unmapped"))</f>
        <v>Unmapped</v>
      </c>
      <c r="M1296" s="33" t="str">
        <f aca="false">IF($B1296="","",IFERROR(INDEX('Code Mapping'!$E$5:$E$1753,MATCH($B1296,'Code Mapping'!$A$5:$A$1753,0)),"Unmapped"))</f>
        <v>Unmapped</v>
      </c>
      <c r="N1296" s="33" t="str">
        <f aca="false">IF($F1296="","",$F1296)</f>
        <v>InflataCity</v>
      </c>
    </row>
    <row r="1297" customFormat="false" ht="15" hidden="false" customHeight="false" outlineLevel="0" collapsed="false">
      <c r="A1297" s="33" t="n">
        <v>2432</v>
      </c>
      <c r="B1297" s="33" t="s">
        <v>879</v>
      </c>
      <c r="C1297" s="33" t="s">
        <v>823</v>
      </c>
      <c r="D1297" s="33"/>
      <c r="E1297" s="33" t="n">
        <v>55</v>
      </c>
      <c r="F1297" s="33" t="s">
        <v>2160</v>
      </c>
      <c r="G1297" s="33" t="s">
        <v>505</v>
      </c>
      <c r="H1297" s="33" t="n">
        <v>1</v>
      </c>
      <c r="I1297" s="33" t="n">
        <v>1</v>
      </c>
      <c r="J1297" s="33" t="n">
        <v>1</v>
      </c>
      <c r="K1297" s="32" t="n">
        <v>300</v>
      </c>
      <c r="L1297" s="33" t="str">
        <f aca="false">IF($B1297="","",IFERROR(INDEX('Code Mapping'!$D$5:$D$1753,MATCH($B1297,'Code Mapping'!$A$5:$A$1753,0)),"Unmapped"))</f>
        <v>Unmapped</v>
      </c>
      <c r="M1297" s="33" t="str">
        <f aca="false">IF($B1297="","",IFERROR(INDEX('Code Mapping'!$E$5:$E$1753,MATCH($B1297,'Code Mapping'!$A$5:$A$1753,0)),"Unmapped"))</f>
        <v>Unmapped</v>
      </c>
      <c r="N1297" s="33" t="str">
        <f aca="false">IF($F1297="","",$F1297)</f>
        <v>InflataCity</v>
      </c>
    </row>
    <row r="1298" customFormat="false" ht="15" hidden="false" customHeight="false" outlineLevel="0" collapsed="false">
      <c r="A1298" s="33" t="n">
        <v>2692</v>
      </c>
      <c r="B1298" s="33" t="s">
        <v>877</v>
      </c>
      <c r="C1298" s="33" t="s">
        <v>825</v>
      </c>
      <c r="D1298" s="33"/>
      <c r="E1298" s="33" t="n">
        <v>55</v>
      </c>
      <c r="F1298" s="33" t="s">
        <v>2160</v>
      </c>
      <c r="G1298" s="33" t="s">
        <v>505</v>
      </c>
      <c r="H1298" s="33" t="n">
        <v>1</v>
      </c>
      <c r="I1298" s="33" t="n">
        <v>1</v>
      </c>
      <c r="J1298" s="33" t="n">
        <v>1</v>
      </c>
      <c r="K1298" s="32" t="n">
        <v>75</v>
      </c>
      <c r="L1298" s="33" t="str">
        <f aca="false">IF($B1298="","",IFERROR(INDEX('Code Mapping'!$D$5:$D$1753,MATCH($B1298,'Code Mapping'!$A$5:$A$1753,0)),"Unmapped"))</f>
        <v>Unmapped</v>
      </c>
      <c r="M1298" s="33" t="str">
        <f aca="false">IF($B1298="","",IFERROR(INDEX('Code Mapping'!$E$5:$E$1753,MATCH($B1298,'Code Mapping'!$A$5:$A$1753,0)),"Unmapped"))</f>
        <v>Unmapped</v>
      </c>
      <c r="N1298" s="33" t="str">
        <f aca="false">IF($F1298="","",$F1298)</f>
        <v>InflataCity</v>
      </c>
    </row>
    <row r="1299" customFormat="false" ht="15" hidden="false" customHeight="false" outlineLevel="0" collapsed="false">
      <c r="A1299" s="33" t="n">
        <v>2787</v>
      </c>
      <c r="B1299" s="33" t="s">
        <v>898</v>
      </c>
      <c r="C1299" s="33" t="s">
        <v>825</v>
      </c>
      <c r="D1299" s="33"/>
      <c r="E1299" s="33" t="n">
        <v>55</v>
      </c>
      <c r="F1299" s="33" t="s">
        <v>2160</v>
      </c>
      <c r="G1299" s="33" t="s">
        <v>505</v>
      </c>
      <c r="H1299" s="33" t="n">
        <v>1</v>
      </c>
      <c r="I1299" s="33" t="n">
        <v>1</v>
      </c>
      <c r="J1299" s="33" t="n">
        <v>1</v>
      </c>
      <c r="K1299" s="32" t="n">
        <v>75</v>
      </c>
      <c r="L1299" s="33" t="str">
        <f aca="false">IF($B1299="","",IFERROR(INDEX('Code Mapping'!$D$5:$D$1753,MATCH($B1299,'Code Mapping'!$A$5:$A$1753,0)),"Unmapped"))</f>
        <v>Unmapped</v>
      </c>
      <c r="M1299" s="33" t="str">
        <f aca="false">IF($B1299="","",IFERROR(INDEX('Code Mapping'!$E$5:$E$1753,MATCH($B1299,'Code Mapping'!$A$5:$A$1753,0)),"Unmapped"))</f>
        <v>Unmapped</v>
      </c>
      <c r="N1299" s="33" t="str">
        <f aca="false">IF($F1299="","",$F1299)</f>
        <v>InflataCity</v>
      </c>
    </row>
    <row r="1300" customFormat="false" ht="15" hidden="false" customHeight="false" outlineLevel="0" collapsed="false">
      <c r="A1300" s="33" t="n">
        <v>2365</v>
      </c>
      <c r="B1300" s="33" t="s">
        <v>897</v>
      </c>
      <c r="C1300" s="33" t="s">
        <v>823</v>
      </c>
      <c r="D1300" s="33"/>
      <c r="E1300" s="33" t="n">
        <v>55</v>
      </c>
      <c r="F1300" s="33" t="s">
        <v>2160</v>
      </c>
      <c r="G1300" s="33" t="s">
        <v>505</v>
      </c>
      <c r="H1300" s="33" t="n">
        <v>1</v>
      </c>
      <c r="I1300" s="33" t="n">
        <v>1</v>
      </c>
      <c r="J1300" s="33" t="n">
        <v>1</v>
      </c>
      <c r="K1300" s="32" t="n">
        <v>300</v>
      </c>
      <c r="L1300" s="33" t="str">
        <f aca="false">IF($B1300="","",IFERROR(INDEX('Code Mapping'!$D$5:$D$1753,MATCH($B1300,'Code Mapping'!$A$5:$A$1753,0)),"Unmapped"))</f>
        <v>Unmapped</v>
      </c>
      <c r="M1300" s="33" t="str">
        <f aca="false">IF($B1300="","",IFERROR(INDEX('Code Mapping'!$E$5:$E$1753,MATCH($B1300,'Code Mapping'!$A$5:$A$1753,0)),"Unmapped"))</f>
        <v>Unmapped</v>
      </c>
      <c r="N1300" s="33" t="str">
        <f aca="false">IF($F1300="","",$F1300)</f>
        <v>InflataCity</v>
      </c>
    </row>
    <row r="1301" customFormat="false" ht="15" hidden="false" customHeight="false" outlineLevel="0" collapsed="false">
      <c r="A1301" s="33" t="n">
        <v>2663</v>
      </c>
      <c r="B1301" s="33" t="s">
        <v>917</v>
      </c>
      <c r="C1301" s="33" t="s">
        <v>825</v>
      </c>
      <c r="D1301" s="33"/>
      <c r="E1301" s="33" t="n">
        <v>55</v>
      </c>
      <c r="F1301" s="33" t="s">
        <v>2160</v>
      </c>
      <c r="G1301" s="33" t="s">
        <v>505</v>
      </c>
      <c r="H1301" s="33" t="n">
        <v>1</v>
      </c>
      <c r="I1301" s="33" t="n">
        <v>1</v>
      </c>
      <c r="J1301" s="33" t="n">
        <v>1</v>
      </c>
      <c r="K1301" s="32" t="n">
        <v>75</v>
      </c>
      <c r="L1301" s="33" t="str">
        <f aca="false">IF($B1301="","",IFERROR(INDEX('Code Mapping'!$D$5:$D$1753,MATCH($B1301,'Code Mapping'!$A$5:$A$1753,0)),"Unmapped"))</f>
        <v>Unmapped</v>
      </c>
      <c r="M1301" s="33" t="str">
        <f aca="false">IF($B1301="","",IFERROR(INDEX('Code Mapping'!$E$5:$E$1753,MATCH($B1301,'Code Mapping'!$A$5:$A$1753,0)),"Unmapped"))</f>
        <v>Unmapped</v>
      </c>
      <c r="N1301" s="33" t="str">
        <f aca="false">IF($F1301="","",$F1301)</f>
        <v>InflataCity</v>
      </c>
    </row>
    <row r="1302" customFormat="false" ht="15" hidden="false" customHeight="false" outlineLevel="0" collapsed="false">
      <c r="A1302" s="33" t="n">
        <v>2807</v>
      </c>
      <c r="B1302" s="33" t="s">
        <v>899</v>
      </c>
      <c r="C1302" s="33" t="s">
        <v>825</v>
      </c>
      <c r="D1302" s="33"/>
      <c r="E1302" s="33" t="n">
        <v>55</v>
      </c>
      <c r="F1302" s="33" t="s">
        <v>2160</v>
      </c>
      <c r="G1302" s="33" t="s">
        <v>505</v>
      </c>
      <c r="H1302" s="33" t="n">
        <v>1</v>
      </c>
      <c r="I1302" s="33" t="n">
        <v>1</v>
      </c>
      <c r="J1302" s="33" t="n">
        <v>1</v>
      </c>
      <c r="K1302" s="32" t="n">
        <v>75</v>
      </c>
      <c r="L1302" s="33" t="str">
        <f aca="false">IF($B1302="","",IFERROR(INDEX('Code Mapping'!$D$5:$D$1753,MATCH($B1302,'Code Mapping'!$A$5:$A$1753,0)),"Unmapped"))</f>
        <v>Unmapped</v>
      </c>
      <c r="M1302" s="33" t="str">
        <f aca="false">IF($B1302="","",IFERROR(INDEX('Code Mapping'!$E$5:$E$1753,MATCH($B1302,'Code Mapping'!$A$5:$A$1753,0)),"Unmapped"))</f>
        <v>Unmapped</v>
      </c>
      <c r="N1302" s="33" t="str">
        <f aca="false">IF($F1302="","",$F1302)</f>
        <v>InflataCity</v>
      </c>
    </row>
    <row r="1303" customFormat="false" ht="15" hidden="false" customHeight="false" outlineLevel="0" collapsed="false">
      <c r="A1303" s="33" t="n">
        <v>2402</v>
      </c>
      <c r="B1303" s="33" t="s">
        <v>900</v>
      </c>
      <c r="C1303" s="33" t="s">
        <v>823</v>
      </c>
      <c r="D1303" s="33"/>
      <c r="E1303" s="33" t="n">
        <v>55</v>
      </c>
      <c r="F1303" s="33" t="s">
        <v>2160</v>
      </c>
      <c r="G1303" s="33" t="s">
        <v>505</v>
      </c>
      <c r="H1303" s="33" t="n">
        <v>1</v>
      </c>
      <c r="I1303" s="33" t="n">
        <v>1</v>
      </c>
      <c r="J1303" s="33" t="n">
        <v>1</v>
      </c>
      <c r="K1303" s="32" t="n">
        <v>300</v>
      </c>
      <c r="L1303" s="33" t="str">
        <f aca="false">IF($B1303="","",IFERROR(INDEX('Code Mapping'!$D$5:$D$1753,MATCH($B1303,'Code Mapping'!$A$5:$A$1753,0)),"Unmapped"))</f>
        <v>Unmapped</v>
      </c>
      <c r="M1303" s="33" t="str">
        <f aca="false">IF($B1303="","",IFERROR(INDEX('Code Mapping'!$E$5:$E$1753,MATCH($B1303,'Code Mapping'!$A$5:$A$1753,0)),"Unmapped"))</f>
        <v>Unmapped</v>
      </c>
      <c r="N1303" s="33" t="str">
        <f aca="false">IF($F1303="","",$F1303)</f>
        <v>InflataCity</v>
      </c>
    </row>
    <row r="1304" customFormat="false" ht="15" hidden="false" customHeight="false" outlineLevel="0" collapsed="false">
      <c r="A1304" s="33" t="n">
        <v>2394</v>
      </c>
      <c r="B1304" s="33" t="s">
        <v>918</v>
      </c>
      <c r="C1304" s="33" t="s">
        <v>823</v>
      </c>
      <c r="D1304" s="33"/>
      <c r="E1304" s="33" t="n">
        <v>55</v>
      </c>
      <c r="F1304" s="33" t="s">
        <v>2160</v>
      </c>
      <c r="G1304" s="33" t="s">
        <v>505</v>
      </c>
      <c r="H1304" s="33" t="n">
        <v>1</v>
      </c>
      <c r="I1304" s="33" t="n">
        <v>1</v>
      </c>
      <c r="J1304" s="33" t="n">
        <v>1</v>
      </c>
      <c r="K1304" s="32" t="n">
        <v>300</v>
      </c>
      <c r="L1304" s="33" t="str">
        <f aca="false">IF($B1304="","",IFERROR(INDEX('Code Mapping'!$D$5:$D$1753,MATCH($B1304,'Code Mapping'!$A$5:$A$1753,0)),"Unmapped"))</f>
        <v>Unmapped</v>
      </c>
      <c r="M1304" s="33" t="str">
        <f aca="false">IF($B1304="","",IFERROR(INDEX('Code Mapping'!$E$5:$E$1753,MATCH($B1304,'Code Mapping'!$A$5:$A$1753,0)),"Unmapped"))</f>
        <v>Unmapped</v>
      </c>
      <c r="N1304" s="33" t="str">
        <f aca="false">IF($F1304="","",$F1304)</f>
        <v>InflataCity</v>
      </c>
    </row>
    <row r="1305" customFormat="false" ht="15" hidden="false" customHeight="false" outlineLevel="0" collapsed="false">
      <c r="A1305" s="33" t="n">
        <v>2752</v>
      </c>
      <c r="B1305" s="33" t="s">
        <v>874</v>
      </c>
      <c r="C1305" s="33" t="s">
        <v>825</v>
      </c>
      <c r="D1305" s="33"/>
      <c r="E1305" s="33" t="n">
        <v>55</v>
      </c>
      <c r="F1305" s="33" t="s">
        <v>2160</v>
      </c>
      <c r="G1305" s="33" t="s">
        <v>505</v>
      </c>
      <c r="H1305" s="33" t="n">
        <v>1</v>
      </c>
      <c r="I1305" s="33" t="n">
        <v>1</v>
      </c>
      <c r="J1305" s="33" t="n">
        <v>1</v>
      </c>
      <c r="K1305" s="32" t="n">
        <v>75</v>
      </c>
      <c r="L1305" s="33" t="str">
        <f aca="false">IF($B1305="","",IFERROR(INDEX('Code Mapping'!$D$5:$D$1753,MATCH($B1305,'Code Mapping'!$A$5:$A$1753,0)),"Unmapped"))</f>
        <v>Unmapped</v>
      </c>
      <c r="M1305" s="33" t="str">
        <f aca="false">IF($B1305="","",IFERROR(INDEX('Code Mapping'!$E$5:$E$1753,MATCH($B1305,'Code Mapping'!$A$5:$A$1753,0)),"Unmapped"))</f>
        <v>Unmapped</v>
      </c>
      <c r="N1305" s="33" t="str">
        <f aca="false">IF($F1305="","",$F1305)</f>
        <v>InflataCity</v>
      </c>
    </row>
    <row r="1306" customFormat="false" ht="15" hidden="false" customHeight="false" outlineLevel="0" collapsed="false">
      <c r="A1306" s="33" t="n">
        <v>2202</v>
      </c>
      <c r="B1306" s="33" t="s">
        <v>916</v>
      </c>
      <c r="C1306" s="33" t="s">
        <v>827</v>
      </c>
      <c r="D1306" s="33"/>
      <c r="E1306" s="33" t="n">
        <v>55</v>
      </c>
      <c r="F1306" s="33" t="s">
        <v>2160</v>
      </c>
      <c r="G1306" s="33" t="s">
        <v>505</v>
      </c>
      <c r="H1306" s="33" t="n">
        <v>1</v>
      </c>
      <c r="I1306" s="33" t="n">
        <v>1</v>
      </c>
      <c r="J1306" s="33" t="n">
        <v>1</v>
      </c>
      <c r="K1306" s="32" t="n">
        <v>75</v>
      </c>
      <c r="L1306" s="33" t="str">
        <f aca="false">IF($B1306="","",IFERROR(INDEX('Code Mapping'!$D$5:$D$1753,MATCH($B1306,'Code Mapping'!$A$5:$A$1753,0)),"Unmapped"))</f>
        <v>Unmapped</v>
      </c>
      <c r="M1306" s="33" t="str">
        <f aca="false">IF($B1306="","",IFERROR(INDEX('Code Mapping'!$E$5:$E$1753,MATCH($B1306,'Code Mapping'!$A$5:$A$1753,0)),"Unmapped"))</f>
        <v>Unmapped</v>
      </c>
      <c r="N1306" s="33" t="str">
        <f aca="false">IF($F1306="","",$F1306)</f>
        <v>InflataCity</v>
      </c>
    </row>
    <row r="1307" customFormat="false" ht="15" hidden="false" customHeight="false" outlineLevel="0" collapsed="false">
      <c r="A1307" s="33" t="n">
        <v>2788</v>
      </c>
      <c r="B1307" s="33" t="s">
        <v>915</v>
      </c>
      <c r="C1307" s="33" t="s">
        <v>825</v>
      </c>
      <c r="D1307" s="33"/>
      <c r="E1307" s="33" t="n">
        <v>55</v>
      </c>
      <c r="F1307" s="33" t="s">
        <v>2160</v>
      </c>
      <c r="G1307" s="33" t="s">
        <v>505</v>
      </c>
      <c r="H1307" s="33" t="n">
        <v>1</v>
      </c>
      <c r="I1307" s="33" t="n">
        <v>1</v>
      </c>
      <c r="J1307" s="33" t="n">
        <v>1</v>
      </c>
      <c r="K1307" s="32" t="n">
        <v>75</v>
      </c>
      <c r="L1307" s="33" t="str">
        <f aca="false">IF($B1307="","",IFERROR(INDEX('Code Mapping'!$D$5:$D$1753,MATCH($B1307,'Code Mapping'!$A$5:$A$1753,0)),"Unmapped"))</f>
        <v>Unmapped</v>
      </c>
      <c r="M1307" s="33" t="str">
        <f aca="false">IF($B1307="","",IFERROR(INDEX('Code Mapping'!$E$5:$E$1753,MATCH($B1307,'Code Mapping'!$A$5:$A$1753,0)),"Unmapped"))</f>
        <v>Unmapped</v>
      </c>
      <c r="N1307" s="33" t="str">
        <f aca="false">IF($F1307="","",$F1307)</f>
        <v>InflataCity</v>
      </c>
    </row>
    <row r="1308" customFormat="false" ht="15" hidden="false" customHeight="false" outlineLevel="0" collapsed="false">
      <c r="A1308" s="33" t="n">
        <v>2458</v>
      </c>
      <c r="B1308" s="33" t="s">
        <v>914</v>
      </c>
      <c r="C1308" s="33" t="s">
        <v>823</v>
      </c>
      <c r="D1308" s="33"/>
      <c r="E1308" s="33" t="n">
        <v>55</v>
      </c>
      <c r="F1308" s="33" t="s">
        <v>2160</v>
      </c>
      <c r="G1308" s="33" t="s">
        <v>505</v>
      </c>
      <c r="H1308" s="33" t="n">
        <v>1</v>
      </c>
      <c r="I1308" s="33" t="n">
        <v>1</v>
      </c>
      <c r="J1308" s="33" t="n">
        <v>1</v>
      </c>
      <c r="K1308" s="32" t="n">
        <v>300</v>
      </c>
      <c r="L1308" s="33" t="str">
        <f aca="false">IF($B1308="","",IFERROR(INDEX('Code Mapping'!$D$5:$D$1753,MATCH($B1308,'Code Mapping'!$A$5:$A$1753,0)),"Unmapped"))</f>
        <v>Unmapped</v>
      </c>
      <c r="M1308" s="33" t="str">
        <f aca="false">IF($B1308="","",IFERROR(INDEX('Code Mapping'!$E$5:$E$1753,MATCH($B1308,'Code Mapping'!$A$5:$A$1753,0)),"Unmapped"))</f>
        <v>Unmapped</v>
      </c>
      <c r="N1308" s="33" t="str">
        <f aca="false">IF($F1308="","",$F1308)</f>
        <v>InflataCity</v>
      </c>
    </row>
    <row r="1309" customFormat="false" ht="15" hidden="false" customHeight="false" outlineLevel="0" collapsed="false">
      <c r="A1309" s="33" t="n">
        <v>2699</v>
      </c>
      <c r="B1309" s="33" t="s">
        <v>913</v>
      </c>
      <c r="C1309" s="33" t="s">
        <v>825</v>
      </c>
      <c r="D1309" s="33"/>
      <c r="E1309" s="33" t="n">
        <v>55</v>
      </c>
      <c r="F1309" s="33" t="s">
        <v>2160</v>
      </c>
      <c r="G1309" s="33" t="s">
        <v>505</v>
      </c>
      <c r="H1309" s="33" t="n">
        <v>1</v>
      </c>
      <c r="I1309" s="33" t="n">
        <v>1</v>
      </c>
      <c r="J1309" s="33" t="n">
        <v>1</v>
      </c>
      <c r="K1309" s="32" t="n">
        <v>75</v>
      </c>
      <c r="L1309" s="33" t="str">
        <f aca="false">IF($B1309="","",IFERROR(INDEX('Code Mapping'!$D$5:$D$1753,MATCH($B1309,'Code Mapping'!$A$5:$A$1753,0)),"Unmapped"))</f>
        <v>Unmapped</v>
      </c>
      <c r="M1309" s="33" t="str">
        <f aca="false">IF($B1309="","",IFERROR(INDEX('Code Mapping'!$E$5:$E$1753,MATCH($B1309,'Code Mapping'!$A$5:$A$1753,0)),"Unmapped"))</f>
        <v>Unmapped</v>
      </c>
      <c r="N1309" s="33" t="str">
        <f aca="false">IF($F1309="","",$F1309)</f>
        <v>InflataCity</v>
      </c>
    </row>
    <row r="1310" customFormat="false" ht="15" hidden="false" customHeight="false" outlineLevel="0" collapsed="false">
      <c r="A1310" s="33" t="n">
        <v>2794</v>
      </c>
      <c r="B1310" s="33" t="s">
        <v>912</v>
      </c>
      <c r="C1310" s="33" t="s">
        <v>825</v>
      </c>
      <c r="D1310" s="33"/>
      <c r="E1310" s="33" t="n">
        <v>55</v>
      </c>
      <c r="F1310" s="33" t="s">
        <v>2160</v>
      </c>
      <c r="G1310" s="33" t="s">
        <v>505</v>
      </c>
      <c r="H1310" s="33" t="n">
        <v>1</v>
      </c>
      <c r="I1310" s="33" t="n">
        <v>1</v>
      </c>
      <c r="J1310" s="33" t="n">
        <v>1</v>
      </c>
      <c r="K1310" s="32" t="n">
        <v>75</v>
      </c>
      <c r="L1310" s="33" t="str">
        <f aca="false">IF($B1310="","",IFERROR(INDEX('Code Mapping'!$D$5:$D$1753,MATCH($B1310,'Code Mapping'!$A$5:$A$1753,0)),"Unmapped"))</f>
        <v>Unmapped</v>
      </c>
      <c r="M1310" s="33" t="str">
        <f aca="false">IF($B1310="","",IFERROR(INDEX('Code Mapping'!$E$5:$E$1753,MATCH($B1310,'Code Mapping'!$A$5:$A$1753,0)),"Unmapped"))</f>
        <v>Unmapped</v>
      </c>
      <c r="N1310" s="33" t="str">
        <f aca="false">IF($F1310="","",$F1310)</f>
        <v>InflataCity</v>
      </c>
    </row>
    <row r="1311" customFormat="false" ht="15" hidden="false" customHeight="false" outlineLevel="0" collapsed="false">
      <c r="A1311" s="33" t="n">
        <v>2414</v>
      </c>
      <c r="B1311" s="33" t="s">
        <v>911</v>
      </c>
      <c r="C1311" s="33" t="s">
        <v>823</v>
      </c>
      <c r="D1311" s="33"/>
      <c r="E1311" s="33" t="n">
        <v>55</v>
      </c>
      <c r="F1311" s="33" t="s">
        <v>2160</v>
      </c>
      <c r="G1311" s="33" t="s">
        <v>505</v>
      </c>
      <c r="H1311" s="33" t="n">
        <v>1</v>
      </c>
      <c r="I1311" s="33" t="n">
        <v>1</v>
      </c>
      <c r="J1311" s="33" t="n">
        <v>1</v>
      </c>
      <c r="K1311" s="32" t="n">
        <v>300</v>
      </c>
      <c r="L1311" s="33" t="str">
        <f aca="false">IF($B1311="","",IFERROR(INDEX('Code Mapping'!$D$5:$D$1753,MATCH($B1311,'Code Mapping'!$A$5:$A$1753,0)),"Unmapped"))</f>
        <v>Unmapped</v>
      </c>
      <c r="M1311" s="33" t="str">
        <f aca="false">IF($B1311="","",IFERROR(INDEX('Code Mapping'!$E$5:$E$1753,MATCH($B1311,'Code Mapping'!$A$5:$A$1753,0)),"Unmapped"))</f>
        <v>Unmapped</v>
      </c>
      <c r="N1311" s="33" t="str">
        <f aca="false">IF($F1311="","",$F1311)</f>
        <v>InflataCity</v>
      </c>
    </row>
    <row r="1312" customFormat="false" ht="15" hidden="false" customHeight="false" outlineLevel="0" collapsed="false">
      <c r="A1312" s="33" t="n">
        <v>2793</v>
      </c>
      <c r="B1312" s="33" t="s">
        <v>910</v>
      </c>
      <c r="C1312" s="33" t="s">
        <v>825</v>
      </c>
      <c r="D1312" s="33"/>
      <c r="E1312" s="33" t="n">
        <v>55</v>
      </c>
      <c r="F1312" s="33" t="s">
        <v>2160</v>
      </c>
      <c r="G1312" s="33" t="s">
        <v>505</v>
      </c>
      <c r="H1312" s="33" t="n">
        <v>1</v>
      </c>
      <c r="I1312" s="33" t="n">
        <v>1</v>
      </c>
      <c r="J1312" s="33" t="n">
        <v>1</v>
      </c>
      <c r="K1312" s="32" t="n">
        <v>75</v>
      </c>
      <c r="L1312" s="33" t="str">
        <f aca="false">IF($B1312="","",IFERROR(INDEX('Code Mapping'!$D$5:$D$1753,MATCH($B1312,'Code Mapping'!$A$5:$A$1753,0)),"Unmapped"))</f>
        <v>Unmapped</v>
      </c>
      <c r="M1312" s="33" t="str">
        <f aca="false">IF($B1312="","",IFERROR(INDEX('Code Mapping'!$E$5:$E$1753,MATCH($B1312,'Code Mapping'!$A$5:$A$1753,0)),"Unmapped"))</f>
        <v>Unmapped</v>
      </c>
      <c r="N1312" s="33" t="str">
        <f aca="false">IF($F1312="","",$F1312)</f>
        <v>InflataCity</v>
      </c>
    </row>
    <row r="1313" customFormat="false" ht="15" hidden="false" customHeight="false" outlineLevel="0" collapsed="false">
      <c r="A1313" s="33" t="n">
        <v>2758</v>
      </c>
      <c r="B1313" s="33" t="s">
        <v>909</v>
      </c>
      <c r="C1313" s="33" t="s">
        <v>825</v>
      </c>
      <c r="D1313" s="33"/>
      <c r="E1313" s="33" t="n">
        <v>55</v>
      </c>
      <c r="F1313" s="33" t="s">
        <v>2160</v>
      </c>
      <c r="G1313" s="33" t="s">
        <v>505</v>
      </c>
      <c r="H1313" s="33" t="n">
        <v>1</v>
      </c>
      <c r="I1313" s="33" t="n">
        <v>1</v>
      </c>
      <c r="J1313" s="33" t="n">
        <v>1</v>
      </c>
      <c r="K1313" s="32" t="n">
        <v>75</v>
      </c>
      <c r="L1313" s="33" t="str">
        <f aca="false">IF($B1313="","",IFERROR(INDEX('Code Mapping'!$D$5:$D$1753,MATCH($B1313,'Code Mapping'!$A$5:$A$1753,0)),"Unmapped"))</f>
        <v>Unmapped</v>
      </c>
      <c r="M1313" s="33" t="str">
        <f aca="false">IF($B1313="","",IFERROR(INDEX('Code Mapping'!$E$5:$E$1753,MATCH($B1313,'Code Mapping'!$A$5:$A$1753,0)),"Unmapped"))</f>
        <v>Unmapped</v>
      </c>
      <c r="N1313" s="33" t="str">
        <f aca="false">IF($F1313="","",$F1313)</f>
        <v>InflataCity</v>
      </c>
    </row>
    <row r="1314" customFormat="false" ht="15" hidden="false" customHeight="false" outlineLevel="0" collapsed="false">
      <c r="A1314" s="33" t="n">
        <v>2391</v>
      </c>
      <c r="B1314" s="33" t="s">
        <v>908</v>
      </c>
      <c r="C1314" s="33" t="s">
        <v>823</v>
      </c>
      <c r="D1314" s="33"/>
      <c r="E1314" s="33" t="n">
        <v>55</v>
      </c>
      <c r="F1314" s="33" t="s">
        <v>2160</v>
      </c>
      <c r="G1314" s="33" t="s">
        <v>505</v>
      </c>
      <c r="H1314" s="33" t="n">
        <v>1</v>
      </c>
      <c r="I1314" s="33" t="n">
        <v>1</v>
      </c>
      <c r="J1314" s="33" t="n">
        <v>1</v>
      </c>
      <c r="K1314" s="32" t="n">
        <v>300</v>
      </c>
      <c r="L1314" s="33" t="str">
        <f aca="false">IF($B1314="","",IFERROR(INDEX('Code Mapping'!$D$5:$D$1753,MATCH($B1314,'Code Mapping'!$A$5:$A$1753,0)),"Unmapped"))</f>
        <v>Unmapped</v>
      </c>
      <c r="M1314" s="33" t="str">
        <f aca="false">IF($B1314="","",IFERROR(INDEX('Code Mapping'!$E$5:$E$1753,MATCH($B1314,'Code Mapping'!$A$5:$A$1753,0)),"Unmapped"))</f>
        <v>Unmapped</v>
      </c>
      <c r="N1314" s="33" t="str">
        <f aca="false">IF($F1314="","",$F1314)</f>
        <v>InflataCity</v>
      </c>
    </row>
    <row r="1315" customFormat="false" ht="15" hidden="false" customHeight="false" outlineLevel="0" collapsed="false">
      <c r="A1315" s="33" t="n">
        <v>2677</v>
      </c>
      <c r="B1315" s="33" t="s">
        <v>907</v>
      </c>
      <c r="C1315" s="33" t="s">
        <v>825</v>
      </c>
      <c r="D1315" s="33"/>
      <c r="E1315" s="33" t="n">
        <v>55</v>
      </c>
      <c r="F1315" s="33" t="s">
        <v>2160</v>
      </c>
      <c r="G1315" s="33" t="s">
        <v>505</v>
      </c>
      <c r="H1315" s="33" t="n">
        <v>1</v>
      </c>
      <c r="I1315" s="33" t="n">
        <v>1</v>
      </c>
      <c r="J1315" s="33" t="n">
        <v>1</v>
      </c>
      <c r="K1315" s="32" t="n">
        <v>75</v>
      </c>
      <c r="L1315" s="33" t="str">
        <f aca="false">IF($B1315="","",IFERROR(INDEX('Code Mapping'!$D$5:$D$1753,MATCH($B1315,'Code Mapping'!$A$5:$A$1753,0)),"Unmapped"))</f>
        <v>Unmapped</v>
      </c>
      <c r="M1315" s="33" t="str">
        <f aca="false">IF($B1315="","",IFERROR(INDEX('Code Mapping'!$E$5:$E$1753,MATCH($B1315,'Code Mapping'!$A$5:$A$1753,0)),"Unmapped"))</f>
        <v>Unmapped</v>
      </c>
      <c r="N1315" s="33" t="str">
        <f aca="false">IF($F1315="","",$F1315)</f>
        <v>InflataCity</v>
      </c>
    </row>
    <row r="1316" customFormat="false" ht="15" hidden="false" customHeight="false" outlineLevel="0" collapsed="false">
      <c r="A1316" s="33" t="n">
        <v>2694</v>
      </c>
      <c r="B1316" s="33" t="s">
        <v>905</v>
      </c>
      <c r="C1316" s="33" t="s">
        <v>825</v>
      </c>
      <c r="D1316" s="33"/>
      <c r="E1316" s="33" t="n">
        <v>55</v>
      </c>
      <c r="F1316" s="33" t="s">
        <v>2160</v>
      </c>
      <c r="G1316" s="33" t="s">
        <v>505</v>
      </c>
      <c r="H1316" s="33" t="n">
        <v>1</v>
      </c>
      <c r="I1316" s="33" t="n">
        <v>1</v>
      </c>
      <c r="J1316" s="33" t="n">
        <v>1</v>
      </c>
      <c r="K1316" s="32" t="n">
        <v>75</v>
      </c>
      <c r="L1316" s="33" t="str">
        <f aca="false">IF($B1316="","",IFERROR(INDEX('Code Mapping'!$D$5:$D$1753,MATCH($B1316,'Code Mapping'!$A$5:$A$1753,0)),"Unmapped"))</f>
        <v>Unmapped</v>
      </c>
      <c r="M1316" s="33" t="str">
        <f aca="false">IF($B1316="","",IFERROR(INDEX('Code Mapping'!$E$5:$E$1753,MATCH($B1316,'Code Mapping'!$A$5:$A$1753,0)),"Unmapped"))</f>
        <v>Unmapped</v>
      </c>
      <c r="N1316" s="33" t="str">
        <f aca="false">IF($F1316="","",$F1316)</f>
        <v>InflataCity</v>
      </c>
    </row>
    <row r="1317" customFormat="false" ht="15" hidden="false" customHeight="false" outlineLevel="0" collapsed="false">
      <c r="A1317" s="33" t="n">
        <v>2415</v>
      </c>
      <c r="B1317" s="33" t="s">
        <v>904</v>
      </c>
      <c r="C1317" s="33" t="s">
        <v>823</v>
      </c>
      <c r="D1317" s="33"/>
      <c r="E1317" s="33" t="n">
        <v>55</v>
      </c>
      <c r="F1317" s="33" t="s">
        <v>2160</v>
      </c>
      <c r="G1317" s="33" t="s">
        <v>505</v>
      </c>
      <c r="H1317" s="33" t="n">
        <v>1</v>
      </c>
      <c r="I1317" s="33" t="n">
        <v>1</v>
      </c>
      <c r="J1317" s="33" t="n">
        <v>1</v>
      </c>
      <c r="K1317" s="32" t="n">
        <v>300</v>
      </c>
      <c r="L1317" s="33" t="str">
        <f aca="false">IF($B1317="","",IFERROR(INDEX('Code Mapping'!$D$5:$D$1753,MATCH($B1317,'Code Mapping'!$A$5:$A$1753,0)),"Unmapped"))</f>
        <v>Unmapped</v>
      </c>
      <c r="M1317" s="33" t="str">
        <f aca="false">IF($B1317="","",IFERROR(INDEX('Code Mapping'!$E$5:$E$1753,MATCH($B1317,'Code Mapping'!$A$5:$A$1753,0)),"Unmapped"))</f>
        <v>Unmapped</v>
      </c>
      <c r="N1317" s="33" t="str">
        <f aca="false">IF($F1317="","",$F1317)</f>
        <v>InflataCity</v>
      </c>
    </row>
    <row r="1318" customFormat="false" ht="15" hidden="false" customHeight="false" outlineLevel="0" collapsed="false">
      <c r="A1318" s="33" t="n">
        <v>2399</v>
      </c>
      <c r="B1318" s="33" t="s">
        <v>903</v>
      </c>
      <c r="C1318" s="33" t="s">
        <v>823</v>
      </c>
      <c r="D1318" s="33"/>
      <c r="E1318" s="33" t="n">
        <v>55</v>
      </c>
      <c r="F1318" s="33" t="s">
        <v>2160</v>
      </c>
      <c r="G1318" s="33" t="s">
        <v>505</v>
      </c>
      <c r="H1318" s="33" t="n">
        <v>1</v>
      </c>
      <c r="I1318" s="33" t="n">
        <v>1</v>
      </c>
      <c r="J1318" s="33" t="n">
        <v>1</v>
      </c>
      <c r="K1318" s="32" t="n">
        <v>300</v>
      </c>
      <c r="L1318" s="33" t="str">
        <f aca="false">IF($B1318="","",IFERROR(INDEX('Code Mapping'!$D$5:$D$1753,MATCH($B1318,'Code Mapping'!$A$5:$A$1753,0)),"Unmapped"))</f>
        <v>Unmapped</v>
      </c>
      <c r="M1318" s="33" t="str">
        <f aca="false">IF($B1318="","",IFERROR(INDEX('Code Mapping'!$E$5:$E$1753,MATCH($B1318,'Code Mapping'!$A$5:$A$1753,0)),"Unmapped"))</f>
        <v>Unmapped</v>
      </c>
      <c r="N1318" s="33" t="str">
        <f aca="false">IF($F1318="","",$F1318)</f>
        <v>InflataCity</v>
      </c>
    </row>
    <row r="1319" customFormat="false" ht="15" hidden="false" customHeight="false" outlineLevel="0" collapsed="false">
      <c r="A1319" s="33" t="n">
        <v>2651</v>
      </c>
      <c r="B1319" s="33" t="s">
        <v>902</v>
      </c>
      <c r="C1319" s="33" t="s">
        <v>825</v>
      </c>
      <c r="D1319" s="33"/>
      <c r="E1319" s="33" t="n">
        <v>55</v>
      </c>
      <c r="F1319" s="33" t="s">
        <v>2160</v>
      </c>
      <c r="G1319" s="33" t="s">
        <v>505</v>
      </c>
      <c r="H1319" s="33" t="n">
        <v>1</v>
      </c>
      <c r="I1319" s="33" t="n">
        <v>1</v>
      </c>
      <c r="J1319" s="33" t="n">
        <v>1</v>
      </c>
      <c r="K1319" s="32" t="n">
        <v>75</v>
      </c>
      <c r="L1319" s="33" t="str">
        <f aca="false">IF($B1319="","",IFERROR(INDEX('Code Mapping'!$D$5:$D$1753,MATCH($B1319,'Code Mapping'!$A$5:$A$1753,0)),"Unmapped"))</f>
        <v>Unmapped</v>
      </c>
      <c r="M1319" s="33" t="str">
        <f aca="false">IF($B1319="","",IFERROR(INDEX('Code Mapping'!$E$5:$E$1753,MATCH($B1319,'Code Mapping'!$A$5:$A$1753,0)),"Unmapped"))</f>
        <v>Unmapped</v>
      </c>
      <c r="N1319" s="33" t="str">
        <f aca="false">IF($F1319="","",$F1319)</f>
        <v>InflataCity</v>
      </c>
    </row>
    <row r="1320" customFormat="false" ht="15" hidden="false" customHeight="false" outlineLevel="0" collapsed="false">
      <c r="A1320" s="33" t="n">
        <v>2662</v>
      </c>
      <c r="B1320" s="33" t="s">
        <v>901</v>
      </c>
      <c r="C1320" s="33" t="s">
        <v>825</v>
      </c>
      <c r="D1320" s="33"/>
      <c r="E1320" s="33" t="n">
        <v>55</v>
      </c>
      <c r="F1320" s="33" t="s">
        <v>2160</v>
      </c>
      <c r="G1320" s="33" t="s">
        <v>505</v>
      </c>
      <c r="H1320" s="33" t="n">
        <v>1</v>
      </c>
      <c r="I1320" s="33" t="n">
        <v>1</v>
      </c>
      <c r="J1320" s="33" t="n">
        <v>1</v>
      </c>
      <c r="K1320" s="32" t="n">
        <v>75</v>
      </c>
      <c r="L1320" s="33" t="str">
        <f aca="false">IF($B1320="","",IFERROR(INDEX('Code Mapping'!$D$5:$D$1753,MATCH($B1320,'Code Mapping'!$A$5:$A$1753,0)),"Unmapped"))</f>
        <v>Unmapped</v>
      </c>
      <c r="M1320" s="33" t="str">
        <f aca="false">IF($B1320="","",IFERROR(INDEX('Code Mapping'!$E$5:$E$1753,MATCH($B1320,'Code Mapping'!$A$5:$A$1753,0)),"Unmapped"))</f>
        <v>Unmapped</v>
      </c>
      <c r="N1320" s="33" t="str">
        <f aca="false">IF($F1320="","",$F1320)</f>
        <v>InflataCity</v>
      </c>
    </row>
    <row r="1321" customFormat="false" ht="15" hidden="false" customHeight="false" outlineLevel="0" collapsed="false">
      <c r="A1321" s="33" t="n">
        <v>2756</v>
      </c>
      <c r="B1321" s="33" t="s">
        <v>876</v>
      </c>
      <c r="C1321" s="33" t="s">
        <v>825</v>
      </c>
      <c r="D1321" s="33"/>
      <c r="E1321" s="33" t="n">
        <v>55</v>
      </c>
      <c r="F1321" s="33" t="s">
        <v>2160</v>
      </c>
      <c r="G1321" s="33" t="s">
        <v>505</v>
      </c>
      <c r="H1321" s="33" t="n">
        <v>1</v>
      </c>
      <c r="I1321" s="33" t="n">
        <v>1</v>
      </c>
      <c r="J1321" s="33" t="n">
        <v>1</v>
      </c>
      <c r="K1321" s="32" t="n">
        <v>75</v>
      </c>
      <c r="L1321" s="33" t="str">
        <f aca="false">IF($B1321="","",IFERROR(INDEX('Code Mapping'!$D$5:$D$1753,MATCH($B1321,'Code Mapping'!$A$5:$A$1753,0)),"Unmapped"))</f>
        <v>Unmapped</v>
      </c>
      <c r="M1321" s="33" t="str">
        <f aca="false">IF($B1321="","",IFERROR(INDEX('Code Mapping'!$E$5:$E$1753,MATCH($B1321,'Code Mapping'!$A$5:$A$1753,0)),"Unmapped"))</f>
        <v>Unmapped</v>
      </c>
      <c r="N1321" s="33" t="str">
        <f aca="false">IF($F1321="","",$F1321)</f>
        <v>InflataCity</v>
      </c>
    </row>
    <row r="1322" customFormat="false" ht="15" hidden="false" customHeight="false" outlineLevel="0" collapsed="false">
      <c r="A1322" s="33" t="n">
        <v>2654</v>
      </c>
      <c r="B1322" s="33" t="s">
        <v>849</v>
      </c>
      <c r="C1322" s="33" t="s">
        <v>825</v>
      </c>
      <c r="D1322" s="33"/>
      <c r="E1322" s="33" t="n">
        <v>55</v>
      </c>
      <c r="F1322" s="33" t="s">
        <v>2160</v>
      </c>
      <c r="G1322" s="33" t="s">
        <v>505</v>
      </c>
      <c r="H1322" s="33" t="n">
        <v>1</v>
      </c>
      <c r="I1322" s="33" t="n">
        <v>1</v>
      </c>
      <c r="J1322" s="33" t="n">
        <v>1</v>
      </c>
      <c r="K1322" s="32" t="n">
        <v>75</v>
      </c>
      <c r="L1322" s="33" t="str">
        <f aca="false">IF($B1322="","",IFERROR(INDEX('Code Mapping'!$D$5:$D$1753,MATCH($B1322,'Code Mapping'!$A$5:$A$1753,0)),"Unmapped"))</f>
        <v>Unmapped</v>
      </c>
      <c r="M1322" s="33" t="str">
        <f aca="false">IF($B1322="","",IFERROR(INDEX('Code Mapping'!$E$5:$E$1753,MATCH($B1322,'Code Mapping'!$A$5:$A$1753,0)),"Unmapped"))</f>
        <v>Unmapped</v>
      </c>
      <c r="N1322" s="33" t="str">
        <f aca="false">IF($F1322="","",$F1322)</f>
        <v>InflataCity</v>
      </c>
    </row>
    <row r="1323" customFormat="false" ht="15" hidden="false" customHeight="false" outlineLevel="0" collapsed="false">
      <c r="A1323" s="33" t="n">
        <v>2772</v>
      </c>
      <c r="B1323" s="33" t="s">
        <v>873</v>
      </c>
      <c r="C1323" s="33" t="s">
        <v>825</v>
      </c>
      <c r="D1323" s="33"/>
      <c r="E1323" s="33" t="n">
        <v>55</v>
      </c>
      <c r="F1323" s="33" t="s">
        <v>2160</v>
      </c>
      <c r="G1323" s="33" t="s">
        <v>505</v>
      </c>
      <c r="H1323" s="33" t="n">
        <v>1</v>
      </c>
      <c r="I1323" s="33" t="n">
        <v>1</v>
      </c>
      <c r="J1323" s="33" t="n">
        <v>1</v>
      </c>
      <c r="K1323" s="32" t="n">
        <v>75</v>
      </c>
      <c r="L1323" s="33" t="str">
        <f aca="false">IF($B1323="","",IFERROR(INDEX('Code Mapping'!$D$5:$D$1753,MATCH($B1323,'Code Mapping'!$A$5:$A$1753,0)),"Unmapped"))</f>
        <v>Unmapped</v>
      </c>
      <c r="M1323" s="33" t="str">
        <f aca="false">IF($B1323="","",IFERROR(INDEX('Code Mapping'!$E$5:$E$1753,MATCH($B1323,'Code Mapping'!$A$5:$A$1753,0)),"Unmapped"))</f>
        <v>Unmapped</v>
      </c>
      <c r="N1323" s="33" t="str">
        <f aca="false">IF($F1323="","",$F1323)</f>
        <v>InflataCity</v>
      </c>
    </row>
    <row r="1324" customFormat="false" ht="15" hidden="false" customHeight="false" outlineLevel="0" collapsed="false">
      <c r="A1324" s="33" t="n">
        <v>2658</v>
      </c>
      <c r="B1324" s="33" t="s">
        <v>832</v>
      </c>
      <c r="C1324" s="33" t="s">
        <v>825</v>
      </c>
      <c r="D1324" s="33"/>
      <c r="E1324" s="33" t="n">
        <v>55</v>
      </c>
      <c r="F1324" s="33" t="s">
        <v>2160</v>
      </c>
      <c r="G1324" s="33" t="s">
        <v>505</v>
      </c>
      <c r="H1324" s="33" t="n">
        <v>1</v>
      </c>
      <c r="I1324" s="33" t="n">
        <v>1</v>
      </c>
      <c r="J1324" s="33" t="n">
        <v>1</v>
      </c>
      <c r="K1324" s="32" t="n">
        <v>75</v>
      </c>
      <c r="L1324" s="33" t="str">
        <f aca="false">IF($B1324="","",IFERROR(INDEX('Code Mapping'!$D$5:$D$1753,MATCH($B1324,'Code Mapping'!$A$5:$A$1753,0)),"Unmapped"))</f>
        <v>Unmapped</v>
      </c>
      <c r="M1324" s="33" t="str">
        <f aca="false">IF($B1324="","",IFERROR(INDEX('Code Mapping'!$E$5:$E$1753,MATCH($B1324,'Code Mapping'!$A$5:$A$1753,0)),"Unmapped"))</f>
        <v>Unmapped</v>
      </c>
      <c r="N1324" s="33" t="str">
        <f aca="false">IF($F1324="","",$F1324)</f>
        <v>InflataCity</v>
      </c>
    </row>
    <row r="1325" customFormat="false" ht="15" hidden="false" customHeight="false" outlineLevel="0" collapsed="false">
      <c r="A1325" s="33" t="n">
        <v>2369</v>
      </c>
      <c r="B1325" s="33" t="s">
        <v>842</v>
      </c>
      <c r="C1325" s="33" t="s">
        <v>823</v>
      </c>
      <c r="D1325" s="33"/>
      <c r="E1325" s="33" t="n">
        <v>55</v>
      </c>
      <c r="F1325" s="33" t="s">
        <v>2160</v>
      </c>
      <c r="G1325" s="33" t="s">
        <v>505</v>
      </c>
      <c r="H1325" s="33" t="n">
        <v>1</v>
      </c>
      <c r="I1325" s="33" t="n">
        <v>1</v>
      </c>
      <c r="J1325" s="33" t="n">
        <v>1</v>
      </c>
      <c r="K1325" s="32" t="n">
        <v>300</v>
      </c>
      <c r="L1325" s="33" t="str">
        <f aca="false">IF($B1325="","",IFERROR(INDEX('Code Mapping'!$D$5:$D$1753,MATCH($B1325,'Code Mapping'!$A$5:$A$1753,0)),"Unmapped"))</f>
        <v>Unmapped</v>
      </c>
      <c r="M1325" s="33" t="str">
        <f aca="false">IF($B1325="","",IFERROR(INDEX('Code Mapping'!$E$5:$E$1753,MATCH($B1325,'Code Mapping'!$A$5:$A$1753,0)),"Unmapped"))</f>
        <v>Unmapped</v>
      </c>
      <c r="N1325" s="33" t="str">
        <f aca="false">IF($F1325="","",$F1325)</f>
        <v>InflataCity</v>
      </c>
    </row>
    <row r="1326" customFormat="false" ht="15" hidden="false" customHeight="false" outlineLevel="0" collapsed="false">
      <c r="A1326" s="33" t="n">
        <v>2678</v>
      </c>
      <c r="B1326" s="33" t="s">
        <v>840</v>
      </c>
      <c r="C1326" s="33" t="s">
        <v>825</v>
      </c>
      <c r="D1326" s="33"/>
      <c r="E1326" s="33" t="n">
        <v>55</v>
      </c>
      <c r="F1326" s="33" t="s">
        <v>2160</v>
      </c>
      <c r="G1326" s="33" t="s">
        <v>505</v>
      </c>
      <c r="H1326" s="33" t="n">
        <v>1</v>
      </c>
      <c r="I1326" s="33" t="n">
        <v>1</v>
      </c>
      <c r="J1326" s="33" t="n">
        <v>1</v>
      </c>
      <c r="K1326" s="32" t="n">
        <v>75</v>
      </c>
      <c r="L1326" s="33" t="str">
        <f aca="false">IF($B1326="","",IFERROR(INDEX('Code Mapping'!$D$5:$D$1753,MATCH($B1326,'Code Mapping'!$A$5:$A$1753,0)),"Unmapped"))</f>
        <v>Unmapped</v>
      </c>
      <c r="M1326" s="33" t="str">
        <f aca="false">IF($B1326="","",IFERROR(INDEX('Code Mapping'!$E$5:$E$1753,MATCH($B1326,'Code Mapping'!$A$5:$A$1753,0)),"Unmapped"))</f>
        <v>Unmapped</v>
      </c>
      <c r="N1326" s="33" t="str">
        <f aca="false">IF($F1326="","",$F1326)</f>
        <v>InflataCity</v>
      </c>
    </row>
    <row r="1327" customFormat="false" ht="15" hidden="false" customHeight="false" outlineLevel="0" collapsed="false">
      <c r="A1327" s="33" t="n">
        <v>2428</v>
      </c>
      <c r="B1327" s="33" t="s">
        <v>839</v>
      </c>
      <c r="C1327" s="33" t="s">
        <v>823</v>
      </c>
      <c r="D1327" s="33"/>
      <c r="E1327" s="33" t="n">
        <v>55</v>
      </c>
      <c r="F1327" s="33" t="s">
        <v>2160</v>
      </c>
      <c r="G1327" s="33" t="s">
        <v>505</v>
      </c>
      <c r="H1327" s="33" t="n">
        <v>1</v>
      </c>
      <c r="I1327" s="33" t="n">
        <v>1</v>
      </c>
      <c r="J1327" s="33" t="n">
        <v>1</v>
      </c>
      <c r="K1327" s="32" t="n">
        <v>300</v>
      </c>
      <c r="L1327" s="33" t="str">
        <f aca="false">IF($B1327="","",IFERROR(INDEX('Code Mapping'!$D$5:$D$1753,MATCH($B1327,'Code Mapping'!$A$5:$A$1753,0)),"Unmapped"))</f>
        <v>Unmapped</v>
      </c>
      <c r="M1327" s="33" t="str">
        <f aca="false">IF($B1327="","",IFERROR(INDEX('Code Mapping'!$E$5:$E$1753,MATCH($B1327,'Code Mapping'!$A$5:$A$1753,0)),"Unmapped"))</f>
        <v>Unmapped</v>
      </c>
      <c r="N1327" s="33" t="str">
        <f aca="false">IF($F1327="","",$F1327)</f>
        <v>InflataCity</v>
      </c>
    </row>
    <row r="1328" customFormat="false" ht="15" hidden="false" customHeight="false" outlineLevel="0" collapsed="false">
      <c r="A1328" s="33" t="n">
        <v>2195</v>
      </c>
      <c r="B1328" s="33" t="s">
        <v>838</v>
      </c>
      <c r="C1328" s="33" t="s">
        <v>827</v>
      </c>
      <c r="D1328" s="33"/>
      <c r="E1328" s="33" t="n">
        <v>55</v>
      </c>
      <c r="F1328" s="33" t="s">
        <v>2160</v>
      </c>
      <c r="G1328" s="33" t="s">
        <v>505</v>
      </c>
      <c r="H1328" s="33" t="n">
        <v>1</v>
      </c>
      <c r="I1328" s="33" t="n">
        <v>1</v>
      </c>
      <c r="J1328" s="33" t="n">
        <v>1</v>
      </c>
      <c r="K1328" s="32" t="n">
        <v>75</v>
      </c>
      <c r="L1328" s="33" t="str">
        <f aca="false">IF($B1328="","",IFERROR(INDEX('Code Mapping'!$D$5:$D$1753,MATCH($B1328,'Code Mapping'!$A$5:$A$1753,0)),"Unmapped"))</f>
        <v>Unmapped</v>
      </c>
      <c r="M1328" s="33" t="str">
        <f aca="false">IF($B1328="","",IFERROR(INDEX('Code Mapping'!$E$5:$E$1753,MATCH($B1328,'Code Mapping'!$A$5:$A$1753,0)),"Unmapped"))</f>
        <v>Unmapped</v>
      </c>
      <c r="N1328" s="33" t="str">
        <f aca="false">IF($F1328="","",$F1328)</f>
        <v>InflataCity</v>
      </c>
    </row>
    <row r="1329" customFormat="false" ht="15" hidden="false" customHeight="false" outlineLevel="0" collapsed="false">
      <c r="A1329" s="33" t="n">
        <v>2468</v>
      </c>
      <c r="B1329" s="33" t="s">
        <v>837</v>
      </c>
      <c r="C1329" s="33" t="s">
        <v>823</v>
      </c>
      <c r="D1329" s="33"/>
      <c r="E1329" s="33" t="n">
        <v>55</v>
      </c>
      <c r="F1329" s="33" t="s">
        <v>2160</v>
      </c>
      <c r="G1329" s="33" t="s">
        <v>505</v>
      </c>
      <c r="H1329" s="33" t="n">
        <v>1</v>
      </c>
      <c r="I1329" s="33" t="n">
        <v>1</v>
      </c>
      <c r="J1329" s="33" t="n">
        <v>1</v>
      </c>
      <c r="K1329" s="32" t="n">
        <v>300</v>
      </c>
      <c r="L1329" s="33" t="str">
        <f aca="false">IF($B1329="","",IFERROR(INDEX('Code Mapping'!$D$5:$D$1753,MATCH($B1329,'Code Mapping'!$A$5:$A$1753,0)),"Unmapped"))</f>
        <v>Unmapped</v>
      </c>
      <c r="M1329" s="33" t="str">
        <f aca="false">IF($B1329="","",IFERROR(INDEX('Code Mapping'!$E$5:$E$1753,MATCH($B1329,'Code Mapping'!$A$5:$A$1753,0)),"Unmapped"))</f>
        <v>Unmapped</v>
      </c>
      <c r="N1329" s="33" t="str">
        <f aca="false">IF($F1329="","",$F1329)</f>
        <v>InflataCity</v>
      </c>
    </row>
    <row r="1330" customFormat="false" ht="15" hidden="false" customHeight="false" outlineLevel="0" collapsed="false">
      <c r="A1330" s="33" t="n">
        <v>2312</v>
      </c>
      <c r="B1330" s="33" t="s">
        <v>835</v>
      </c>
      <c r="C1330" s="33" t="s">
        <v>827</v>
      </c>
      <c r="D1330" s="33"/>
      <c r="E1330" s="33" t="n">
        <v>55</v>
      </c>
      <c r="F1330" s="33" t="s">
        <v>2160</v>
      </c>
      <c r="G1330" s="33" t="s">
        <v>505</v>
      </c>
      <c r="H1330" s="33" t="n">
        <v>1</v>
      </c>
      <c r="I1330" s="33" t="n">
        <v>1</v>
      </c>
      <c r="J1330" s="33" t="n">
        <v>1</v>
      </c>
      <c r="K1330" s="32" t="n">
        <v>75</v>
      </c>
      <c r="L1330" s="33" t="str">
        <f aca="false">IF($B1330="","",IFERROR(INDEX('Code Mapping'!$D$5:$D$1753,MATCH($B1330,'Code Mapping'!$A$5:$A$1753,0)),"Unmapped"))</f>
        <v>Unmapped</v>
      </c>
      <c r="M1330" s="33" t="str">
        <f aca="false">IF($B1330="","",IFERROR(INDEX('Code Mapping'!$E$5:$E$1753,MATCH($B1330,'Code Mapping'!$A$5:$A$1753,0)),"Unmapped"))</f>
        <v>Unmapped</v>
      </c>
      <c r="N1330" s="33" t="str">
        <f aca="false">IF($F1330="","",$F1330)</f>
        <v>InflataCity</v>
      </c>
    </row>
    <row r="1331" customFormat="false" ht="15" hidden="false" customHeight="false" outlineLevel="0" collapsed="false">
      <c r="A1331" s="33" t="n">
        <v>2436</v>
      </c>
      <c r="B1331" s="33" t="s">
        <v>834</v>
      </c>
      <c r="C1331" s="33" t="s">
        <v>823</v>
      </c>
      <c r="D1331" s="33"/>
      <c r="E1331" s="33" t="n">
        <v>55</v>
      </c>
      <c r="F1331" s="33" t="s">
        <v>2160</v>
      </c>
      <c r="G1331" s="33" t="s">
        <v>505</v>
      </c>
      <c r="H1331" s="33" t="n">
        <v>1</v>
      </c>
      <c r="I1331" s="33" t="n">
        <v>1</v>
      </c>
      <c r="J1331" s="33" t="n">
        <v>1</v>
      </c>
      <c r="K1331" s="32" t="n">
        <v>300</v>
      </c>
      <c r="L1331" s="33" t="str">
        <f aca="false">IF($B1331="","",IFERROR(INDEX('Code Mapping'!$D$5:$D$1753,MATCH($B1331,'Code Mapping'!$A$5:$A$1753,0)),"Unmapped"))</f>
        <v>Unmapped</v>
      </c>
      <c r="M1331" s="33" t="str">
        <f aca="false">IF($B1331="","",IFERROR(INDEX('Code Mapping'!$E$5:$E$1753,MATCH($B1331,'Code Mapping'!$A$5:$A$1753,0)),"Unmapped"))</f>
        <v>Unmapped</v>
      </c>
      <c r="N1331" s="33" t="str">
        <f aca="false">IF($F1331="","",$F1331)</f>
        <v>InflataCity</v>
      </c>
    </row>
    <row r="1332" customFormat="false" ht="15" hidden="false" customHeight="false" outlineLevel="0" collapsed="false">
      <c r="A1332" s="33" t="n">
        <v>2405</v>
      </c>
      <c r="B1332" s="33" t="s">
        <v>833</v>
      </c>
      <c r="C1332" s="33" t="s">
        <v>823</v>
      </c>
      <c r="D1332" s="33"/>
      <c r="E1332" s="33" t="n">
        <v>55</v>
      </c>
      <c r="F1332" s="33" t="s">
        <v>2160</v>
      </c>
      <c r="G1332" s="33" t="s">
        <v>505</v>
      </c>
      <c r="H1332" s="33" t="n">
        <v>1</v>
      </c>
      <c r="I1332" s="33" t="n">
        <v>1</v>
      </c>
      <c r="J1332" s="33" t="n">
        <v>1</v>
      </c>
      <c r="K1332" s="32" t="n">
        <v>300</v>
      </c>
      <c r="L1332" s="33" t="str">
        <f aca="false">IF($B1332="","",IFERROR(INDEX('Code Mapping'!$D$5:$D$1753,MATCH($B1332,'Code Mapping'!$A$5:$A$1753,0)),"Unmapped"))</f>
        <v>Unmapped</v>
      </c>
      <c r="M1332" s="33" t="str">
        <f aca="false">IF($B1332="","",IFERROR(INDEX('Code Mapping'!$E$5:$E$1753,MATCH($B1332,'Code Mapping'!$A$5:$A$1753,0)),"Unmapped"))</f>
        <v>Unmapped</v>
      </c>
      <c r="N1332" s="33" t="str">
        <f aca="false">IF($F1332="","",$F1332)</f>
        <v>InflataCity</v>
      </c>
    </row>
    <row r="1333" customFormat="false" ht="15" hidden="false" customHeight="false" outlineLevel="0" collapsed="false">
      <c r="A1333" s="33" t="n">
        <v>2669</v>
      </c>
      <c r="B1333" s="33" t="s">
        <v>830</v>
      </c>
      <c r="C1333" s="33" t="s">
        <v>825</v>
      </c>
      <c r="D1333" s="33"/>
      <c r="E1333" s="33" t="n">
        <v>55</v>
      </c>
      <c r="F1333" s="33" t="s">
        <v>2160</v>
      </c>
      <c r="G1333" s="33" t="s">
        <v>505</v>
      </c>
      <c r="H1333" s="33" t="n">
        <v>1</v>
      </c>
      <c r="I1333" s="33" t="n">
        <v>1</v>
      </c>
      <c r="J1333" s="33" t="n">
        <v>1</v>
      </c>
      <c r="K1333" s="32" t="n">
        <v>75</v>
      </c>
      <c r="L1333" s="33" t="str">
        <f aca="false">IF($B1333="","",IFERROR(INDEX('Code Mapping'!$D$5:$D$1753,MATCH($B1333,'Code Mapping'!$A$5:$A$1753,0)),"Unmapped"))</f>
        <v>Unmapped</v>
      </c>
      <c r="M1333" s="33" t="str">
        <f aca="false">IF($B1333="","",IFERROR(INDEX('Code Mapping'!$E$5:$E$1753,MATCH($B1333,'Code Mapping'!$A$5:$A$1753,0)),"Unmapped"))</f>
        <v>Unmapped</v>
      </c>
      <c r="N1333" s="33" t="str">
        <f aca="false">IF($F1333="","",$F1333)</f>
        <v>InflataCity</v>
      </c>
    </row>
    <row r="1334" customFormat="false" ht="15" hidden="false" customHeight="false" outlineLevel="0" collapsed="false">
      <c r="A1334" s="33" t="n">
        <v>2314</v>
      </c>
      <c r="B1334" s="33" t="s">
        <v>844</v>
      </c>
      <c r="C1334" s="33" t="s">
        <v>827</v>
      </c>
      <c r="D1334" s="33"/>
      <c r="E1334" s="33" t="n">
        <v>55</v>
      </c>
      <c r="F1334" s="33" t="s">
        <v>2160</v>
      </c>
      <c r="G1334" s="33" t="s">
        <v>505</v>
      </c>
      <c r="H1334" s="33" t="n">
        <v>1</v>
      </c>
      <c r="I1334" s="33" t="n">
        <v>1</v>
      </c>
      <c r="J1334" s="33" t="n">
        <v>1</v>
      </c>
      <c r="K1334" s="32" t="n">
        <v>75</v>
      </c>
      <c r="L1334" s="33" t="str">
        <f aca="false">IF($B1334="","",IFERROR(INDEX('Code Mapping'!$D$5:$D$1753,MATCH($B1334,'Code Mapping'!$A$5:$A$1753,0)),"Unmapped"))</f>
        <v>Unmapped</v>
      </c>
      <c r="M1334" s="33" t="str">
        <f aca="false">IF($B1334="","",IFERROR(INDEX('Code Mapping'!$E$5:$E$1753,MATCH($B1334,'Code Mapping'!$A$5:$A$1753,0)),"Unmapped"))</f>
        <v>Unmapped</v>
      </c>
      <c r="N1334" s="33" t="str">
        <f aca="false">IF($F1334="","",$F1334)</f>
        <v>InflataCity</v>
      </c>
    </row>
    <row r="1335" customFormat="false" ht="15" hidden="false" customHeight="false" outlineLevel="0" collapsed="false">
      <c r="A1335" s="33" t="n">
        <v>2396</v>
      </c>
      <c r="B1335" s="33" t="s">
        <v>829</v>
      </c>
      <c r="C1335" s="33" t="s">
        <v>823</v>
      </c>
      <c r="D1335" s="33"/>
      <c r="E1335" s="33" t="n">
        <v>55</v>
      </c>
      <c r="F1335" s="33" t="s">
        <v>2160</v>
      </c>
      <c r="G1335" s="33" t="s">
        <v>505</v>
      </c>
      <c r="H1335" s="33" t="n">
        <v>1</v>
      </c>
      <c r="I1335" s="33" t="n">
        <v>1</v>
      </c>
      <c r="J1335" s="33" t="n">
        <v>1</v>
      </c>
      <c r="K1335" s="32" t="n">
        <v>300</v>
      </c>
      <c r="L1335" s="33" t="str">
        <f aca="false">IF($B1335="","",IFERROR(INDEX('Code Mapping'!$D$5:$D$1753,MATCH($B1335,'Code Mapping'!$A$5:$A$1753,0)),"Unmapped"))</f>
        <v>Unmapped</v>
      </c>
      <c r="M1335" s="33" t="str">
        <f aca="false">IF($B1335="","",IFERROR(INDEX('Code Mapping'!$E$5:$E$1753,MATCH($B1335,'Code Mapping'!$A$5:$A$1753,0)),"Unmapped"))</f>
        <v>Unmapped</v>
      </c>
      <c r="N1335" s="33" t="str">
        <f aca="false">IF($F1335="","",$F1335)</f>
        <v>InflataCity</v>
      </c>
    </row>
    <row r="1336" customFormat="false" ht="15" hidden="false" customHeight="false" outlineLevel="0" collapsed="false">
      <c r="A1336" s="33" t="n">
        <v>2390</v>
      </c>
      <c r="B1336" s="33" t="s">
        <v>828</v>
      </c>
      <c r="C1336" s="33" t="s">
        <v>823</v>
      </c>
      <c r="D1336" s="33"/>
      <c r="E1336" s="33" t="n">
        <v>55</v>
      </c>
      <c r="F1336" s="33" t="s">
        <v>2160</v>
      </c>
      <c r="G1336" s="33" t="s">
        <v>505</v>
      </c>
      <c r="H1336" s="33" t="n">
        <v>1</v>
      </c>
      <c r="I1336" s="33" t="n">
        <v>1</v>
      </c>
      <c r="J1336" s="33" t="n">
        <v>1</v>
      </c>
      <c r="K1336" s="32" t="n">
        <v>300</v>
      </c>
      <c r="L1336" s="33" t="str">
        <f aca="false">IF($B1336="","",IFERROR(INDEX('Code Mapping'!$D$5:$D$1753,MATCH($B1336,'Code Mapping'!$A$5:$A$1753,0)),"Unmapped"))</f>
        <v>Unmapped</v>
      </c>
      <c r="M1336" s="33" t="str">
        <f aca="false">IF($B1336="","",IFERROR(INDEX('Code Mapping'!$E$5:$E$1753,MATCH($B1336,'Code Mapping'!$A$5:$A$1753,0)),"Unmapped"))</f>
        <v>Unmapped</v>
      </c>
      <c r="N1336" s="33" t="str">
        <f aca="false">IF($F1336="","",$F1336)</f>
        <v>InflataCity</v>
      </c>
    </row>
    <row r="1337" customFormat="false" ht="15" hidden="false" customHeight="false" outlineLevel="0" collapsed="false">
      <c r="A1337" s="33" t="n">
        <v>2313</v>
      </c>
      <c r="B1337" s="33" t="s">
        <v>826</v>
      </c>
      <c r="C1337" s="33" t="s">
        <v>827</v>
      </c>
      <c r="D1337" s="33"/>
      <c r="E1337" s="33" t="n">
        <v>55</v>
      </c>
      <c r="F1337" s="33" t="s">
        <v>2160</v>
      </c>
      <c r="G1337" s="33" t="s">
        <v>505</v>
      </c>
      <c r="H1337" s="33" t="n">
        <v>1</v>
      </c>
      <c r="I1337" s="33" t="n">
        <v>1</v>
      </c>
      <c r="J1337" s="33" t="n">
        <v>1</v>
      </c>
      <c r="K1337" s="32" t="n">
        <v>75</v>
      </c>
      <c r="L1337" s="33" t="str">
        <f aca="false">IF($B1337="","",IFERROR(INDEX('Code Mapping'!$D$5:$D$1753,MATCH($B1337,'Code Mapping'!$A$5:$A$1753,0)),"Unmapped"))</f>
        <v>Unmapped</v>
      </c>
      <c r="M1337" s="33" t="str">
        <f aca="false">IF($B1337="","",IFERROR(INDEX('Code Mapping'!$E$5:$E$1753,MATCH($B1337,'Code Mapping'!$A$5:$A$1753,0)),"Unmapped"))</f>
        <v>Unmapped</v>
      </c>
      <c r="N1337" s="33" t="str">
        <f aca="false">IF($F1337="","",$F1337)</f>
        <v>InflataCity</v>
      </c>
    </row>
    <row r="1338" customFormat="false" ht="15" hidden="false" customHeight="false" outlineLevel="0" collapsed="false">
      <c r="A1338" s="33" t="n">
        <v>2784</v>
      </c>
      <c r="B1338" s="33" t="s">
        <v>824</v>
      </c>
      <c r="C1338" s="33" t="s">
        <v>825</v>
      </c>
      <c r="D1338" s="33"/>
      <c r="E1338" s="33" t="n">
        <v>55</v>
      </c>
      <c r="F1338" s="33" t="s">
        <v>2160</v>
      </c>
      <c r="G1338" s="33" t="s">
        <v>505</v>
      </c>
      <c r="H1338" s="33" t="n">
        <v>1</v>
      </c>
      <c r="I1338" s="33" t="n">
        <v>1</v>
      </c>
      <c r="J1338" s="33" t="n">
        <v>1</v>
      </c>
      <c r="K1338" s="32" t="n">
        <v>75</v>
      </c>
      <c r="L1338" s="33" t="str">
        <f aca="false">IF($B1338="","",IFERROR(INDEX('Code Mapping'!$D$5:$D$1753,MATCH($B1338,'Code Mapping'!$A$5:$A$1753,0)),"Unmapped"))</f>
        <v>Unmapped</v>
      </c>
      <c r="M1338" s="33" t="str">
        <f aca="false">IF($B1338="","",IFERROR(INDEX('Code Mapping'!$E$5:$E$1753,MATCH($B1338,'Code Mapping'!$A$5:$A$1753,0)),"Unmapped"))</f>
        <v>Unmapped</v>
      </c>
      <c r="N1338" s="33" t="str">
        <f aca="false">IF($F1338="","",$F1338)</f>
        <v>InflataCity</v>
      </c>
    </row>
    <row r="1339" customFormat="false" ht="15" hidden="false" customHeight="false" outlineLevel="0" collapsed="false">
      <c r="A1339" s="33" t="n">
        <v>2448</v>
      </c>
      <c r="B1339" s="33" t="s">
        <v>822</v>
      </c>
      <c r="C1339" s="33" t="s">
        <v>823</v>
      </c>
      <c r="D1339" s="33"/>
      <c r="E1339" s="33" t="n">
        <v>55</v>
      </c>
      <c r="F1339" s="33" t="s">
        <v>2160</v>
      </c>
      <c r="G1339" s="33" t="s">
        <v>505</v>
      </c>
      <c r="H1339" s="33" t="n">
        <v>1</v>
      </c>
      <c r="I1339" s="33" t="n">
        <v>1</v>
      </c>
      <c r="J1339" s="33" t="n">
        <v>1</v>
      </c>
      <c r="K1339" s="32" t="n">
        <v>300</v>
      </c>
      <c r="L1339" s="33" t="str">
        <f aca="false">IF($B1339="","",IFERROR(INDEX('Code Mapping'!$D$5:$D$1753,MATCH($B1339,'Code Mapping'!$A$5:$A$1753,0)),"Unmapped"))</f>
        <v>Unmapped</v>
      </c>
      <c r="M1339" s="33" t="str">
        <f aca="false">IF($B1339="","",IFERROR(INDEX('Code Mapping'!$E$5:$E$1753,MATCH($B1339,'Code Mapping'!$A$5:$A$1753,0)),"Unmapped"))</f>
        <v>Unmapped</v>
      </c>
      <c r="N1339" s="33" t="str">
        <f aca="false">IF($F1339="","",$F1339)</f>
        <v>InflataCity</v>
      </c>
    </row>
    <row r="1340" customFormat="false" ht="15" hidden="false" customHeight="false" outlineLevel="0" collapsed="false">
      <c r="A1340" s="33" t="n">
        <v>1881</v>
      </c>
      <c r="B1340" s="33" t="s">
        <v>811</v>
      </c>
      <c r="C1340" s="33" t="s">
        <v>511</v>
      </c>
      <c r="D1340" s="33"/>
      <c r="E1340" s="33" t="n">
        <v>55</v>
      </c>
      <c r="F1340" s="33" t="s">
        <v>2160</v>
      </c>
      <c r="G1340" s="33" t="s">
        <v>505</v>
      </c>
      <c r="H1340" s="33" t="n">
        <v>1</v>
      </c>
      <c r="I1340" s="33" t="n">
        <v>1</v>
      </c>
      <c r="J1340" s="33" t="n">
        <v>1</v>
      </c>
      <c r="K1340" s="32" t="n">
        <v>75</v>
      </c>
      <c r="L1340" s="33" t="str">
        <f aca="false">IF($B1340="","",IFERROR(INDEX('Code Mapping'!$D$5:$D$1753,MATCH($B1340,'Code Mapping'!$A$5:$A$1753,0)),"Unmapped"))</f>
        <v>Unmapped</v>
      </c>
      <c r="M1340" s="33" t="str">
        <f aca="false">IF($B1340="","",IFERROR(INDEX('Code Mapping'!$E$5:$E$1753,MATCH($B1340,'Code Mapping'!$A$5:$A$1753,0)),"Unmapped"))</f>
        <v>Unmapped</v>
      </c>
      <c r="N1340" s="33" t="str">
        <f aca="false">IF($F1340="","",$F1340)</f>
        <v>InflataCity</v>
      </c>
    </row>
    <row r="1341" customFormat="false" ht="15" hidden="false" customHeight="false" outlineLevel="0" collapsed="false">
      <c r="A1341" s="33" t="n">
        <v>1475</v>
      </c>
      <c r="B1341" s="33" t="s">
        <v>810</v>
      </c>
      <c r="C1341" s="33" t="s">
        <v>513</v>
      </c>
      <c r="D1341" s="33"/>
      <c r="E1341" s="33" t="n">
        <v>55</v>
      </c>
      <c r="F1341" s="33" t="s">
        <v>2160</v>
      </c>
      <c r="G1341" s="33" t="s">
        <v>505</v>
      </c>
      <c r="H1341" s="33" t="n">
        <v>1</v>
      </c>
      <c r="I1341" s="33" t="n">
        <v>1</v>
      </c>
      <c r="J1341" s="33" t="n">
        <v>1</v>
      </c>
      <c r="K1341" s="32" t="n">
        <v>300</v>
      </c>
      <c r="L1341" s="33" t="str">
        <f aca="false">IF($B1341="","",IFERROR(INDEX('Code Mapping'!$D$5:$D$1753,MATCH($B1341,'Code Mapping'!$A$5:$A$1753,0)),"Unmapped"))</f>
        <v>Unmapped</v>
      </c>
      <c r="M1341" s="33" t="str">
        <f aca="false">IF($B1341="","",IFERROR(INDEX('Code Mapping'!$E$5:$E$1753,MATCH($B1341,'Code Mapping'!$A$5:$A$1753,0)),"Unmapped"))</f>
        <v>Unmapped</v>
      </c>
      <c r="N1341" s="33" t="str">
        <f aca="false">IF($F1341="","",$F1341)</f>
        <v>InflataCity</v>
      </c>
    </row>
    <row r="1342" customFormat="false" ht="15" hidden="false" customHeight="false" outlineLevel="0" collapsed="false">
      <c r="A1342" s="33" t="n">
        <v>1744</v>
      </c>
      <c r="B1342" s="33" t="s">
        <v>809</v>
      </c>
      <c r="C1342" s="33" t="s">
        <v>511</v>
      </c>
      <c r="D1342" s="33"/>
      <c r="E1342" s="33" t="n">
        <v>55</v>
      </c>
      <c r="F1342" s="33" t="s">
        <v>2160</v>
      </c>
      <c r="G1342" s="33" t="s">
        <v>505</v>
      </c>
      <c r="H1342" s="33" t="n">
        <v>1</v>
      </c>
      <c r="I1342" s="33" t="n">
        <v>1</v>
      </c>
      <c r="J1342" s="33" t="n">
        <v>1</v>
      </c>
      <c r="K1342" s="32" t="n">
        <v>75</v>
      </c>
      <c r="L1342" s="33" t="str">
        <f aca="false">IF($B1342="","",IFERROR(INDEX('Code Mapping'!$D$5:$D$1753,MATCH($B1342,'Code Mapping'!$A$5:$A$1753,0)),"Unmapped"))</f>
        <v>Unmapped</v>
      </c>
      <c r="M1342" s="33" t="str">
        <f aca="false">IF($B1342="","",IFERROR(INDEX('Code Mapping'!$E$5:$E$1753,MATCH($B1342,'Code Mapping'!$A$5:$A$1753,0)),"Unmapped"))</f>
        <v>Unmapped</v>
      </c>
      <c r="N1342" s="33" t="str">
        <f aca="false">IF($F1342="","",$F1342)</f>
        <v>InflataCity</v>
      </c>
    </row>
    <row r="1343" customFormat="false" ht="15" hidden="false" customHeight="false" outlineLevel="0" collapsed="false">
      <c r="A1343" s="33" t="n">
        <v>2424</v>
      </c>
      <c r="B1343" s="33" t="s">
        <v>843</v>
      </c>
      <c r="C1343" s="33" t="s">
        <v>823</v>
      </c>
      <c r="D1343" s="33"/>
      <c r="E1343" s="33" t="n">
        <v>55</v>
      </c>
      <c r="F1343" s="33" t="s">
        <v>2160</v>
      </c>
      <c r="G1343" s="33" t="s">
        <v>505</v>
      </c>
      <c r="H1343" s="33" t="n">
        <v>1</v>
      </c>
      <c r="I1343" s="33" t="n">
        <v>1</v>
      </c>
      <c r="J1343" s="33" t="n">
        <v>1</v>
      </c>
      <c r="K1343" s="32" t="n">
        <v>300</v>
      </c>
      <c r="L1343" s="33" t="str">
        <f aca="false">IF($B1343="","",IFERROR(INDEX('Code Mapping'!$D$5:$D$1753,MATCH($B1343,'Code Mapping'!$A$5:$A$1753,0)),"Unmapped"))</f>
        <v>Unmapped</v>
      </c>
      <c r="M1343" s="33" t="str">
        <f aca="false">IF($B1343="","",IFERROR(INDEX('Code Mapping'!$E$5:$E$1753,MATCH($B1343,'Code Mapping'!$A$5:$A$1753,0)),"Unmapped"))</f>
        <v>Unmapped</v>
      </c>
      <c r="N1343" s="33" t="str">
        <f aca="false">IF($F1343="","",$F1343)</f>
        <v>InflataCity</v>
      </c>
    </row>
    <row r="1344" customFormat="false" ht="15" hidden="false" customHeight="false" outlineLevel="0" collapsed="false">
      <c r="A1344" s="33" t="n">
        <v>2811</v>
      </c>
      <c r="B1344" s="33" t="s">
        <v>846</v>
      </c>
      <c r="C1344" s="33" t="s">
        <v>825</v>
      </c>
      <c r="D1344" s="33"/>
      <c r="E1344" s="33" t="n">
        <v>55</v>
      </c>
      <c r="F1344" s="33" t="s">
        <v>2160</v>
      </c>
      <c r="G1344" s="33" t="s">
        <v>505</v>
      </c>
      <c r="H1344" s="33" t="n">
        <v>1</v>
      </c>
      <c r="I1344" s="33" t="n">
        <v>1</v>
      </c>
      <c r="J1344" s="33" t="n">
        <v>1</v>
      </c>
      <c r="K1344" s="32" t="n">
        <v>75</v>
      </c>
      <c r="L1344" s="33" t="str">
        <f aca="false">IF($B1344="","",IFERROR(INDEX('Code Mapping'!$D$5:$D$1753,MATCH($B1344,'Code Mapping'!$A$5:$A$1753,0)),"Unmapped"))</f>
        <v>Unmapped</v>
      </c>
      <c r="M1344" s="33" t="str">
        <f aca="false">IF($B1344="","",IFERROR(INDEX('Code Mapping'!$E$5:$E$1753,MATCH($B1344,'Code Mapping'!$A$5:$A$1753,0)),"Unmapped"))</f>
        <v>Unmapped</v>
      </c>
      <c r="N1344" s="33" t="str">
        <f aca="false">IF($F1344="","",$F1344)</f>
        <v>InflataCity</v>
      </c>
    </row>
    <row r="1345" customFormat="false" ht="15" hidden="false" customHeight="false" outlineLevel="0" collapsed="false">
      <c r="A1345" s="33" t="n">
        <v>2796</v>
      </c>
      <c r="B1345" s="33" t="s">
        <v>872</v>
      </c>
      <c r="C1345" s="33" t="s">
        <v>825</v>
      </c>
      <c r="D1345" s="33"/>
      <c r="E1345" s="33" t="n">
        <v>55</v>
      </c>
      <c r="F1345" s="33" t="s">
        <v>2160</v>
      </c>
      <c r="G1345" s="33" t="s">
        <v>505</v>
      </c>
      <c r="H1345" s="33" t="n">
        <v>1</v>
      </c>
      <c r="I1345" s="33" t="n">
        <v>1</v>
      </c>
      <c r="J1345" s="33" t="n">
        <v>1</v>
      </c>
      <c r="K1345" s="32" t="n">
        <v>75</v>
      </c>
      <c r="L1345" s="33" t="str">
        <f aca="false">IF($B1345="","",IFERROR(INDEX('Code Mapping'!$D$5:$D$1753,MATCH($B1345,'Code Mapping'!$A$5:$A$1753,0)),"Unmapped"))</f>
        <v>Unmapped</v>
      </c>
      <c r="M1345" s="33" t="str">
        <f aca="false">IF($B1345="","",IFERROR(INDEX('Code Mapping'!$E$5:$E$1753,MATCH($B1345,'Code Mapping'!$A$5:$A$1753,0)),"Unmapped"))</f>
        <v>Unmapped</v>
      </c>
      <c r="N1345" s="33" t="str">
        <f aca="false">IF($F1345="","",$F1345)</f>
        <v>InflataCity</v>
      </c>
    </row>
    <row r="1346" customFormat="false" ht="15" hidden="false" customHeight="false" outlineLevel="0" collapsed="false">
      <c r="A1346" s="33" t="n">
        <v>2680</v>
      </c>
      <c r="B1346" s="33" t="s">
        <v>858</v>
      </c>
      <c r="C1346" s="33" t="s">
        <v>825</v>
      </c>
      <c r="D1346" s="33"/>
      <c r="E1346" s="33" t="n">
        <v>55</v>
      </c>
      <c r="F1346" s="33" t="s">
        <v>2160</v>
      </c>
      <c r="G1346" s="33" t="s">
        <v>505</v>
      </c>
      <c r="H1346" s="33" t="n">
        <v>1</v>
      </c>
      <c r="I1346" s="33" t="n">
        <v>1</v>
      </c>
      <c r="J1346" s="33" t="n">
        <v>1</v>
      </c>
      <c r="K1346" s="32" t="n">
        <v>75</v>
      </c>
      <c r="L1346" s="33" t="str">
        <f aca="false">IF($B1346="","",IFERROR(INDEX('Code Mapping'!$D$5:$D$1753,MATCH($B1346,'Code Mapping'!$A$5:$A$1753,0)),"Unmapped"))</f>
        <v>Unmapped</v>
      </c>
      <c r="M1346" s="33" t="str">
        <f aca="false">IF($B1346="","",IFERROR(INDEX('Code Mapping'!$E$5:$E$1753,MATCH($B1346,'Code Mapping'!$A$5:$A$1753,0)),"Unmapped"))</f>
        <v>Unmapped</v>
      </c>
      <c r="N1346" s="33" t="str">
        <f aca="false">IF($F1346="","",$F1346)</f>
        <v>InflataCity</v>
      </c>
    </row>
    <row r="1347" customFormat="false" ht="15" hidden="false" customHeight="false" outlineLevel="0" collapsed="false">
      <c r="A1347" s="33" t="n">
        <v>2952</v>
      </c>
      <c r="B1347" s="33" t="s">
        <v>870</v>
      </c>
      <c r="C1347" s="33" t="s">
        <v>871</v>
      </c>
      <c r="D1347" s="33"/>
      <c r="E1347" s="33" t="n">
        <v>55</v>
      </c>
      <c r="F1347" s="33" t="s">
        <v>2160</v>
      </c>
      <c r="G1347" s="33" t="s">
        <v>505</v>
      </c>
      <c r="H1347" s="33" t="n">
        <v>3</v>
      </c>
      <c r="I1347" s="33" t="n">
        <v>7</v>
      </c>
      <c r="J1347" s="33" t="n">
        <v>7</v>
      </c>
      <c r="K1347" s="32" t="n">
        <v>195</v>
      </c>
      <c r="L1347" s="33" t="str">
        <f aca="false">IF($B1347="","",IFERROR(INDEX('Code Mapping'!$D$5:$D$1753,MATCH($B1347,'Code Mapping'!$A$5:$A$1753,0)),"Unmapped"))</f>
        <v>Al Jazeera Imtiyazat</v>
      </c>
      <c r="M1347" s="33" t="str">
        <f aca="false">IF($B1347="","",IFERROR(INDEX('Code Mapping'!$E$5:$E$1753,MATCH($B1347,'Code Mapping'!$A$5:$A$1753,0)),"Unmapped"))</f>
        <v>Corporate discount</v>
      </c>
      <c r="N1347" s="33" t="str">
        <f aca="false">IF($F1347="","",$F1347)</f>
        <v>InflataCity</v>
      </c>
    </row>
    <row r="1348" customFormat="false" ht="15" hidden="false" customHeight="false" outlineLevel="0" collapsed="false">
      <c r="A1348" s="33" t="n">
        <v>2779</v>
      </c>
      <c r="B1348" s="33" t="s">
        <v>867</v>
      </c>
      <c r="C1348" s="33" t="s">
        <v>825</v>
      </c>
      <c r="D1348" s="33"/>
      <c r="E1348" s="33" t="n">
        <v>55</v>
      </c>
      <c r="F1348" s="33" t="s">
        <v>2160</v>
      </c>
      <c r="G1348" s="33" t="s">
        <v>505</v>
      </c>
      <c r="H1348" s="33" t="n">
        <v>1</v>
      </c>
      <c r="I1348" s="33" t="n">
        <v>1</v>
      </c>
      <c r="J1348" s="33" t="n">
        <v>1</v>
      </c>
      <c r="K1348" s="32" t="n">
        <v>75</v>
      </c>
      <c r="L1348" s="33" t="str">
        <f aca="false">IF($B1348="","",IFERROR(INDEX('Code Mapping'!$D$5:$D$1753,MATCH($B1348,'Code Mapping'!$A$5:$A$1753,0)),"Unmapped"))</f>
        <v>Unmapped</v>
      </c>
      <c r="M1348" s="33" t="str">
        <f aca="false">IF($B1348="","",IFERROR(INDEX('Code Mapping'!$E$5:$E$1753,MATCH($B1348,'Code Mapping'!$A$5:$A$1753,0)),"Unmapped"))</f>
        <v>Unmapped</v>
      </c>
      <c r="N1348" s="33" t="str">
        <f aca="false">IF($F1348="","",$F1348)</f>
        <v>InflataCity</v>
      </c>
    </row>
    <row r="1349" customFormat="false" ht="15" hidden="false" customHeight="false" outlineLevel="0" collapsed="false">
      <c r="A1349" s="33" t="n">
        <v>2456</v>
      </c>
      <c r="B1349" s="33" t="s">
        <v>865</v>
      </c>
      <c r="C1349" s="33" t="s">
        <v>823</v>
      </c>
      <c r="D1349" s="33"/>
      <c r="E1349" s="33" t="n">
        <v>55</v>
      </c>
      <c r="F1349" s="33" t="s">
        <v>2160</v>
      </c>
      <c r="G1349" s="33" t="s">
        <v>505</v>
      </c>
      <c r="H1349" s="33" t="n">
        <v>1</v>
      </c>
      <c r="I1349" s="33" t="n">
        <v>1</v>
      </c>
      <c r="J1349" s="33" t="n">
        <v>1</v>
      </c>
      <c r="K1349" s="32" t="n">
        <v>300</v>
      </c>
      <c r="L1349" s="33" t="str">
        <f aca="false">IF($B1349="","",IFERROR(INDEX('Code Mapping'!$D$5:$D$1753,MATCH($B1349,'Code Mapping'!$A$5:$A$1753,0)),"Unmapped"))</f>
        <v>Unmapped</v>
      </c>
      <c r="M1349" s="33" t="str">
        <f aca="false">IF($B1349="","",IFERROR(INDEX('Code Mapping'!$E$5:$E$1753,MATCH($B1349,'Code Mapping'!$A$5:$A$1753,0)),"Unmapped"))</f>
        <v>Unmapped</v>
      </c>
      <c r="N1349" s="33" t="str">
        <f aca="false">IF($F1349="","",$F1349)</f>
        <v>InflataCity</v>
      </c>
    </row>
    <row r="1350" customFormat="false" ht="15" hidden="false" customHeight="false" outlineLevel="0" collapsed="false">
      <c r="A1350" s="33" t="n">
        <v>2656</v>
      </c>
      <c r="B1350" s="33" t="s">
        <v>863</v>
      </c>
      <c r="C1350" s="33" t="s">
        <v>825</v>
      </c>
      <c r="D1350" s="33"/>
      <c r="E1350" s="33" t="n">
        <v>55</v>
      </c>
      <c r="F1350" s="33" t="s">
        <v>2160</v>
      </c>
      <c r="G1350" s="33" t="s">
        <v>505</v>
      </c>
      <c r="H1350" s="33" t="n">
        <v>1</v>
      </c>
      <c r="I1350" s="33" t="n">
        <v>1</v>
      </c>
      <c r="J1350" s="33" t="n">
        <v>1</v>
      </c>
      <c r="K1350" s="32" t="n">
        <v>75</v>
      </c>
      <c r="L1350" s="33" t="str">
        <f aca="false">IF($B1350="","",IFERROR(INDEX('Code Mapping'!$D$5:$D$1753,MATCH($B1350,'Code Mapping'!$A$5:$A$1753,0)),"Unmapped"))</f>
        <v>Unmapped</v>
      </c>
      <c r="M1350" s="33" t="str">
        <f aca="false">IF($B1350="","",IFERROR(INDEX('Code Mapping'!$E$5:$E$1753,MATCH($B1350,'Code Mapping'!$A$5:$A$1753,0)),"Unmapped"))</f>
        <v>Unmapped</v>
      </c>
      <c r="N1350" s="33" t="str">
        <f aca="false">IF($F1350="","",$F1350)</f>
        <v>InflataCity</v>
      </c>
    </row>
    <row r="1351" customFormat="false" ht="15" hidden="false" customHeight="false" outlineLevel="0" collapsed="false">
      <c r="A1351" s="33" t="n">
        <v>2464</v>
      </c>
      <c r="B1351" s="33" t="s">
        <v>862</v>
      </c>
      <c r="C1351" s="33" t="s">
        <v>823</v>
      </c>
      <c r="D1351" s="33"/>
      <c r="E1351" s="33" t="n">
        <v>55</v>
      </c>
      <c r="F1351" s="33" t="s">
        <v>2160</v>
      </c>
      <c r="G1351" s="33" t="s">
        <v>505</v>
      </c>
      <c r="H1351" s="33" t="n">
        <v>1</v>
      </c>
      <c r="I1351" s="33" t="n">
        <v>1</v>
      </c>
      <c r="J1351" s="33" t="n">
        <v>1</v>
      </c>
      <c r="K1351" s="32" t="n">
        <v>300</v>
      </c>
      <c r="L1351" s="33" t="str">
        <f aca="false">IF($B1351="","",IFERROR(INDEX('Code Mapping'!$D$5:$D$1753,MATCH($B1351,'Code Mapping'!$A$5:$A$1753,0)),"Unmapped"))</f>
        <v>Unmapped</v>
      </c>
      <c r="M1351" s="33" t="str">
        <f aca="false">IF($B1351="","",IFERROR(INDEX('Code Mapping'!$E$5:$E$1753,MATCH($B1351,'Code Mapping'!$A$5:$A$1753,0)),"Unmapped"))</f>
        <v>Unmapped</v>
      </c>
      <c r="N1351" s="33" t="str">
        <f aca="false">IF($F1351="","",$F1351)</f>
        <v>InflataCity</v>
      </c>
    </row>
    <row r="1352" customFormat="false" ht="15" hidden="false" customHeight="false" outlineLevel="0" collapsed="false">
      <c r="A1352" s="33" t="n">
        <v>2801</v>
      </c>
      <c r="B1352" s="33" t="s">
        <v>861</v>
      </c>
      <c r="C1352" s="33" t="s">
        <v>825</v>
      </c>
      <c r="D1352" s="33"/>
      <c r="E1352" s="33" t="n">
        <v>55</v>
      </c>
      <c r="F1352" s="33" t="s">
        <v>2160</v>
      </c>
      <c r="G1352" s="33" t="s">
        <v>505</v>
      </c>
      <c r="H1352" s="33" t="n">
        <v>1</v>
      </c>
      <c r="I1352" s="33" t="n">
        <v>1</v>
      </c>
      <c r="J1352" s="33" t="n">
        <v>1</v>
      </c>
      <c r="K1352" s="32" t="n">
        <v>75</v>
      </c>
      <c r="L1352" s="33" t="str">
        <f aca="false">IF($B1352="","",IFERROR(INDEX('Code Mapping'!$D$5:$D$1753,MATCH($B1352,'Code Mapping'!$A$5:$A$1753,0)),"Unmapped"))</f>
        <v>Unmapped</v>
      </c>
      <c r="M1352" s="33" t="str">
        <f aca="false">IF($B1352="","",IFERROR(INDEX('Code Mapping'!$E$5:$E$1753,MATCH($B1352,'Code Mapping'!$A$5:$A$1753,0)),"Unmapped"))</f>
        <v>Unmapped</v>
      </c>
      <c r="N1352" s="33" t="str">
        <f aca="false">IF($F1352="","",$F1352)</f>
        <v>InflataCity</v>
      </c>
    </row>
    <row r="1353" customFormat="false" ht="15" hidden="false" customHeight="false" outlineLevel="0" collapsed="false">
      <c r="A1353" s="33" t="n">
        <v>2754</v>
      </c>
      <c r="B1353" s="33" t="s">
        <v>860</v>
      </c>
      <c r="C1353" s="33" t="s">
        <v>825</v>
      </c>
      <c r="D1353" s="33"/>
      <c r="E1353" s="33" t="n">
        <v>55</v>
      </c>
      <c r="F1353" s="33" t="s">
        <v>2160</v>
      </c>
      <c r="G1353" s="33" t="s">
        <v>505</v>
      </c>
      <c r="H1353" s="33" t="n">
        <v>1</v>
      </c>
      <c r="I1353" s="33" t="n">
        <v>1</v>
      </c>
      <c r="J1353" s="33" t="n">
        <v>1</v>
      </c>
      <c r="K1353" s="32" t="n">
        <v>75</v>
      </c>
      <c r="L1353" s="33" t="str">
        <f aca="false">IF($B1353="","",IFERROR(INDEX('Code Mapping'!$D$5:$D$1753,MATCH($B1353,'Code Mapping'!$A$5:$A$1753,0)),"Unmapped"))</f>
        <v>Unmapped</v>
      </c>
      <c r="M1353" s="33" t="str">
        <f aca="false">IF($B1353="","",IFERROR(INDEX('Code Mapping'!$E$5:$E$1753,MATCH($B1353,'Code Mapping'!$A$5:$A$1753,0)),"Unmapped"))</f>
        <v>Unmapped</v>
      </c>
      <c r="N1353" s="33" t="str">
        <f aca="false">IF($F1353="","",$F1353)</f>
        <v>InflataCity</v>
      </c>
    </row>
    <row r="1354" customFormat="false" ht="15" hidden="false" customHeight="false" outlineLevel="0" collapsed="false">
      <c r="A1354" s="33" t="n">
        <v>2264</v>
      </c>
      <c r="B1354" s="33" t="s">
        <v>859</v>
      </c>
      <c r="C1354" s="33" t="s">
        <v>827</v>
      </c>
      <c r="D1354" s="33"/>
      <c r="E1354" s="33" t="n">
        <v>55</v>
      </c>
      <c r="F1354" s="33" t="s">
        <v>2160</v>
      </c>
      <c r="G1354" s="33" t="s">
        <v>505</v>
      </c>
      <c r="H1354" s="33" t="n">
        <v>1</v>
      </c>
      <c r="I1354" s="33" t="n">
        <v>1</v>
      </c>
      <c r="J1354" s="33" t="n">
        <v>1</v>
      </c>
      <c r="K1354" s="32" t="n">
        <v>75</v>
      </c>
      <c r="L1354" s="33" t="str">
        <f aca="false">IF($B1354="","",IFERROR(INDEX('Code Mapping'!$D$5:$D$1753,MATCH($B1354,'Code Mapping'!$A$5:$A$1753,0)),"Unmapped"))</f>
        <v>Unmapped</v>
      </c>
      <c r="M1354" s="33" t="str">
        <f aca="false">IF($B1354="","",IFERROR(INDEX('Code Mapping'!$E$5:$E$1753,MATCH($B1354,'Code Mapping'!$A$5:$A$1753,0)),"Unmapped"))</f>
        <v>Unmapped</v>
      </c>
      <c r="N1354" s="33" t="str">
        <f aca="false">IF($F1354="","",$F1354)</f>
        <v>InflataCity</v>
      </c>
    </row>
    <row r="1355" customFormat="false" ht="15" hidden="false" customHeight="false" outlineLevel="0" collapsed="false">
      <c r="A1355" s="33" t="n">
        <v>2457</v>
      </c>
      <c r="B1355" s="33" t="s">
        <v>856</v>
      </c>
      <c r="C1355" s="33" t="s">
        <v>823</v>
      </c>
      <c r="D1355" s="33"/>
      <c r="E1355" s="33" t="n">
        <v>55</v>
      </c>
      <c r="F1355" s="33" t="s">
        <v>2160</v>
      </c>
      <c r="G1355" s="33" t="s">
        <v>505</v>
      </c>
      <c r="H1355" s="33" t="n">
        <v>1</v>
      </c>
      <c r="I1355" s="33" t="n">
        <v>1</v>
      </c>
      <c r="J1355" s="33" t="n">
        <v>1</v>
      </c>
      <c r="K1355" s="32" t="n">
        <v>300</v>
      </c>
      <c r="L1355" s="33" t="str">
        <f aca="false">IF($B1355="","",IFERROR(INDEX('Code Mapping'!$D$5:$D$1753,MATCH($B1355,'Code Mapping'!$A$5:$A$1753,0)),"Unmapped"))</f>
        <v>Unmapped</v>
      </c>
      <c r="M1355" s="33" t="str">
        <f aca="false">IF($B1355="","",IFERROR(INDEX('Code Mapping'!$E$5:$E$1753,MATCH($B1355,'Code Mapping'!$A$5:$A$1753,0)),"Unmapped"))</f>
        <v>Unmapped</v>
      </c>
      <c r="N1355" s="33" t="str">
        <f aca="false">IF($F1355="","",$F1355)</f>
        <v>InflataCity</v>
      </c>
    </row>
    <row r="1356" customFormat="false" ht="15" hidden="false" customHeight="false" outlineLevel="0" collapsed="false">
      <c r="A1356" s="33" t="n">
        <v>2685</v>
      </c>
      <c r="B1356" s="33" t="s">
        <v>847</v>
      </c>
      <c r="C1356" s="33" t="s">
        <v>825</v>
      </c>
      <c r="D1356" s="33"/>
      <c r="E1356" s="33" t="n">
        <v>55</v>
      </c>
      <c r="F1356" s="33" t="s">
        <v>2160</v>
      </c>
      <c r="G1356" s="33" t="s">
        <v>505</v>
      </c>
      <c r="H1356" s="33" t="n">
        <v>1</v>
      </c>
      <c r="I1356" s="33" t="n">
        <v>1</v>
      </c>
      <c r="J1356" s="33" t="n">
        <v>1</v>
      </c>
      <c r="K1356" s="32" t="n">
        <v>75</v>
      </c>
      <c r="L1356" s="33" t="str">
        <f aca="false">IF($B1356="","",IFERROR(INDEX('Code Mapping'!$D$5:$D$1753,MATCH($B1356,'Code Mapping'!$A$5:$A$1753,0)),"Unmapped"))</f>
        <v>Unmapped</v>
      </c>
      <c r="M1356" s="33" t="str">
        <f aca="false">IF($B1356="","",IFERROR(INDEX('Code Mapping'!$E$5:$E$1753,MATCH($B1356,'Code Mapping'!$A$5:$A$1753,0)),"Unmapped"))</f>
        <v>Unmapped</v>
      </c>
      <c r="N1356" s="33" t="str">
        <f aca="false">IF($F1356="","",$F1356)</f>
        <v>InflataCity</v>
      </c>
    </row>
    <row r="1357" customFormat="false" ht="15" hidden="false" customHeight="false" outlineLevel="0" collapsed="false">
      <c r="A1357" s="33" t="n">
        <v>2261</v>
      </c>
      <c r="B1357" s="33" t="s">
        <v>855</v>
      </c>
      <c r="C1357" s="33" t="s">
        <v>827</v>
      </c>
      <c r="D1357" s="33"/>
      <c r="E1357" s="33" t="n">
        <v>55</v>
      </c>
      <c r="F1357" s="33" t="s">
        <v>2160</v>
      </c>
      <c r="G1357" s="33" t="s">
        <v>505</v>
      </c>
      <c r="H1357" s="33" t="n">
        <v>1</v>
      </c>
      <c r="I1357" s="33" t="n">
        <v>1</v>
      </c>
      <c r="J1357" s="33" t="n">
        <v>1</v>
      </c>
      <c r="K1357" s="32" t="n">
        <v>75</v>
      </c>
      <c r="L1357" s="33" t="str">
        <f aca="false">IF($B1357="","",IFERROR(INDEX('Code Mapping'!$D$5:$D$1753,MATCH($B1357,'Code Mapping'!$A$5:$A$1753,0)),"Unmapped"))</f>
        <v>Unmapped</v>
      </c>
      <c r="M1357" s="33" t="str">
        <f aca="false">IF($B1357="","",IFERROR(INDEX('Code Mapping'!$E$5:$E$1753,MATCH($B1357,'Code Mapping'!$A$5:$A$1753,0)),"Unmapped"))</f>
        <v>Unmapped</v>
      </c>
      <c r="N1357" s="33" t="str">
        <f aca="false">IF($F1357="","",$F1357)</f>
        <v>InflataCity</v>
      </c>
    </row>
    <row r="1358" customFormat="false" ht="15" hidden="false" customHeight="false" outlineLevel="0" collapsed="false">
      <c r="A1358" s="33" t="n">
        <v>2652</v>
      </c>
      <c r="B1358" s="33" t="s">
        <v>854</v>
      </c>
      <c r="C1358" s="33" t="s">
        <v>825</v>
      </c>
      <c r="D1358" s="33"/>
      <c r="E1358" s="33" t="n">
        <v>55</v>
      </c>
      <c r="F1358" s="33" t="s">
        <v>2160</v>
      </c>
      <c r="G1358" s="33" t="s">
        <v>505</v>
      </c>
      <c r="H1358" s="33" t="n">
        <v>1</v>
      </c>
      <c r="I1358" s="33" t="n">
        <v>1</v>
      </c>
      <c r="J1358" s="33" t="n">
        <v>1</v>
      </c>
      <c r="K1358" s="32" t="n">
        <v>75</v>
      </c>
      <c r="L1358" s="33" t="str">
        <f aca="false">IF($B1358="","",IFERROR(INDEX('Code Mapping'!$D$5:$D$1753,MATCH($B1358,'Code Mapping'!$A$5:$A$1753,0)),"Unmapped"))</f>
        <v>Unmapped</v>
      </c>
      <c r="M1358" s="33" t="str">
        <f aca="false">IF($B1358="","",IFERROR(INDEX('Code Mapping'!$E$5:$E$1753,MATCH($B1358,'Code Mapping'!$A$5:$A$1753,0)),"Unmapped"))</f>
        <v>Unmapped</v>
      </c>
      <c r="N1358" s="33" t="str">
        <f aca="false">IF($F1358="","",$F1358)</f>
        <v>InflataCity</v>
      </c>
    </row>
    <row r="1359" customFormat="false" ht="15" hidden="false" customHeight="false" outlineLevel="0" collapsed="false">
      <c r="A1359" s="33" t="n">
        <v>2698</v>
      </c>
      <c r="B1359" s="33" t="s">
        <v>853</v>
      </c>
      <c r="C1359" s="33" t="s">
        <v>825</v>
      </c>
      <c r="D1359" s="33"/>
      <c r="E1359" s="33" t="n">
        <v>55</v>
      </c>
      <c r="F1359" s="33" t="s">
        <v>2160</v>
      </c>
      <c r="G1359" s="33" t="s">
        <v>505</v>
      </c>
      <c r="H1359" s="33" t="n">
        <v>1</v>
      </c>
      <c r="I1359" s="33" t="n">
        <v>1</v>
      </c>
      <c r="J1359" s="33" t="n">
        <v>1</v>
      </c>
      <c r="K1359" s="32" t="n">
        <v>75</v>
      </c>
      <c r="L1359" s="33" t="str">
        <f aca="false">IF($B1359="","",IFERROR(INDEX('Code Mapping'!$D$5:$D$1753,MATCH($B1359,'Code Mapping'!$A$5:$A$1753,0)),"Unmapped"))</f>
        <v>Unmapped</v>
      </c>
      <c r="M1359" s="33" t="str">
        <f aca="false">IF($B1359="","",IFERROR(INDEX('Code Mapping'!$E$5:$E$1753,MATCH($B1359,'Code Mapping'!$A$5:$A$1753,0)),"Unmapped"))</f>
        <v>Unmapped</v>
      </c>
      <c r="N1359" s="33" t="str">
        <f aca="false">IF($F1359="","",$F1359)</f>
        <v>InflataCity</v>
      </c>
    </row>
    <row r="1360" customFormat="false" ht="15" hidden="false" customHeight="false" outlineLevel="0" collapsed="false">
      <c r="A1360" s="33" t="n">
        <v>2446</v>
      </c>
      <c r="B1360" s="33" t="s">
        <v>852</v>
      </c>
      <c r="C1360" s="33" t="s">
        <v>823</v>
      </c>
      <c r="D1360" s="33"/>
      <c r="E1360" s="33" t="n">
        <v>55</v>
      </c>
      <c r="F1360" s="33" t="s">
        <v>2160</v>
      </c>
      <c r="G1360" s="33" t="s">
        <v>505</v>
      </c>
      <c r="H1360" s="33" t="n">
        <v>1</v>
      </c>
      <c r="I1360" s="33" t="n">
        <v>1</v>
      </c>
      <c r="J1360" s="33" t="n">
        <v>1</v>
      </c>
      <c r="K1360" s="32" t="n">
        <v>300</v>
      </c>
      <c r="L1360" s="33" t="str">
        <f aca="false">IF($B1360="","",IFERROR(INDEX('Code Mapping'!$D$5:$D$1753,MATCH($B1360,'Code Mapping'!$A$5:$A$1753,0)),"Unmapped"))</f>
        <v>Unmapped</v>
      </c>
      <c r="M1360" s="33" t="str">
        <f aca="false">IF($B1360="","",IFERROR(INDEX('Code Mapping'!$E$5:$E$1753,MATCH($B1360,'Code Mapping'!$A$5:$A$1753,0)),"Unmapped"))</f>
        <v>Unmapped</v>
      </c>
      <c r="N1360" s="33" t="str">
        <f aca="false">IF($F1360="","",$F1360)</f>
        <v>InflataCity</v>
      </c>
    </row>
    <row r="1361" customFormat="false" ht="15" hidden="false" customHeight="false" outlineLevel="0" collapsed="false">
      <c r="A1361" s="33" t="n">
        <v>2808</v>
      </c>
      <c r="B1361" s="33" t="s">
        <v>851</v>
      </c>
      <c r="C1361" s="33" t="s">
        <v>825</v>
      </c>
      <c r="D1361" s="33"/>
      <c r="E1361" s="33" t="n">
        <v>55</v>
      </c>
      <c r="F1361" s="33" t="s">
        <v>2160</v>
      </c>
      <c r="G1361" s="33" t="s">
        <v>505</v>
      </c>
      <c r="H1361" s="33" t="n">
        <v>1</v>
      </c>
      <c r="I1361" s="33" t="n">
        <v>1</v>
      </c>
      <c r="J1361" s="33" t="n">
        <v>1</v>
      </c>
      <c r="K1361" s="32" t="n">
        <v>75</v>
      </c>
      <c r="L1361" s="33" t="str">
        <f aca="false">IF($B1361="","",IFERROR(INDEX('Code Mapping'!$D$5:$D$1753,MATCH($B1361,'Code Mapping'!$A$5:$A$1753,0)),"Unmapped"))</f>
        <v>Unmapped</v>
      </c>
      <c r="M1361" s="33" t="str">
        <f aca="false">IF($B1361="","",IFERROR(INDEX('Code Mapping'!$E$5:$E$1753,MATCH($B1361,'Code Mapping'!$A$5:$A$1753,0)),"Unmapped"))</f>
        <v>Unmapped</v>
      </c>
      <c r="N1361" s="33" t="str">
        <f aca="false">IF($F1361="","",$F1361)</f>
        <v>InflataCity</v>
      </c>
    </row>
    <row r="1362" customFormat="false" ht="15" hidden="false" customHeight="false" outlineLevel="0" collapsed="false">
      <c r="A1362" s="33" t="n">
        <v>2304</v>
      </c>
      <c r="B1362" s="33" t="s">
        <v>850</v>
      </c>
      <c r="C1362" s="33" t="s">
        <v>827</v>
      </c>
      <c r="D1362" s="33"/>
      <c r="E1362" s="33" t="n">
        <v>55</v>
      </c>
      <c r="F1362" s="33" t="s">
        <v>2160</v>
      </c>
      <c r="G1362" s="33" t="s">
        <v>505</v>
      </c>
      <c r="H1362" s="33" t="n">
        <v>1</v>
      </c>
      <c r="I1362" s="33" t="n">
        <v>1</v>
      </c>
      <c r="J1362" s="33" t="n">
        <v>1</v>
      </c>
      <c r="K1362" s="32" t="n">
        <v>75</v>
      </c>
      <c r="L1362" s="33" t="str">
        <f aca="false">IF($B1362="","",IFERROR(INDEX('Code Mapping'!$D$5:$D$1753,MATCH($B1362,'Code Mapping'!$A$5:$A$1753,0)),"Unmapped"))</f>
        <v>Unmapped</v>
      </c>
      <c r="M1362" s="33" t="str">
        <f aca="false">IF($B1362="","",IFERROR(INDEX('Code Mapping'!$E$5:$E$1753,MATCH($B1362,'Code Mapping'!$A$5:$A$1753,0)),"Unmapped"))</f>
        <v>Unmapped</v>
      </c>
      <c r="N1362" s="33" t="str">
        <f aca="false">IF($F1362="","",$F1362)</f>
        <v>InflataCity</v>
      </c>
    </row>
    <row r="1363" customFormat="false" ht="15" hidden="false" customHeight="false" outlineLevel="0" collapsed="false">
      <c r="A1363" s="33" t="n">
        <v>2272</v>
      </c>
      <c r="B1363" s="33" t="s">
        <v>920</v>
      </c>
      <c r="C1363" s="33" t="s">
        <v>827</v>
      </c>
      <c r="D1363" s="33"/>
      <c r="E1363" s="33" t="n">
        <v>55</v>
      </c>
      <c r="F1363" s="33" t="s">
        <v>2160</v>
      </c>
      <c r="G1363" s="33" t="s">
        <v>505</v>
      </c>
      <c r="H1363" s="33" t="n">
        <v>1</v>
      </c>
      <c r="I1363" s="33" t="n">
        <v>1</v>
      </c>
      <c r="J1363" s="33" t="n">
        <v>1</v>
      </c>
      <c r="K1363" s="32" t="n">
        <v>75</v>
      </c>
      <c r="L1363" s="33" t="str">
        <f aca="false">IF($B1363="","",IFERROR(INDEX('Code Mapping'!$D$5:$D$1753,MATCH($B1363,'Code Mapping'!$A$5:$A$1753,0)),"Unmapped"))</f>
        <v>Unmapped</v>
      </c>
      <c r="M1363" s="33" t="str">
        <f aca="false">IF($B1363="","",IFERROR(INDEX('Code Mapping'!$E$5:$E$1753,MATCH($B1363,'Code Mapping'!$A$5:$A$1753,0)),"Unmapped"))</f>
        <v>Unmapped</v>
      </c>
      <c r="N1363" s="33" t="str">
        <f aca="false">IF($F1363="","",$F1363)</f>
        <v>InflataCity</v>
      </c>
    </row>
    <row r="1364" customFormat="false" ht="15" hidden="false" customHeight="false" outlineLevel="0" collapsed="false">
      <c r="A1364" s="33" t="n">
        <v>2378</v>
      </c>
      <c r="B1364" s="33" t="s">
        <v>848</v>
      </c>
      <c r="C1364" s="33" t="s">
        <v>823</v>
      </c>
      <c r="D1364" s="33"/>
      <c r="E1364" s="33" t="n">
        <v>55</v>
      </c>
      <c r="F1364" s="33" t="s">
        <v>2160</v>
      </c>
      <c r="G1364" s="33" t="s">
        <v>505</v>
      </c>
      <c r="H1364" s="33" t="n">
        <v>1</v>
      </c>
      <c r="I1364" s="33" t="n">
        <v>1</v>
      </c>
      <c r="J1364" s="33" t="n">
        <v>1</v>
      </c>
      <c r="K1364" s="32" t="n">
        <v>300</v>
      </c>
      <c r="L1364" s="33" t="str">
        <f aca="false">IF($B1364="","",IFERROR(INDEX('Code Mapping'!$D$5:$D$1753,MATCH($B1364,'Code Mapping'!$A$5:$A$1753,0)),"Unmapped"))</f>
        <v>Unmapped</v>
      </c>
      <c r="M1364" s="33" t="str">
        <f aca="false">IF($B1364="","",IFERROR(INDEX('Code Mapping'!$E$5:$E$1753,MATCH($B1364,'Code Mapping'!$A$5:$A$1753,0)),"Unmapped"))</f>
        <v>Unmapped</v>
      </c>
      <c r="N1364" s="33" t="str">
        <f aca="false">IF($F1364="","",$F1364)</f>
        <v>InflataCity</v>
      </c>
    </row>
    <row r="1365" customFormat="false" ht="15" hidden="false" customHeight="false" outlineLevel="0" collapsed="false">
      <c r="A1365" s="33" t="n">
        <v>2675</v>
      </c>
      <c r="B1365" s="33" t="s">
        <v>919</v>
      </c>
      <c r="C1365" s="33" t="s">
        <v>825</v>
      </c>
      <c r="D1365" s="33"/>
      <c r="E1365" s="33" t="n">
        <v>55</v>
      </c>
      <c r="F1365" s="33" t="s">
        <v>2160</v>
      </c>
      <c r="G1365" s="33" t="s">
        <v>505</v>
      </c>
      <c r="H1365" s="33" t="n">
        <v>1</v>
      </c>
      <c r="I1365" s="33" t="n">
        <v>1</v>
      </c>
      <c r="J1365" s="33" t="n">
        <v>1</v>
      </c>
      <c r="K1365" s="32" t="n">
        <v>75</v>
      </c>
      <c r="L1365" s="33" t="str">
        <f aca="false">IF($B1365="","",IFERROR(INDEX('Code Mapping'!$D$5:$D$1753,MATCH($B1365,'Code Mapping'!$A$5:$A$1753,0)),"Unmapped"))</f>
        <v>Unmapped</v>
      </c>
      <c r="M1365" s="33" t="str">
        <f aca="false">IF($B1365="","",IFERROR(INDEX('Code Mapping'!$E$5:$E$1753,MATCH($B1365,'Code Mapping'!$A$5:$A$1753,0)),"Unmapped"))</f>
        <v>Unmapped</v>
      </c>
      <c r="N1365" s="33" t="str">
        <f aca="false">IF($F1365="","",$F1365)</f>
        <v>InflataCity</v>
      </c>
    </row>
    <row r="1366" customFormat="false" ht="15" hidden="false" customHeight="false" outlineLevel="0" collapsed="false">
      <c r="A1366" s="33" t="n">
        <v>2783</v>
      </c>
      <c r="B1366" s="33" t="s">
        <v>948</v>
      </c>
      <c r="C1366" s="33" t="s">
        <v>825</v>
      </c>
      <c r="D1366" s="33"/>
      <c r="E1366" s="33" t="n">
        <v>55</v>
      </c>
      <c r="F1366" s="33" t="s">
        <v>2160</v>
      </c>
      <c r="G1366" s="33" t="s">
        <v>505</v>
      </c>
      <c r="H1366" s="33" t="n">
        <v>1</v>
      </c>
      <c r="I1366" s="33" t="n">
        <v>1</v>
      </c>
      <c r="J1366" s="33" t="n">
        <v>1</v>
      </c>
      <c r="K1366" s="32" t="n">
        <v>75</v>
      </c>
      <c r="L1366" s="33" t="str">
        <f aca="false">IF($B1366="","",IFERROR(INDEX('Code Mapping'!$D$5:$D$1753,MATCH($B1366,'Code Mapping'!$A$5:$A$1753,0)),"Unmapped"))</f>
        <v>Unmapped</v>
      </c>
      <c r="M1366" s="33" t="str">
        <f aca="false">IF($B1366="","",IFERROR(INDEX('Code Mapping'!$E$5:$E$1753,MATCH($B1366,'Code Mapping'!$A$5:$A$1753,0)),"Unmapped"))</f>
        <v>Unmapped</v>
      </c>
      <c r="N1366" s="33" t="str">
        <f aca="false">IF($F1366="","",$F1366)</f>
        <v>InflataCity</v>
      </c>
    </row>
    <row r="1367" customFormat="false" ht="15" hidden="false" customHeight="false" outlineLevel="0" collapsed="false">
      <c r="A1367" s="33" t="n">
        <v>2433</v>
      </c>
      <c r="B1367" s="33" t="s">
        <v>921</v>
      </c>
      <c r="C1367" s="33" t="s">
        <v>823</v>
      </c>
      <c r="D1367" s="33"/>
      <c r="E1367" s="33" t="n">
        <v>55</v>
      </c>
      <c r="F1367" s="33" t="s">
        <v>2160</v>
      </c>
      <c r="G1367" s="33" t="s">
        <v>505</v>
      </c>
      <c r="H1367" s="33" t="n">
        <v>1</v>
      </c>
      <c r="I1367" s="33" t="n">
        <v>1</v>
      </c>
      <c r="J1367" s="33" t="n">
        <v>1</v>
      </c>
      <c r="K1367" s="32" t="n">
        <v>300</v>
      </c>
      <c r="L1367" s="33" t="str">
        <f aca="false">IF($B1367="","",IFERROR(INDEX('Code Mapping'!$D$5:$D$1753,MATCH($B1367,'Code Mapping'!$A$5:$A$1753,0)),"Unmapped"))</f>
        <v>Unmapped</v>
      </c>
      <c r="M1367" s="33" t="str">
        <f aca="false">IF($B1367="","",IFERROR(INDEX('Code Mapping'!$E$5:$E$1753,MATCH($B1367,'Code Mapping'!$A$5:$A$1753,0)),"Unmapped"))</f>
        <v>Unmapped</v>
      </c>
      <c r="N1367" s="33" t="str">
        <f aca="false">IF($F1367="","",$F1367)</f>
        <v>InflataCity</v>
      </c>
    </row>
    <row r="1368" customFormat="false" ht="15" hidden="false" customHeight="false" outlineLevel="0" collapsed="false">
      <c r="A1368" s="33" t="n">
        <v>2751</v>
      </c>
      <c r="B1368" s="33" t="s">
        <v>995</v>
      </c>
      <c r="C1368" s="33" t="s">
        <v>825</v>
      </c>
      <c r="D1368" s="33"/>
      <c r="E1368" s="33" t="n">
        <v>55</v>
      </c>
      <c r="F1368" s="33" t="s">
        <v>2160</v>
      </c>
      <c r="G1368" s="33" t="s">
        <v>505</v>
      </c>
      <c r="H1368" s="33" t="n">
        <v>1</v>
      </c>
      <c r="I1368" s="33" t="n">
        <v>1</v>
      </c>
      <c r="J1368" s="33" t="n">
        <v>1</v>
      </c>
      <c r="K1368" s="32" t="n">
        <v>75</v>
      </c>
      <c r="L1368" s="33" t="str">
        <f aca="false">IF($B1368="","",IFERROR(INDEX('Code Mapping'!$D$5:$D$1753,MATCH($B1368,'Code Mapping'!$A$5:$A$1753,0)),"Unmapped"))</f>
        <v>Unmapped</v>
      </c>
      <c r="M1368" s="33" t="str">
        <f aca="false">IF($B1368="","",IFERROR(INDEX('Code Mapping'!$E$5:$E$1753,MATCH($B1368,'Code Mapping'!$A$5:$A$1753,0)),"Unmapped"))</f>
        <v>Unmapped</v>
      </c>
      <c r="N1368" s="33" t="str">
        <f aca="false">IF($F1368="","",$F1368)</f>
        <v>InflataCity</v>
      </c>
    </row>
    <row r="1369" customFormat="false" ht="15" hidden="false" customHeight="false" outlineLevel="0" collapsed="false">
      <c r="A1369" s="33" t="n">
        <v>2392</v>
      </c>
      <c r="B1369" s="33" t="s">
        <v>1004</v>
      </c>
      <c r="C1369" s="33" t="s">
        <v>823</v>
      </c>
      <c r="D1369" s="33"/>
      <c r="E1369" s="33" t="n">
        <v>55</v>
      </c>
      <c r="F1369" s="33" t="s">
        <v>2160</v>
      </c>
      <c r="G1369" s="33" t="s">
        <v>505</v>
      </c>
      <c r="H1369" s="33" t="n">
        <v>1</v>
      </c>
      <c r="I1369" s="33" t="n">
        <v>1</v>
      </c>
      <c r="J1369" s="33" t="n">
        <v>1</v>
      </c>
      <c r="K1369" s="32" t="n">
        <v>300</v>
      </c>
      <c r="L1369" s="33" t="str">
        <f aca="false">IF($B1369="","",IFERROR(INDEX('Code Mapping'!$D$5:$D$1753,MATCH($B1369,'Code Mapping'!$A$5:$A$1753,0)),"Unmapped"))</f>
        <v>Unmapped</v>
      </c>
      <c r="M1369" s="33" t="str">
        <f aca="false">IF($B1369="","",IFERROR(INDEX('Code Mapping'!$E$5:$E$1753,MATCH($B1369,'Code Mapping'!$A$5:$A$1753,0)),"Unmapped"))</f>
        <v>Unmapped</v>
      </c>
      <c r="N1369" s="33" t="str">
        <f aca="false">IF($F1369="","",$F1369)</f>
        <v>InflataCity</v>
      </c>
    </row>
    <row r="1370" customFormat="false" ht="15" hidden="false" customHeight="false" outlineLevel="0" collapsed="false">
      <c r="A1370" s="33" t="n">
        <v>2398</v>
      </c>
      <c r="B1370" s="33" t="s">
        <v>1003</v>
      </c>
      <c r="C1370" s="33" t="s">
        <v>823</v>
      </c>
      <c r="D1370" s="33"/>
      <c r="E1370" s="33" t="n">
        <v>55</v>
      </c>
      <c r="F1370" s="33" t="s">
        <v>2160</v>
      </c>
      <c r="G1370" s="33" t="s">
        <v>505</v>
      </c>
      <c r="H1370" s="33" t="n">
        <v>1</v>
      </c>
      <c r="I1370" s="33" t="n">
        <v>1</v>
      </c>
      <c r="J1370" s="33" t="n">
        <v>1</v>
      </c>
      <c r="K1370" s="32" t="n">
        <v>300</v>
      </c>
      <c r="L1370" s="33" t="str">
        <f aca="false">IF($B1370="","",IFERROR(INDEX('Code Mapping'!$D$5:$D$1753,MATCH($B1370,'Code Mapping'!$A$5:$A$1753,0)),"Unmapped"))</f>
        <v>Unmapped</v>
      </c>
      <c r="M1370" s="33" t="str">
        <f aca="false">IF($B1370="","",IFERROR(INDEX('Code Mapping'!$E$5:$E$1753,MATCH($B1370,'Code Mapping'!$A$5:$A$1753,0)),"Unmapped"))</f>
        <v>Unmapped</v>
      </c>
      <c r="N1370" s="33" t="str">
        <f aca="false">IF($F1370="","",$F1370)</f>
        <v>InflataCity</v>
      </c>
    </row>
    <row r="1371" customFormat="false" ht="15" hidden="false" customHeight="false" outlineLevel="0" collapsed="false">
      <c r="A1371" s="33" t="n">
        <v>2670</v>
      </c>
      <c r="B1371" s="33" t="s">
        <v>1002</v>
      </c>
      <c r="C1371" s="33" t="s">
        <v>825</v>
      </c>
      <c r="D1371" s="33"/>
      <c r="E1371" s="33" t="n">
        <v>55</v>
      </c>
      <c r="F1371" s="33" t="s">
        <v>2160</v>
      </c>
      <c r="G1371" s="33" t="s">
        <v>505</v>
      </c>
      <c r="H1371" s="33" t="n">
        <v>1</v>
      </c>
      <c r="I1371" s="33" t="n">
        <v>1</v>
      </c>
      <c r="J1371" s="33" t="n">
        <v>1</v>
      </c>
      <c r="K1371" s="32" t="n">
        <v>75</v>
      </c>
      <c r="L1371" s="33" t="str">
        <f aca="false">IF($B1371="","",IFERROR(INDEX('Code Mapping'!$D$5:$D$1753,MATCH($B1371,'Code Mapping'!$A$5:$A$1753,0)),"Unmapped"))</f>
        <v>Unmapped</v>
      </c>
      <c r="M1371" s="33" t="str">
        <f aca="false">IF($B1371="","",IFERROR(INDEX('Code Mapping'!$E$5:$E$1753,MATCH($B1371,'Code Mapping'!$A$5:$A$1753,0)),"Unmapped"))</f>
        <v>Unmapped</v>
      </c>
      <c r="N1371" s="33" t="str">
        <f aca="false">IF($F1371="","",$F1371)</f>
        <v>InflataCity</v>
      </c>
    </row>
    <row r="1372" customFormat="false" ht="15" hidden="false" customHeight="false" outlineLevel="0" collapsed="false">
      <c r="A1372" s="33" t="n">
        <v>2430</v>
      </c>
      <c r="B1372" s="33" t="s">
        <v>1001</v>
      </c>
      <c r="C1372" s="33" t="s">
        <v>823</v>
      </c>
      <c r="D1372" s="33"/>
      <c r="E1372" s="33" t="n">
        <v>55</v>
      </c>
      <c r="F1372" s="33" t="s">
        <v>2160</v>
      </c>
      <c r="G1372" s="33" t="s">
        <v>505</v>
      </c>
      <c r="H1372" s="33" t="n">
        <v>1</v>
      </c>
      <c r="I1372" s="33" t="n">
        <v>1</v>
      </c>
      <c r="J1372" s="33" t="n">
        <v>1</v>
      </c>
      <c r="K1372" s="32" t="n">
        <v>300</v>
      </c>
      <c r="L1372" s="33" t="str">
        <f aca="false">IF($B1372="","",IFERROR(INDEX('Code Mapping'!$D$5:$D$1753,MATCH($B1372,'Code Mapping'!$A$5:$A$1753,0)),"Unmapped"))</f>
        <v>Unmapped</v>
      </c>
      <c r="M1372" s="33" t="str">
        <f aca="false">IF($B1372="","",IFERROR(INDEX('Code Mapping'!$E$5:$E$1753,MATCH($B1372,'Code Mapping'!$A$5:$A$1753,0)),"Unmapped"))</f>
        <v>Unmapped</v>
      </c>
      <c r="N1372" s="33" t="str">
        <f aca="false">IF($F1372="","",$F1372)</f>
        <v>InflataCity</v>
      </c>
    </row>
    <row r="1373" customFormat="false" ht="15" hidden="false" customHeight="false" outlineLevel="0" collapsed="false">
      <c r="A1373" s="33" t="n">
        <v>2782</v>
      </c>
      <c r="B1373" s="33" t="s">
        <v>999</v>
      </c>
      <c r="C1373" s="33" t="s">
        <v>825</v>
      </c>
      <c r="D1373" s="33"/>
      <c r="E1373" s="33" t="n">
        <v>55</v>
      </c>
      <c r="F1373" s="33" t="s">
        <v>2160</v>
      </c>
      <c r="G1373" s="33" t="s">
        <v>505</v>
      </c>
      <c r="H1373" s="33" t="n">
        <v>1</v>
      </c>
      <c r="I1373" s="33" t="n">
        <v>1</v>
      </c>
      <c r="J1373" s="33" t="n">
        <v>1</v>
      </c>
      <c r="K1373" s="32" t="n">
        <v>75</v>
      </c>
      <c r="L1373" s="33" t="str">
        <f aca="false">IF($B1373="","",IFERROR(INDEX('Code Mapping'!$D$5:$D$1753,MATCH($B1373,'Code Mapping'!$A$5:$A$1753,0)),"Unmapped"))</f>
        <v>Unmapped</v>
      </c>
      <c r="M1373" s="33" t="str">
        <f aca="false">IF($B1373="","",IFERROR(INDEX('Code Mapping'!$E$5:$E$1753,MATCH($B1373,'Code Mapping'!$A$5:$A$1753,0)),"Unmapped"))</f>
        <v>Unmapped</v>
      </c>
      <c r="N1373" s="33" t="str">
        <f aca="false">IF($F1373="","",$F1373)</f>
        <v>InflataCity</v>
      </c>
    </row>
    <row r="1374" customFormat="false" ht="15" hidden="false" customHeight="false" outlineLevel="0" collapsed="false">
      <c r="A1374" s="33" t="n">
        <v>2697</v>
      </c>
      <c r="B1374" s="33" t="s">
        <v>998</v>
      </c>
      <c r="C1374" s="33" t="s">
        <v>825</v>
      </c>
      <c r="D1374" s="33"/>
      <c r="E1374" s="33" t="n">
        <v>55</v>
      </c>
      <c r="F1374" s="33" t="s">
        <v>2160</v>
      </c>
      <c r="G1374" s="33" t="s">
        <v>505</v>
      </c>
      <c r="H1374" s="33" t="n">
        <v>1</v>
      </c>
      <c r="I1374" s="33" t="n">
        <v>1</v>
      </c>
      <c r="J1374" s="33" t="n">
        <v>1</v>
      </c>
      <c r="K1374" s="32" t="n">
        <v>75</v>
      </c>
      <c r="L1374" s="33" t="str">
        <f aca="false">IF($B1374="","",IFERROR(INDEX('Code Mapping'!$D$5:$D$1753,MATCH($B1374,'Code Mapping'!$A$5:$A$1753,0)),"Unmapped"))</f>
        <v>Unmapped</v>
      </c>
      <c r="M1374" s="33" t="str">
        <f aca="false">IF($B1374="","",IFERROR(INDEX('Code Mapping'!$E$5:$E$1753,MATCH($B1374,'Code Mapping'!$A$5:$A$1753,0)),"Unmapped"))</f>
        <v>Unmapped</v>
      </c>
      <c r="N1374" s="33" t="str">
        <f aca="false">IF($F1374="","",$F1374)</f>
        <v>InflataCity</v>
      </c>
    </row>
    <row r="1375" customFormat="false" ht="15" hidden="false" customHeight="false" outlineLevel="0" collapsed="false">
      <c r="A1375" s="33" t="n">
        <v>2657</v>
      </c>
      <c r="B1375" s="33" t="s">
        <v>997</v>
      </c>
      <c r="C1375" s="33" t="s">
        <v>825</v>
      </c>
      <c r="D1375" s="33"/>
      <c r="E1375" s="33" t="n">
        <v>55</v>
      </c>
      <c r="F1375" s="33" t="s">
        <v>2160</v>
      </c>
      <c r="G1375" s="33" t="s">
        <v>505</v>
      </c>
      <c r="H1375" s="33" t="n">
        <v>1</v>
      </c>
      <c r="I1375" s="33" t="n">
        <v>1</v>
      </c>
      <c r="J1375" s="33" t="n">
        <v>1</v>
      </c>
      <c r="K1375" s="32" t="n">
        <v>75</v>
      </c>
      <c r="L1375" s="33" t="str">
        <f aca="false">IF($B1375="","",IFERROR(INDEX('Code Mapping'!$D$5:$D$1753,MATCH($B1375,'Code Mapping'!$A$5:$A$1753,0)),"Unmapped"))</f>
        <v>Unmapped</v>
      </c>
      <c r="M1375" s="33" t="str">
        <f aca="false">IF($B1375="","",IFERROR(INDEX('Code Mapping'!$E$5:$E$1753,MATCH($B1375,'Code Mapping'!$A$5:$A$1753,0)),"Unmapped"))</f>
        <v>Unmapped</v>
      </c>
      <c r="N1375" s="33" t="str">
        <f aca="false">IF($F1375="","",$F1375)</f>
        <v>InflataCity</v>
      </c>
    </row>
    <row r="1376" customFormat="false" ht="15" hidden="false" customHeight="false" outlineLevel="0" collapsed="false">
      <c r="A1376" s="33" t="n">
        <v>2467</v>
      </c>
      <c r="B1376" s="33" t="s">
        <v>996</v>
      </c>
      <c r="C1376" s="33" t="s">
        <v>823</v>
      </c>
      <c r="D1376" s="33"/>
      <c r="E1376" s="33" t="n">
        <v>55</v>
      </c>
      <c r="F1376" s="33" t="s">
        <v>2160</v>
      </c>
      <c r="G1376" s="33" t="s">
        <v>505</v>
      </c>
      <c r="H1376" s="33" t="n">
        <v>1</v>
      </c>
      <c r="I1376" s="33" t="n">
        <v>1</v>
      </c>
      <c r="J1376" s="33" t="n">
        <v>1</v>
      </c>
      <c r="K1376" s="32" t="n">
        <v>300</v>
      </c>
      <c r="L1376" s="33" t="str">
        <f aca="false">IF($B1376="","",IFERROR(INDEX('Code Mapping'!$D$5:$D$1753,MATCH($B1376,'Code Mapping'!$A$5:$A$1753,0)),"Unmapped"))</f>
        <v>Unmapped</v>
      </c>
      <c r="M1376" s="33" t="str">
        <f aca="false">IF($B1376="","",IFERROR(INDEX('Code Mapping'!$E$5:$E$1753,MATCH($B1376,'Code Mapping'!$A$5:$A$1753,0)),"Unmapped"))</f>
        <v>Unmapped</v>
      </c>
      <c r="N1376" s="33" t="str">
        <f aca="false">IF($F1376="","",$F1376)</f>
        <v>InflataCity</v>
      </c>
    </row>
    <row r="1377" customFormat="false" ht="15" hidden="false" customHeight="false" outlineLevel="0" collapsed="false">
      <c r="A1377" s="33" t="n">
        <v>2197</v>
      </c>
      <c r="B1377" s="33" t="s">
        <v>994</v>
      </c>
      <c r="C1377" s="33" t="s">
        <v>827</v>
      </c>
      <c r="D1377" s="33"/>
      <c r="E1377" s="33" t="n">
        <v>55</v>
      </c>
      <c r="F1377" s="33" t="s">
        <v>2160</v>
      </c>
      <c r="G1377" s="33" t="s">
        <v>505</v>
      </c>
      <c r="H1377" s="33" t="n">
        <v>1</v>
      </c>
      <c r="I1377" s="33" t="n">
        <v>1</v>
      </c>
      <c r="J1377" s="33" t="n">
        <v>1</v>
      </c>
      <c r="K1377" s="32" t="n">
        <v>75</v>
      </c>
      <c r="L1377" s="33" t="str">
        <f aca="false">IF($B1377="","",IFERROR(INDEX('Code Mapping'!$D$5:$D$1753,MATCH($B1377,'Code Mapping'!$A$5:$A$1753,0)),"Unmapped"))</f>
        <v>Unmapped</v>
      </c>
      <c r="M1377" s="33" t="str">
        <f aca="false">IF($B1377="","",IFERROR(INDEX('Code Mapping'!$E$5:$E$1753,MATCH($B1377,'Code Mapping'!$A$5:$A$1753,0)),"Unmapped"))</f>
        <v>Unmapped</v>
      </c>
      <c r="N1377" s="33" t="str">
        <f aca="false">IF($F1377="","",$F1377)</f>
        <v>InflataCity</v>
      </c>
    </row>
    <row r="1378" customFormat="false" ht="15" hidden="false" customHeight="false" outlineLevel="0" collapsed="false">
      <c r="A1378" s="33" t="n">
        <v>2799</v>
      </c>
      <c r="B1378" s="33" t="s">
        <v>982</v>
      </c>
      <c r="C1378" s="33" t="s">
        <v>825</v>
      </c>
      <c r="D1378" s="33"/>
      <c r="E1378" s="33" t="n">
        <v>55</v>
      </c>
      <c r="F1378" s="33" t="s">
        <v>2160</v>
      </c>
      <c r="G1378" s="33" t="s">
        <v>505</v>
      </c>
      <c r="H1378" s="33" t="n">
        <v>1</v>
      </c>
      <c r="I1378" s="33" t="n">
        <v>1</v>
      </c>
      <c r="J1378" s="33" t="n">
        <v>1</v>
      </c>
      <c r="K1378" s="32" t="n">
        <v>75</v>
      </c>
      <c r="L1378" s="33" t="str">
        <f aca="false">IF($B1378="","",IFERROR(INDEX('Code Mapping'!$D$5:$D$1753,MATCH($B1378,'Code Mapping'!$A$5:$A$1753,0)),"Unmapped"))</f>
        <v>Unmapped</v>
      </c>
      <c r="M1378" s="33" t="str">
        <f aca="false">IF($B1378="","",IFERROR(INDEX('Code Mapping'!$E$5:$E$1753,MATCH($B1378,'Code Mapping'!$A$5:$A$1753,0)),"Unmapped"))</f>
        <v>Unmapped</v>
      </c>
      <c r="N1378" s="33" t="str">
        <f aca="false">IF($F1378="","",$F1378)</f>
        <v>InflataCity</v>
      </c>
    </row>
    <row r="1379" customFormat="false" ht="15" hidden="false" customHeight="false" outlineLevel="0" collapsed="false">
      <c r="A1379" s="33" t="n">
        <v>2671</v>
      </c>
      <c r="B1379" s="33" t="s">
        <v>993</v>
      </c>
      <c r="C1379" s="33" t="s">
        <v>825</v>
      </c>
      <c r="D1379" s="33"/>
      <c r="E1379" s="33" t="n">
        <v>55</v>
      </c>
      <c r="F1379" s="33" t="s">
        <v>2160</v>
      </c>
      <c r="G1379" s="33" t="s">
        <v>505</v>
      </c>
      <c r="H1379" s="33" t="n">
        <v>1</v>
      </c>
      <c r="I1379" s="33" t="n">
        <v>1</v>
      </c>
      <c r="J1379" s="33" t="n">
        <v>1</v>
      </c>
      <c r="K1379" s="32" t="n">
        <v>75</v>
      </c>
      <c r="L1379" s="33" t="str">
        <f aca="false">IF($B1379="","",IFERROR(INDEX('Code Mapping'!$D$5:$D$1753,MATCH($B1379,'Code Mapping'!$A$5:$A$1753,0)),"Unmapped"))</f>
        <v>Unmapped</v>
      </c>
      <c r="M1379" s="33" t="str">
        <f aca="false">IF($B1379="","",IFERROR(INDEX('Code Mapping'!$E$5:$E$1753,MATCH($B1379,'Code Mapping'!$A$5:$A$1753,0)),"Unmapped"))</f>
        <v>Unmapped</v>
      </c>
      <c r="N1379" s="33" t="str">
        <f aca="false">IF($F1379="","",$F1379)</f>
        <v>InflataCity</v>
      </c>
    </row>
    <row r="1380" customFormat="false" ht="15" hidden="false" customHeight="false" outlineLevel="0" collapsed="false">
      <c r="A1380" s="33" t="n">
        <v>2763</v>
      </c>
      <c r="B1380" s="33" t="s">
        <v>991</v>
      </c>
      <c r="C1380" s="33" t="s">
        <v>825</v>
      </c>
      <c r="D1380" s="33"/>
      <c r="E1380" s="33" t="n">
        <v>55</v>
      </c>
      <c r="F1380" s="33" t="s">
        <v>2160</v>
      </c>
      <c r="G1380" s="33" t="s">
        <v>505</v>
      </c>
      <c r="H1380" s="33" t="n">
        <v>1</v>
      </c>
      <c r="I1380" s="33" t="n">
        <v>1</v>
      </c>
      <c r="J1380" s="33" t="n">
        <v>1</v>
      </c>
      <c r="K1380" s="32" t="n">
        <v>75</v>
      </c>
      <c r="L1380" s="33" t="str">
        <f aca="false">IF($B1380="","",IFERROR(INDEX('Code Mapping'!$D$5:$D$1753,MATCH($B1380,'Code Mapping'!$A$5:$A$1753,0)),"Unmapped"))</f>
        <v>Unmapped</v>
      </c>
      <c r="M1380" s="33" t="str">
        <f aca="false">IF($B1380="","",IFERROR(INDEX('Code Mapping'!$E$5:$E$1753,MATCH($B1380,'Code Mapping'!$A$5:$A$1753,0)),"Unmapped"))</f>
        <v>Unmapped</v>
      </c>
      <c r="N1380" s="33" t="str">
        <f aca="false">IF($F1380="","",$F1380)</f>
        <v>InflataCity</v>
      </c>
    </row>
    <row r="1381" customFormat="false" ht="15" hidden="false" customHeight="false" outlineLevel="0" collapsed="false">
      <c r="A1381" s="33" t="n">
        <v>2450</v>
      </c>
      <c r="B1381" s="33" t="s">
        <v>990</v>
      </c>
      <c r="C1381" s="33" t="s">
        <v>823</v>
      </c>
      <c r="D1381" s="33"/>
      <c r="E1381" s="33" t="n">
        <v>55</v>
      </c>
      <c r="F1381" s="33" t="s">
        <v>2160</v>
      </c>
      <c r="G1381" s="33" t="s">
        <v>505</v>
      </c>
      <c r="H1381" s="33" t="n">
        <v>1</v>
      </c>
      <c r="I1381" s="33" t="n">
        <v>1</v>
      </c>
      <c r="J1381" s="33" t="n">
        <v>1</v>
      </c>
      <c r="K1381" s="32" t="n">
        <v>300</v>
      </c>
      <c r="L1381" s="33" t="str">
        <f aca="false">IF($B1381="","",IFERROR(INDEX('Code Mapping'!$D$5:$D$1753,MATCH($B1381,'Code Mapping'!$A$5:$A$1753,0)),"Unmapped"))</f>
        <v>Unmapped</v>
      </c>
      <c r="M1381" s="33" t="str">
        <f aca="false">IF($B1381="","",IFERROR(INDEX('Code Mapping'!$E$5:$E$1753,MATCH($B1381,'Code Mapping'!$A$5:$A$1753,0)),"Unmapped"))</f>
        <v>Unmapped</v>
      </c>
      <c r="N1381" s="33" t="str">
        <f aca="false">IF($F1381="","",$F1381)</f>
        <v>InflataCity</v>
      </c>
    </row>
    <row r="1382" customFormat="false" ht="15" hidden="false" customHeight="false" outlineLevel="0" collapsed="false">
      <c r="A1382" s="33" t="n">
        <v>2429</v>
      </c>
      <c r="B1382" s="33" t="s">
        <v>989</v>
      </c>
      <c r="C1382" s="33" t="s">
        <v>823</v>
      </c>
      <c r="D1382" s="33"/>
      <c r="E1382" s="33" t="n">
        <v>55</v>
      </c>
      <c r="F1382" s="33" t="s">
        <v>2160</v>
      </c>
      <c r="G1382" s="33" t="s">
        <v>505</v>
      </c>
      <c r="H1382" s="33" t="n">
        <v>1</v>
      </c>
      <c r="I1382" s="33" t="n">
        <v>1</v>
      </c>
      <c r="J1382" s="33" t="n">
        <v>1</v>
      </c>
      <c r="K1382" s="32" t="n">
        <v>300</v>
      </c>
      <c r="L1382" s="33" t="str">
        <f aca="false">IF($B1382="","",IFERROR(INDEX('Code Mapping'!$D$5:$D$1753,MATCH($B1382,'Code Mapping'!$A$5:$A$1753,0)),"Unmapped"))</f>
        <v>Unmapped</v>
      </c>
      <c r="M1382" s="33" t="str">
        <f aca="false">IF($B1382="","",IFERROR(INDEX('Code Mapping'!$E$5:$E$1753,MATCH($B1382,'Code Mapping'!$A$5:$A$1753,0)),"Unmapped"))</f>
        <v>Unmapped</v>
      </c>
      <c r="N1382" s="33" t="str">
        <f aca="false">IF($F1382="","",$F1382)</f>
        <v>InflataCity</v>
      </c>
    </row>
    <row r="1383" customFormat="false" ht="15" hidden="false" customHeight="false" outlineLevel="0" collapsed="false">
      <c r="A1383" s="33" t="n">
        <v>2300</v>
      </c>
      <c r="B1383" s="33" t="s">
        <v>988</v>
      </c>
      <c r="C1383" s="33" t="s">
        <v>827</v>
      </c>
      <c r="D1383" s="33"/>
      <c r="E1383" s="33" t="n">
        <v>55</v>
      </c>
      <c r="F1383" s="33" t="s">
        <v>2160</v>
      </c>
      <c r="G1383" s="33" t="s">
        <v>505</v>
      </c>
      <c r="H1383" s="33" t="n">
        <v>1</v>
      </c>
      <c r="I1383" s="33" t="n">
        <v>1</v>
      </c>
      <c r="J1383" s="33" t="n">
        <v>1</v>
      </c>
      <c r="K1383" s="32" t="n">
        <v>75</v>
      </c>
      <c r="L1383" s="33" t="str">
        <f aca="false">IF($B1383="","",IFERROR(INDEX('Code Mapping'!$D$5:$D$1753,MATCH($B1383,'Code Mapping'!$A$5:$A$1753,0)),"Unmapped"))</f>
        <v>Unmapped</v>
      </c>
      <c r="M1383" s="33" t="str">
        <f aca="false">IF($B1383="","",IFERROR(INDEX('Code Mapping'!$E$5:$E$1753,MATCH($B1383,'Code Mapping'!$A$5:$A$1753,0)),"Unmapped"))</f>
        <v>Unmapped</v>
      </c>
      <c r="N1383" s="33" t="str">
        <f aca="false">IF($F1383="","",$F1383)</f>
        <v>InflataCity</v>
      </c>
    </row>
    <row r="1384" customFormat="false" ht="15" hidden="false" customHeight="false" outlineLevel="0" collapsed="false">
      <c r="A1384" s="33" t="n">
        <v>2401</v>
      </c>
      <c r="B1384" s="33" t="s">
        <v>986</v>
      </c>
      <c r="C1384" s="33" t="s">
        <v>823</v>
      </c>
      <c r="D1384" s="33"/>
      <c r="E1384" s="33" t="n">
        <v>55</v>
      </c>
      <c r="F1384" s="33" t="s">
        <v>2160</v>
      </c>
      <c r="G1384" s="33" t="s">
        <v>505</v>
      </c>
      <c r="H1384" s="33" t="n">
        <v>1</v>
      </c>
      <c r="I1384" s="33" t="n">
        <v>1</v>
      </c>
      <c r="J1384" s="33" t="n">
        <v>1</v>
      </c>
      <c r="K1384" s="32" t="n">
        <v>300</v>
      </c>
      <c r="L1384" s="33" t="str">
        <f aca="false">IF($B1384="","",IFERROR(INDEX('Code Mapping'!$D$5:$D$1753,MATCH($B1384,'Code Mapping'!$A$5:$A$1753,0)),"Unmapped"))</f>
        <v>Unmapped</v>
      </c>
      <c r="M1384" s="33" t="str">
        <f aca="false">IF($B1384="","",IFERROR(INDEX('Code Mapping'!$E$5:$E$1753,MATCH($B1384,'Code Mapping'!$A$5:$A$1753,0)),"Unmapped"))</f>
        <v>Unmapped</v>
      </c>
      <c r="N1384" s="33" t="str">
        <f aca="false">IF($F1384="","",$F1384)</f>
        <v>InflataCity</v>
      </c>
    </row>
    <row r="1385" customFormat="false" ht="15" hidden="false" customHeight="false" outlineLevel="0" collapsed="false">
      <c r="A1385" s="33" t="n">
        <v>2200</v>
      </c>
      <c r="B1385" s="33" t="s">
        <v>985</v>
      </c>
      <c r="C1385" s="33" t="s">
        <v>827</v>
      </c>
      <c r="D1385" s="33"/>
      <c r="E1385" s="33" t="n">
        <v>55</v>
      </c>
      <c r="F1385" s="33" t="s">
        <v>2160</v>
      </c>
      <c r="G1385" s="33" t="s">
        <v>505</v>
      </c>
      <c r="H1385" s="33" t="n">
        <v>1</v>
      </c>
      <c r="I1385" s="33" t="n">
        <v>1</v>
      </c>
      <c r="J1385" s="33" t="n">
        <v>1</v>
      </c>
      <c r="K1385" s="32" t="n">
        <v>75</v>
      </c>
      <c r="L1385" s="33" t="str">
        <f aca="false">IF($B1385="","",IFERROR(INDEX('Code Mapping'!$D$5:$D$1753,MATCH($B1385,'Code Mapping'!$A$5:$A$1753,0)),"Unmapped"))</f>
        <v>Unmapped</v>
      </c>
      <c r="M1385" s="33" t="str">
        <f aca="false">IF($B1385="","",IFERROR(INDEX('Code Mapping'!$E$5:$E$1753,MATCH($B1385,'Code Mapping'!$A$5:$A$1753,0)),"Unmapped"))</f>
        <v>Unmapped</v>
      </c>
      <c r="N1385" s="33" t="str">
        <f aca="false">IF($F1385="","",$F1385)</f>
        <v>InflataCity</v>
      </c>
    </row>
    <row r="1386" customFormat="false" ht="15" hidden="false" customHeight="false" outlineLevel="0" collapsed="false">
      <c r="A1386" s="33" t="n">
        <v>2775</v>
      </c>
      <c r="B1386" s="33" t="s">
        <v>984</v>
      </c>
      <c r="C1386" s="33" t="s">
        <v>825</v>
      </c>
      <c r="D1386" s="33"/>
      <c r="E1386" s="33" t="n">
        <v>55</v>
      </c>
      <c r="F1386" s="33" t="s">
        <v>2160</v>
      </c>
      <c r="G1386" s="33" t="s">
        <v>505</v>
      </c>
      <c r="H1386" s="33" t="n">
        <v>1</v>
      </c>
      <c r="I1386" s="33" t="n">
        <v>1</v>
      </c>
      <c r="J1386" s="33" t="n">
        <v>1</v>
      </c>
      <c r="K1386" s="32" t="n">
        <v>75</v>
      </c>
      <c r="L1386" s="33" t="str">
        <f aca="false">IF($B1386="","",IFERROR(INDEX('Code Mapping'!$D$5:$D$1753,MATCH($B1386,'Code Mapping'!$A$5:$A$1753,0)),"Unmapped"))</f>
        <v>Unmapped</v>
      </c>
      <c r="M1386" s="33" t="str">
        <f aca="false">IF($B1386="","",IFERROR(INDEX('Code Mapping'!$E$5:$E$1753,MATCH($B1386,'Code Mapping'!$A$5:$A$1753,0)),"Unmapped"))</f>
        <v>Unmapped</v>
      </c>
      <c r="N1386" s="33" t="str">
        <f aca="false">IF($F1386="","",$F1386)</f>
        <v>InflataCity</v>
      </c>
    </row>
    <row r="1387" customFormat="false" ht="15" hidden="false" customHeight="false" outlineLevel="0" collapsed="false">
      <c r="A1387" s="33" t="n">
        <v>2271</v>
      </c>
      <c r="B1387" s="33" t="s">
        <v>1006</v>
      </c>
      <c r="C1387" s="33" t="s">
        <v>827</v>
      </c>
      <c r="D1387" s="33"/>
      <c r="E1387" s="33" t="n">
        <v>55</v>
      </c>
      <c r="F1387" s="33" t="s">
        <v>2160</v>
      </c>
      <c r="G1387" s="33" t="s">
        <v>505</v>
      </c>
      <c r="H1387" s="33" t="n">
        <v>1</v>
      </c>
      <c r="I1387" s="33" t="n">
        <v>1</v>
      </c>
      <c r="J1387" s="33" t="n">
        <v>1</v>
      </c>
      <c r="K1387" s="32" t="n">
        <v>75</v>
      </c>
      <c r="L1387" s="33" t="str">
        <f aca="false">IF($B1387="","",IFERROR(INDEX('Code Mapping'!$D$5:$D$1753,MATCH($B1387,'Code Mapping'!$A$5:$A$1753,0)),"Unmapped"))</f>
        <v>Unmapped</v>
      </c>
      <c r="M1387" s="33" t="str">
        <f aca="false">IF($B1387="","",IFERROR(INDEX('Code Mapping'!$E$5:$E$1753,MATCH($B1387,'Code Mapping'!$A$5:$A$1753,0)),"Unmapped"))</f>
        <v>Unmapped</v>
      </c>
      <c r="N1387" s="33" t="str">
        <f aca="false">IF($F1387="","",$F1387)</f>
        <v>InflataCity</v>
      </c>
    </row>
    <row r="1388" customFormat="false" ht="15" hidden="false" customHeight="false" outlineLevel="0" collapsed="false">
      <c r="A1388" s="33" t="n">
        <v>2781</v>
      </c>
      <c r="B1388" s="33" t="s">
        <v>1008</v>
      </c>
      <c r="C1388" s="33" t="s">
        <v>825</v>
      </c>
      <c r="D1388" s="33"/>
      <c r="E1388" s="33" t="n">
        <v>55</v>
      </c>
      <c r="F1388" s="33" t="s">
        <v>2160</v>
      </c>
      <c r="G1388" s="33" t="s">
        <v>505</v>
      </c>
      <c r="H1388" s="33" t="n">
        <v>1</v>
      </c>
      <c r="I1388" s="33" t="n">
        <v>1</v>
      </c>
      <c r="J1388" s="33" t="n">
        <v>1</v>
      </c>
      <c r="K1388" s="32" t="n">
        <v>75</v>
      </c>
      <c r="L1388" s="33" t="str">
        <f aca="false">IF($B1388="","",IFERROR(INDEX('Code Mapping'!$D$5:$D$1753,MATCH($B1388,'Code Mapping'!$A$5:$A$1753,0)),"Unmapped"))</f>
        <v>Unmapped</v>
      </c>
      <c r="M1388" s="33" t="str">
        <f aca="false">IF($B1388="","",IFERROR(INDEX('Code Mapping'!$E$5:$E$1753,MATCH($B1388,'Code Mapping'!$A$5:$A$1753,0)),"Unmapped"))</f>
        <v>Unmapped</v>
      </c>
      <c r="N1388" s="33" t="str">
        <f aca="false">IF($F1388="","",$F1388)</f>
        <v>InflataCity</v>
      </c>
    </row>
    <row r="1389" customFormat="false" ht="15" hidden="false" customHeight="false" outlineLevel="0" collapsed="false">
      <c r="A1389" s="33" t="n">
        <v>2427</v>
      </c>
      <c r="B1389" s="33" t="s">
        <v>1009</v>
      </c>
      <c r="C1389" s="33" t="s">
        <v>823</v>
      </c>
      <c r="D1389" s="33"/>
      <c r="E1389" s="33" t="n">
        <v>55</v>
      </c>
      <c r="F1389" s="33" t="s">
        <v>2160</v>
      </c>
      <c r="G1389" s="33" t="s">
        <v>505</v>
      </c>
      <c r="H1389" s="33" t="n">
        <v>1</v>
      </c>
      <c r="I1389" s="33" t="n">
        <v>1</v>
      </c>
      <c r="J1389" s="33" t="n">
        <v>1</v>
      </c>
      <c r="K1389" s="32" t="n">
        <v>300</v>
      </c>
      <c r="L1389" s="33" t="str">
        <f aca="false">IF($B1389="","",IFERROR(INDEX('Code Mapping'!$D$5:$D$1753,MATCH($B1389,'Code Mapping'!$A$5:$A$1753,0)),"Unmapped"))</f>
        <v>Unmapped</v>
      </c>
      <c r="M1389" s="33" t="str">
        <f aca="false">IF($B1389="","",IFERROR(INDEX('Code Mapping'!$E$5:$E$1753,MATCH($B1389,'Code Mapping'!$A$5:$A$1753,0)),"Unmapped"))</f>
        <v>Unmapped</v>
      </c>
      <c r="N1389" s="33" t="str">
        <f aca="false">IF($F1389="","",$F1389)</f>
        <v>InflataCity</v>
      </c>
    </row>
    <row r="1390" customFormat="false" ht="15" hidden="false" customHeight="false" outlineLevel="0" collapsed="false">
      <c r="A1390" s="33" t="n">
        <v>2479</v>
      </c>
      <c r="B1390" s="33" t="s">
        <v>1010</v>
      </c>
      <c r="C1390" s="33" t="s">
        <v>823</v>
      </c>
      <c r="D1390" s="33"/>
      <c r="E1390" s="33" t="n">
        <v>55</v>
      </c>
      <c r="F1390" s="33" t="s">
        <v>2160</v>
      </c>
      <c r="G1390" s="33" t="s">
        <v>505</v>
      </c>
      <c r="H1390" s="33" t="n">
        <v>1</v>
      </c>
      <c r="I1390" s="33" t="n">
        <v>1</v>
      </c>
      <c r="J1390" s="33" t="n">
        <v>1</v>
      </c>
      <c r="K1390" s="32" t="n">
        <v>300</v>
      </c>
      <c r="L1390" s="33" t="str">
        <f aca="false">IF($B1390="","",IFERROR(INDEX('Code Mapping'!$D$5:$D$1753,MATCH($B1390,'Code Mapping'!$A$5:$A$1753,0)),"Unmapped"))</f>
        <v>Unmapped</v>
      </c>
      <c r="M1390" s="33" t="str">
        <f aca="false">IF($B1390="","",IFERROR(INDEX('Code Mapping'!$E$5:$E$1753,MATCH($B1390,'Code Mapping'!$A$5:$A$1753,0)),"Unmapped"))</f>
        <v>Unmapped</v>
      </c>
      <c r="N1390" s="33" t="str">
        <f aca="false">IF($F1390="","",$F1390)</f>
        <v>InflataCity</v>
      </c>
    </row>
    <row r="1391" customFormat="false" ht="15" hidden="false" customHeight="false" outlineLevel="0" collapsed="false">
      <c r="A1391" s="33" t="n">
        <v>1832</v>
      </c>
      <c r="B1391" s="33" t="s">
        <v>805</v>
      </c>
      <c r="C1391" s="33" t="s">
        <v>511</v>
      </c>
      <c r="D1391" s="33"/>
      <c r="E1391" s="33" t="n">
        <v>55</v>
      </c>
      <c r="F1391" s="33" t="s">
        <v>2160</v>
      </c>
      <c r="G1391" s="33" t="s">
        <v>505</v>
      </c>
      <c r="H1391" s="33" t="n">
        <v>1</v>
      </c>
      <c r="I1391" s="33" t="n">
        <v>1</v>
      </c>
      <c r="J1391" s="33" t="n">
        <v>1</v>
      </c>
      <c r="K1391" s="32" t="n">
        <v>75</v>
      </c>
      <c r="L1391" s="33" t="str">
        <f aca="false">IF($B1391="","",IFERROR(INDEX('Code Mapping'!$D$5:$D$1753,MATCH($B1391,'Code Mapping'!$A$5:$A$1753,0)),"Unmapped"))</f>
        <v>Unmapped</v>
      </c>
      <c r="M1391" s="33" t="str">
        <f aca="false">IF($B1391="","",IFERROR(INDEX('Code Mapping'!$E$5:$E$1753,MATCH($B1391,'Code Mapping'!$A$5:$A$1753,0)),"Unmapped"))</f>
        <v>Unmapped</v>
      </c>
      <c r="N1391" s="33" t="str">
        <f aca="false">IF($F1391="","",$F1391)</f>
        <v>InflataCity</v>
      </c>
    </row>
    <row r="1392" customFormat="false" ht="15" hidden="false" customHeight="false" outlineLevel="0" collapsed="false">
      <c r="A1392" s="33" t="n">
        <v>2649</v>
      </c>
      <c r="B1392" s="33" t="s">
        <v>1950</v>
      </c>
      <c r="C1392" s="33" t="s">
        <v>1951</v>
      </c>
      <c r="D1392" s="33"/>
      <c r="E1392" s="33" t="n">
        <v>55</v>
      </c>
      <c r="F1392" s="33" t="s">
        <v>2160</v>
      </c>
      <c r="G1392" s="33" t="s">
        <v>505</v>
      </c>
      <c r="H1392" s="33" t="n">
        <v>267</v>
      </c>
      <c r="I1392" s="33" t="n">
        <v>1064</v>
      </c>
      <c r="J1392" s="33" t="n">
        <v>1064</v>
      </c>
      <c r="K1392" s="32" t="n">
        <v>19950</v>
      </c>
      <c r="L1392" s="33" t="str">
        <f aca="false">IF($B1392="","",IFERROR(INDEX('Code Mapping'!$D$5:$D$1753,MATCH($B1392,'Code Mapping'!$A$5:$A$1753,0)),"Unmapped"))</f>
        <v>My Book</v>
      </c>
      <c r="M1392" s="33" t="str">
        <f aca="false">IF($B1392="","",IFERROR(INDEX('Code Mapping'!$E$5:$E$1753,MATCH($B1392,'Code Mapping'!$A$5:$A$1753,0)),"Unmapped"))</f>
        <v>Aggregator BOGO</v>
      </c>
      <c r="N1392" s="33" t="str">
        <f aca="false">IF($F1392="","",$F1392)</f>
        <v>InflataCity</v>
      </c>
    </row>
    <row r="1393" customFormat="false" ht="15" hidden="false" customHeight="false" outlineLevel="0" collapsed="false">
      <c r="A1393" s="33" t="n">
        <v>2042</v>
      </c>
      <c r="B1393" s="33" t="s">
        <v>1542</v>
      </c>
      <c r="C1393" s="33" t="s">
        <v>1543</v>
      </c>
      <c r="D1393" s="33"/>
      <c r="E1393" s="33" t="n">
        <v>55</v>
      </c>
      <c r="F1393" s="33" t="s">
        <v>2160</v>
      </c>
      <c r="G1393" s="33" t="s">
        <v>505</v>
      </c>
      <c r="H1393" s="33" t="n">
        <v>22</v>
      </c>
      <c r="I1393" s="33" t="n">
        <v>133</v>
      </c>
      <c r="J1393" s="33" t="n">
        <v>133</v>
      </c>
      <c r="K1393" s="32" t="n">
        <v>4987.5</v>
      </c>
      <c r="L1393" s="33" t="str">
        <f aca="false">IF($B1393="","",IFERROR(INDEX('Code Mapping'!$D$5:$D$1753,MATCH($B1393,'Code Mapping'!$A$5:$A$1753,0)),"Unmapped"))</f>
        <v>Unmapped</v>
      </c>
      <c r="M1393" s="33" t="str">
        <f aca="false">IF($B1393="","",IFERROR(INDEX('Code Mapping'!$E$5:$E$1753,MATCH($B1393,'Code Mapping'!$A$5:$A$1753,0)),"Unmapped"))</f>
        <v>Unmapped</v>
      </c>
      <c r="N1393" s="33" t="str">
        <f aca="false">IF($F1393="","",$F1393)</f>
        <v>InflataCity</v>
      </c>
    </row>
    <row r="1394" customFormat="false" ht="15" hidden="false" customHeight="false" outlineLevel="0" collapsed="false">
      <c r="A1394" s="33" t="n">
        <v>2345</v>
      </c>
      <c r="B1394" s="33" t="s">
        <v>1417</v>
      </c>
      <c r="C1394" s="33" t="s">
        <v>1418</v>
      </c>
      <c r="D1394" s="33"/>
      <c r="E1394" s="33" t="n">
        <v>55</v>
      </c>
      <c r="F1394" s="33" t="s">
        <v>2160</v>
      </c>
      <c r="G1394" s="33" t="s">
        <v>505</v>
      </c>
      <c r="H1394" s="33" t="n">
        <v>17</v>
      </c>
      <c r="I1394" s="33" t="n">
        <v>43</v>
      </c>
      <c r="J1394" s="33" t="n">
        <v>43</v>
      </c>
      <c r="K1394" s="32" t="n">
        <v>1845</v>
      </c>
      <c r="L1394" s="33" t="str">
        <f aca="false">IF($B1394="","",IFERROR(INDEX('Code Mapping'!$D$5:$D$1753,MATCH($B1394,'Code Mapping'!$A$5:$A$1753,0)),"Unmapped"))</f>
        <v>Unmapped</v>
      </c>
      <c r="M1394" s="33" t="str">
        <f aca="false">IF($B1394="","",IFERROR(INDEX('Code Mapping'!$E$5:$E$1753,MATCH($B1394,'Code Mapping'!$A$5:$A$1753,0)),"Unmapped"))</f>
        <v>Unmapped</v>
      </c>
      <c r="N1394" s="33" t="str">
        <f aca="false">IF($F1394="","",$F1394)</f>
        <v>InflataCity</v>
      </c>
    </row>
    <row r="1395" customFormat="false" ht="15" hidden="false" customHeight="false" outlineLevel="0" collapsed="false">
      <c r="A1395" s="33" t="n">
        <v>1140</v>
      </c>
      <c r="B1395" s="33" t="s">
        <v>1408</v>
      </c>
      <c r="C1395" s="33" t="s">
        <v>1409</v>
      </c>
      <c r="D1395" s="33"/>
      <c r="E1395" s="33" t="n">
        <v>55</v>
      </c>
      <c r="F1395" s="33" t="s">
        <v>2160</v>
      </c>
      <c r="G1395" s="33" t="s">
        <v>505</v>
      </c>
      <c r="H1395" s="33" t="n">
        <v>61</v>
      </c>
      <c r="I1395" s="33" t="n">
        <v>155</v>
      </c>
      <c r="J1395" s="33" t="n">
        <v>155</v>
      </c>
      <c r="K1395" s="32" t="n">
        <v>1240</v>
      </c>
      <c r="L1395" s="33" t="str">
        <f aca="false">IF($B1395="","",IFERROR(INDEX('Code Mapping'!$D$5:$D$1753,MATCH($B1395,'Code Mapping'!$A$5:$A$1753,0)),"Unmapped"))</f>
        <v>Qatar Foundation</v>
      </c>
      <c r="M1395" s="33" t="str">
        <f aca="false">IF($B1395="","",IFERROR(INDEX('Code Mapping'!$E$5:$E$1753,MATCH($B1395,'Code Mapping'!$A$5:$A$1753,0)),"Unmapped"))</f>
        <v>Corporate discount</v>
      </c>
      <c r="N1395" s="33" t="str">
        <f aca="false">IF($F1395="","",$F1395)</f>
        <v>InflataCity</v>
      </c>
    </row>
    <row r="1396" customFormat="false" ht="15" hidden="false" customHeight="false" outlineLevel="0" collapsed="false">
      <c r="A1396" s="33" t="n">
        <v>2041</v>
      </c>
      <c r="B1396" s="33" t="s">
        <v>1400</v>
      </c>
      <c r="C1396" s="33" t="s">
        <v>1401</v>
      </c>
      <c r="D1396" s="33"/>
      <c r="E1396" s="33" t="n">
        <v>55</v>
      </c>
      <c r="F1396" s="33" t="s">
        <v>2160</v>
      </c>
      <c r="G1396" s="33" t="s">
        <v>505</v>
      </c>
      <c r="H1396" s="33" t="n">
        <v>147</v>
      </c>
      <c r="I1396" s="33" t="n">
        <v>349</v>
      </c>
      <c r="J1396" s="33" t="n">
        <v>349</v>
      </c>
      <c r="K1396" s="32" t="n">
        <v>9015</v>
      </c>
      <c r="L1396" s="33" t="str">
        <f aca="false">IF($B1396="","",IFERROR(INDEX('Code Mapping'!$D$5:$D$1753,MATCH($B1396,'Code Mapping'!$A$5:$A$1753,0)),"Unmapped"))</f>
        <v>Qatar Airways</v>
      </c>
      <c r="M1396" s="33" t="str">
        <f aca="false">IF($B1396="","",IFERROR(INDEX('Code Mapping'!$E$5:$E$1753,MATCH($B1396,'Code Mapping'!$A$5:$A$1753,0)),"Unmapped"))</f>
        <v>Corporate discount</v>
      </c>
      <c r="N1396" s="33" t="str">
        <f aca="false">IF($F1396="","",$F1396)</f>
        <v>InflataCity</v>
      </c>
    </row>
    <row r="1397" customFormat="false" ht="15" hidden="false" customHeight="false" outlineLevel="0" collapsed="false">
      <c r="A1397" s="33" t="n">
        <v>2951</v>
      </c>
      <c r="B1397" s="33" t="s">
        <v>1212</v>
      </c>
      <c r="C1397" s="33" t="s">
        <v>1213</v>
      </c>
      <c r="D1397" s="33"/>
      <c r="E1397" s="33" t="n">
        <v>55</v>
      </c>
      <c r="F1397" s="33" t="s">
        <v>2160</v>
      </c>
      <c r="G1397" s="33" t="s">
        <v>505</v>
      </c>
      <c r="H1397" s="33" t="n">
        <v>1</v>
      </c>
      <c r="I1397" s="33" t="n">
        <v>3</v>
      </c>
      <c r="J1397" s="33" t="n">
        <v>3</v>
      </c>
      <c r="K1397" s="32" t="n">
        <v>45</v>
      </c>
      <c r="L1397" s="33" t="str">
        <f aca="false">IF($B1397="","",IFERROR(INDEX('Code Mapping'!$D$5:$D$1753,MATCH($B1397,'Code Mapping'!$A$5:$A$1753,0)),"Unmapped"))</f>
        <v>Unmapped</v>
      </c>
      <c r="M1397" s="33" t="str">
        <f aca="false">IF($B1397="","",IFERROR(INDEX('Code Mapping'!$E$5:$E$1753,MATCH($B1397,'Code Mapping'!$A$5:$A$1753,0)),"Unmapped"))</f>
        <v>Unmapped</v>
      </c>
      <c r="N1397" s="33" t="str">
        <f aca="false">IF($F1397="","",$F1397)</f>
        <v>InflataCity</v>
      </c>
    </row>
    <row r="1398" customFormat="false" ht="15" hidden="false" customHeight="false" outlineLevel="0" collapsed="false">
      <c r="A1398" s="33" t="n">
        <v>2043</v>
      </c>
      <c r="B1398" s="33" t="s">
        <v>1023</v>
      </c>
      <c r="C1398" s="33" t="s">
        <v>1024</v>
      </c>
      <c r="D1398" s="33"/>
      <c r="E1398" s="33" t="n">
        <v>55</v>
      </c>
      <c r="F1398" s="33" t="s">
        <v>2160</v>
      </c>
      <c r="G1398" s="33" t="s">
        <v>505</v>
      </c>
      <c r="H1398" s="33" t="n">
        <v>18</v>
      </c>
      <c r="I1398" s="33" t="n">
        <v>67</v>
      </c>
      <c r="J1398" s="33" t="n">
        <v>67</v>
      </c>
      <c r="K1398" s="32" t="n">
        <v>2512.5</v>
      </c>
      <c r="L1398" s="33" t="str">
        <f aca="false">IF($B1398="","",IFERROR(INDEX('Code Mapping'!$D$5:$D$1753,MATCH($B1398,'Code Mapping'!$A$5:$A$1753,0)),"Unmapped"))</f>
        <v>Unmapped</v>
      </c>
      <c r="M1398" s="33" t="str">
        <f aca="false">IF($B1398="","",IFERROR(INDEX('Code Mapping'!$E$5:$E$1753,MATCH($B1398,'Code Mapping'!$A$5:$A$1753,0)),"Unmapped"))</f>
        <v>Unmapped</v>
      </c>
      <c r="N1398" s="33" t="str">
        <f aca="false">IF($F1398="","",$F1398)</f>
        <v>InflataCity</v>
      </c>
    </row>
    <row r="1399" customFormat="false" ht="15" hidden="false" customHeight="false" outlineLevel="0" collapsed="false">
      <c r="A1399" s="33" t="n">
        <v>2439</v>
      </c>
      <c r="B1399" s="33" t="s">
        <v>1021</v>
      </c>
      <c r="C1399" s="33" t="s">
        <v>823</v>
      </c>
      <c r="D1399" s="33"/>
      <c r="E1399" s="33" t="n">
        <v>55</v>
      </c>
      <c r="F1399" s="33" t="s">
        <v>2160</v>
      </c>
      <c r="G1399" s="33" t="s">
        <v>505</v>
      </c>
      <c r="H1399" s="33" t="n">
        <v>1</v>
      </c>
      <c r="I1399" s="33" t="n">
        <v>1</v>
      </c>
      <c r="J1399" s="33" t="n">
        <v>1</v>
      </c>
      <c r="K1399" s="32" t="n">
        <v>300</v>
      </c>
      <c r="L1399" s="33" t="str">
        <f aca="false">IF($B1399="","",IFERROR(INDEX('Code Mapping'!$D$5:$D$1753,MATCH($B1399,'Code Mapping'!$A$5:$A$1753,0)),"Unmapped"))</f>
        <v>Unmapped</v>
      </c>
      <c r="M1399" s="33" t="str">
        <f aca="false">IF($B1399="","",IFERROR(INDEX('Code Mapping'!$E$5:$E$1753,MATCH($B1399,'Code Mapping'!$A$5:$A$1753,0)),"Unmapped"))</f>
        <v>Unmapped</v>
      </c>
      <c r="N1399" s="33" t="str">
        <f aca="false">IF($F1399="","",$F1399)</f>
        <v>InflataCity</v>
      </c>
    </row>
    <row r="1400" customFormat="false" ht="15" hidden="false" customHeight="false" outlineLevel="0" collapsed="false">
      <c r="A1400" s="33" t="n">
        <v>2383</v>
      </c>
      <c r="B1400" s="33" t="s">
        <v>1020</v>
      </c>
      <c r="C1400" s="33" t="s">
        <v>823</v>
      </c>
      <c r="D1400" s="33"/>
      <c r="E1400" s="33" t="n">
        <v>55</v>
      </c>
      <c r="F1400" s="33" t="s">
        <v>2160</v>
      </c>
      <c r="G1400" s="33" t="s">
        <v>505</v>
      </c>
      <c r="H1400" s="33" t="n">
        <v>1</v>
      </c>
      <c r="I1400" s="33" t="n">
        <v>1</v>
      </c>
      <c r="J1400" s="33" t="n">
        <v>1</v>
      </c>
      <c r="K1400" s="32" t="n">
        <v>300</v>
      </c>
      <c r="L1400" s="33" t="str">
        <f aca="false">IF($B1400="","",IFERROR(INDEX('Code Mapping'!$D$5:$D$1753,MATCH($B1400,'Code Mapping'!$A$5:$A$1753,0)),"Unmapped"))</f>
        <v>Unmapped</v>
      </c>
      <c r="M1400" s="33" t="str">
        <f aca="false">IF($B1400="","",IFERROR(INDEX('Code Mapping'!$E$5:$E$1753,MATCH($B1400,'Code Mapping'!$A$5:$A$1753,0)),"Unmapped"))</f>
        <v>Unmapped</v>
      </c>
      <c r="N1400" s="33" t="str">
        <f aca="false">IF($F1400="","",$F1400)</f>
        <v>InflataCity</v>
      </c>
    </row>
    <row r="1401" customFormat="false" ht="15" hidden="false" customHeight="false" outlineLevel="0" collapsed="false">
      <c r="A1401" s="33" t="n">
        <v>2673</v>
      </c>
      <c r="B1401" s="33" t="s">
        <v>1019</v>
      </c>
      <c r="C1401" s="33" t="s">
        <v>825</v>
      </c>
      <c r="D1401" s="33"/>
      <c r="E1401" s="33" t="n">
        <v>55</v>
      </c>
      <c r="F1401" s="33" t="s">
        <v>2160</v>
      </c>
      <c r="G1401" s="33" t="s">
        <v>505</v>
      </c>
      <c r="H1401" s="33" t="n">
        <v>1</v>
      </c>
      <c r="I1401" s="33" t="n">
        <v>1</v>
      </c>
      <c r="J1401" s="33" t="n">
        <v>1</v>
      </c>
      <c r="K1401" s="32" t="n">
        <v>75</v>
      </c>
      <c r="L1401" s="33" t="str">
        <f aca="false">IF($B1401="","",IFERROR(INDEX('Code Mapping'!$D$5:$D$1753,MATCH($B1401,'Code Mapping'!$A$5:$A$1753,0)),"Unmapped"))</f>
        <v>Unmapped</v>
      </c>
      <c r="M1401" s="33" t="str">
        <f aca="false">IF($B1401="","",IFERROR(INDEX('Code Mapping'!$E$5:$E$1753,MATCH($B1401,'Code Mapping'!$A$5:$A$1753,0)),"Unmapped"))</f>
        <v>Unmapped</v>
      </c>
      <c r="N1401" s="33" t="str">
        <f aca="false">IF($F1401="","",$F1401)</f>
        <v>InflataCity</v>
      </c>
    </row>
    <row r="1402" customFormat="false" ht="15" hidden="false" customHeight="false" outlineLevel="0" collapsed="false">
      <c r="A1402" s="33" t="n">
        <v>2765</v>
      </c>
      <c r="B1402" s="33" t="s">
        <v>1017</v>
      </c>
      <c r="C1402" s="33" t="s">
        <v>825</v>
      </c>
      <c r="D1402" s="33"/>
      <c r="E1402" s="33" t="n">
        <v>55</v>
      </c>
      <c r="F1402" s="33" t="s">
        <v>2160</v>
      </c>
      <c r="G1402" s="33" t="s">
        <v>505</v>
      </c>
      <c r="H1402" s="33" t="n">
        <v>1</v>
      </c>
      <c r="I1402" s="33" t="n">
        <v>1</v>
      </c>
      <c r="J1402" s="33" t="n">
        <v>1</v>
      </c>
      <c r="K1402" s="32" t="n">
        <v>75</v>
      </c>
      <c r="L1402" s="33" t="str">
        <f aca="false">IF($B1402="","",IFERROR(INDEX('Code Mapping'!$D$5:$D$1753,MATCH($B1402,'Code Mapping'!$A$5:$A$1753,0)),"Unmapped"))</f>
        <v>Unmapped</v>
      </c>
      <c r="M1402" s="33" t="str">
        <f aca="false">IF($B1402="","",IFERROR(INDEX('Code Mapping'!$E$5:$E$1753,MATCH($B1402,'Code Mapping'!$A$5:$A$1753,0)),"Unmapped"))</f>
        <v>Unmapped</v>
      </c>
      <c r="N1402" s="33" t="str">
        <f aca="false">IF($F1402="","",$F1402)</f>
        <v>InflataCity</v>
      </c>
    </row>
    <row r="1403" customFormat="false" ht="15" hidden="false" customHeight="false" outlineLevel="0" collapsed="false">
      <c r="A1403" s="33" t="n">
        <v>2373</v>
      </c>
      <c r="B1403" s="33" t="s">
        <v>1016</v>
      </c>
      <c r="C1403" s="33" t="s">
        <v>823</v>
      </c>
      <c r="D1403" s="33"/>
      <c r="E1403" s="33" t="n">
        <v>55</v>
      </c>
      <c r="F1403" s="33" t="s">
        <v>2160</v>
      </c>
      <c r="G1403" s="33" t="s">
        <v>505</v>
      </c>
      <c r="H1403" s="33" t="n">
        <v>1</v>
      </c>
      <c r="I1403" s="33" t="n">
        <v>1</v>
      </c>
      <c r="J1403" s="33" t="n">
        <v>1</v>
      </c>
      <c r="K1403" s="32" t="n">
        <v>300</v>
      </c>
      <c r="L1403" s="33" t="str">
        <f aca="false">IF($B1403="","",IFERROR(INDEX('Code Mapping'!$D$5:$D$1753,MATCH($B1403,'Code Mapping'!$A$5:$A$1753,0)),"Unmapped"))</f>
        <v>Unmapped</v>
      </c>
      <c r="M1403" s="33" t="str">
        <f aca="false">IF($B1403="","",IFERROR(INDEX('Code Mapping'!$E$5:$E$1753,MATCH($B1403,'Code Mapping'!$A$5:$A$1753,0)),"Unmapped"))</f>
        <v>Unmapped</v>
      </c>
      <c r="N1403" s="33" t="str">
        <f aca="false">IF($F1403="","",$F1403)</f>
        <v>InflataCity</v>
      </c>
    </row>
    <row r="1404" customFormat="false" ht="15" hidden="false" customHeight="false" outlineLevel="0" collapsed="false">
      <c r="A1404" s="33" t="n">
        <v>2776</v>
      </c>
      <c r="B1404" s="33" t="s">
        <v>1015</v>
      </c>
      <c r="C1404" s="33" t="s">
        <v>825</v>
      </c>
      <c r="D1404" s="33"/>
      <c r="E1404" s="33" t="n">
        <v>55</v>
      </c>
      <c r="F1404" s="33" t="s">
        <v>2160</v>
      </c>
      <c r="G1404" s="33" t="s">
        <v>505</v>
      </c>
      <c r="H1404" s="33" t="n">
        <v>1</v>
      </c>
      <c r="I1404" s="33" t="n">
        <v>1</v>
      </c>
      <c r="J1404" s="33" t="n">
        <v>1</v>
      </c>
      <c r="K1404" s="32" t="n">
        <v>75</v>
      </c>
      <c r="L1404" s="33" t="str">
        <f aca="false">IF($B1404="","",IFERROR(INDEX('Code Mapping'!$D$5:$D$1753,MATCH($B1404,'Code Mapping'!$A$5:$A$1753,0)),"Unmapped"))</f>
        <v>Unmapped</v>
      </c>
      <c r="M1404" s="33" t="str">
        <f aca="false">IF($B1404="","",IFERROR(INDEX('Code Mapping'!$E$5:$E$1753,MATCH($B1404,'Code Mapping'!$A$5:$A$1753,0)),"Unmapped"))</f>
        <v>Unmapped</v>
      </c>
      <c r="N1404" s="33" t="str">
        <f aca="false">IF($F1404="","",$F1404)</f>
        <v>InflataCity</v>
      </c>
    </row>
    <row r="1405" customFormat="false" ht="15" hidden="false" customHeight="false" outlineLevel="0" collapsed="false">
      <c r="A1405" s="33" t="n">
        <v>2803</v>
      </c>
      <c r="B1405" s="33" t="s">
        <v>1014</v>
      </c>
      <c r="C1405" s="33" t="s">
        <v>825</v>
      </c>
      <c r="D1405" s="33"/>
      <c r="E1405" s="33" t="n">
        <v>55</v>
      </c>
      <c r="F1405" s="33" t="s">
        <v>2160</v>
      </c>
      <c r="G1405" s="33" t="s">
        <v>505</v>
      </c>
      <c r="H1405" s="33" t="n">
        <v>1</v>
      </c>
      <c r="I1405" s="33" t="n">
        <v>1</v>
      </c>
      <c r="J1405" s="33" t="n">
        <v>1</v>
      </c>
      <c r="K1405" s="32" t="n">
        <v>75</v>
      </c>
      <c r="L1405" s="33" t="str">
        <f aca="false">IF($B1405="","",IFERROR(INDEX('Code Mapping'!$D$5:$D$1753,MATCH($B1405,'Code Mapping'!$A$5:$A$1753,0)),"Unmapped"))</f>
        <v>Unmapped</v>
      </c>
      <c r="M1405" s="33" t="str">
        <f aca="false">IF($B1405="","",IFERROR(INDEX('Code Mapping'!$E$5:$E$1753,MATCH($B1405,'Code Mapping'!$A$5:$A$1753,0)),"Unmapped"))</f>
        <v>Unmapped</v>
      </c>
      <c r="N1405" s="33" t="str">
        <f aca="false">IF($F1405="","",$F1405)</f>
        <v>InflataCity</v>
      </c>
    </row>
    <row r="1406" customFormat="false" ht="15" hidden="false" customHeight="false" outlineLevel="0" collapsed="false">
      <c r="A1406" s="33" t="n">
        <v>2691</v>
      </c>
      <c r="B1406" s="33" t="s">
        <v>1013</v>
      </c>
      <c r="C1406" s="33" t="s">
        <v>825</v>
      </c>
      <c r="D1406" s="33"/>
      <c r="E1406" s="33" t="n">
        <v>55</v>
      </c>
      <c r="F1406" s="33" t="s">
        <v>2160</v>
      </c>
      <c r="G1406" s="33" t="s">
        <v>505</v>
      </c>
      <c r="H1406" s="33" t="n">
        <v>1</v>
      </c>
      <c r="I1406" s="33" t="n">
        <v>1</v>
      </c>
      <c r="J1406" s="33" t="n">
        <v>1</v>
      </c>
      <c r="K1406" s="32" t="n">
        <v>75</v>
      </c>
      <c r="L1406" s="33" t="str">
        <f aca="false">IF($B1406="","",IFERROR(INDEX('Code Mapping'!$D$5:$D$1753,MATCH($B1406,'Code Mapping'!$A$5:$A$1753,0)),"Unmapped"))</f>
        <v>Unmapped</v>
      </c>
      <c r="M1406" s="33" t="str">
        <f aca="false">IF($B1406="","",IFERROR(INDEX('Code Mapping'!$E$5:$E$1753,MATCH($B1406,'Code Mapping'!$A$5:$A$1753,0)),"Unmapped"))</f>
        <v>Unmapped</v>
      </c>
      <c r="N1406" s="33" t="str">
        <f aca="false">IF($F1406="","",$F1406)</f>
        <v>InflataCity</v>
      </c>
    </row>
    <row r="1407" customFormat="false" ht="15" hidden="false" customHeight="false" outlineLevel="0" collapsed="false">
      <c r="A1407" s="33" t="n">
        <v>2413</v>
      </c>
      <c r="B1407" s="33" t="s">
        <v>1011</v>
      </c>
      <c r="C1407" s="33" t="s">
        <v>823</v>
      </c>
      <c r="D1407" s="33"/>
      <c r="E1407" s="33" t="n">
        <v>55</v>
      </c>
      <c r="F1407" s="33" t="s">
        <v>2160</v>
      </c>
      <c r="G1407" s="33" t="s">
        <v>505</v>
      </c>
      <c r="H1407" s="33" t="n">
        <v>1</v>
      </c>
      <c r="I1407" s="33" t="n">
        <v>1</v>
      </c>
      <c r="J1407" s="33" t="n">
        <v>1</v>
      </c>
      <c r="K1407" s="32" t="n">
        <v>300</v>
      </c>
      <c r="L1407" s="33" t="str">
        <f aca="false">IF($B1407="","",IFERROR(INDEX('Code Mapping'!$D$5:$D$1753,MATCH($B1407,'Code Mapping'!$A$5:$A$1753,0)),"Unmapped"))</f>
        <v>Unmapped</v>
      </c>
      <c r="M1407" s="33" t="str">
        <f aca="false">IF($B1407="","",IFERROR(INDEX('Code Mapping'!$E$5:$E$1753,MATCH($B1407,'Code Mapping'!$A$5:$A$1753,0)),"Unmapped"))</f>
        <v>Unmapped</v>
      </c>
      <c r="N1407" s="33" t="str">
        <f aca="false">IF($F1407="","",$F1407)</f>
        <v>InflataCity</v>
      </c>
    </row>
    <row r="1408" customFormat="false" ht="15" hidden="false" customHeight="false" outlineLevel="0" collapsed="false">
      <c r="A1408" s="33" t="n">
        <v>2792</v>
      </c>
      <c r="B1408" s="33" t="s">
        <v>983</v>
      </c>
      <c r="C1408" s="33" t="s">
        <v>825</v>
      </c>
      <c r="D1408" s="33"/>
      <c r="E1408" s="33" t="n">
        <v>55</v>
      </c>
      <c r="F1408" s="33" t="s">
        <v>2160</v>
      </c>
      <c r="G1408" s="33" t="s">
        <v>505</v>
      </c>
      <c r="H1408" s="33" t="n">
        <v>1</v>
      </c>
      <c r="I1408" s="33" t="n">
        <v>1</v>
      </c>
      <c r="J1408" s="33" t="n">
        <v>1</v>
      </c>
      <c r="K1408" s="32" t="n">
        <v>75</v>
      </c>
      <c r="L1408" s="33" t="str">
        <f aca="false">IF($B1408="","",IFERROR(INDEX('Code Mapping'!$D$5:$D$1753,MATCH($B1408,'Code Mapping'!$A$5:$A$1753,0)),"Unmapped"))</f>
        <v>Unmapped</v>
      </c>
      <c r="M1408" s="33" t="str">
        <f aca="false">IF($B1408="","",IFERROR(INDEX('Code Mapping'!$E$5:$E$1753,MATCH($B1408,'Code Mapping'!$A$5:$A$1753,0)),"Unmapped"))</f>
        <v>Unmapped</v>
      </c>
      <c r="N1408" s="33" t="str">
        <f aca="false">IF($F1408="","",$F1408)</f>
        <v>InflataCity</v>
      </c>
    </row>
    <row r="1409" customFormat="false" ht="15" hidden="false" customHeight="false" outlineLevel="0" collapsed="false">
      <c r="A1409" s="33" t="n">
        <v>2403</v>
      </c>
      <c r="B1409" s="33" t="s">
        <v>981</v>
      </c>
      <c r="C1409" s="33" t="s">
        <v>823</v>
      </c>
      <c r="D1409" s="33"/>
      <c r="E1409" s="33" t="n">
        <v>55</v>
      </c>
      <c r="F1409" s="33" t="s">
        <v>2160</v>
      </c>
      <c r="G1409" s="33" t="s">
        <v>505</v>
      </c>
      <c r="H1409" s="33" t="n">
        <v>1</v>
      </c>
      <c r="I1409" s="33" t="n">
        <v>1</v>
      </c>
      <c r="J1409" s="33" t="n">
        <v>1</v>
      </c>
      <c r="K1409" s="32" t="n">
        <v>300</v>
      </c>
      <c r="L1409" s="33" t="str">
        <f aca="false">IF($B1409="","",IFERROR(INDEX('Code Mapping'!$D$5:$D$1753,MATCH($B1409,'Code Mapping'!$A$5:$A$1753,0)),"Unmapped"))</f>
        <v>Unmapped</v>
      </c>
      <c r="M1409" s="33" t="str">
        <f aca="false">IF($B1409="","",IFERROR(INDEX('Code Mapping'!$E$5:$E$1753,MATCH($B1409,'Code Mapping'!$A$5:$A$1753,0)),"Unmapped"))</f>
        <v>Unmapped</v>
      </c>
      <c r="N1409" s="33" t="str">
        <f aca="false">IF($F1409="","",$F1409)</f>
        <v>InflataCity</v>
      </c>
    </row>
    <row r="1410" customFormat="false" ht="15" hidden="false" customHeight="false" outlineLevel="0" collapsed="false">
      <c r="A1410" s="33" t="n">
        <v>2268</v>
      </c>
      <c r="B1410" s="33" t="s">
        <v>923</v>
      </c>
      <c r="C1410" s="33" t="s">
        <v>827</v>
      </c>
      <c r="D1410" s="33"/>
      <c r="E1410" s="33" t="n">
        <v>55</v>
      </c>
      <c r="F1410" s="33" t="s">
        <v>2160</v>
      </c>
      <c r="G1410" s="33" t="s">
        <v>505</v>
      </c>
      <c r="H1410" s="33" t="n">
        <v>1</v>
      </c>
      <c r="I1410" s="33" t="n">
        <v>1</v>
      </c>
      <c r="J1410" s="33" t="n">
        <v>1</v>
      </c>
      <c r="K1410" s="32" t="n">
        <v>75</v>
      </c>
      <c r="L1410" s="33" t="str">
        <f aca="false">IF($B1410="","",IFERROR(INDEX('Code Mapping'!$D$5:$D$1753,MATCH($B1410,'Code Mapping'!$A$5:$A$1753,0)),"Unmapped"))</f>
        <v>Unmapped</v>
      </c>
      <c r="M1410" s="33" t="str">
        <f aca="false">IF($B1410="","",IFERROR(INDEX('Code Mapping'!$E$5:$E$1753,MATCH($B1410,'Code Mapping'!$A$5:$A$1753,0)),"Unmapped"))</f>
        <v>Unmapped</v>
      </c>
      <c r="N1410" s="33" t="str">
        <f aca="false">IF($F1410="","",$F1410)</f>
        <v>InflataCity</v>
      </c>
    </row>
    <row r="1411" customFormat="false" ht="15" hidden="false" customHeight="false" outlineLevel="0" collapsed="false">
      <c r="A1411" s="33" t="n">
        <v>2358</v>
      </c>
      <c r="B1411" s="33" t="s">
        <v>937</v>
      </c>
      <c r="C1411" s="33" t="s">
        <v>823</v>
      </c>
      <c r="D1411" s="33"/>
      <c r="E1411" s="33" t="n">
        <v>55</v>
      </c>
      <c r="F1411" s="33" t="s">
        <v>2160</v>
      </c>
      <c r="G1411" s="33" t="s">
        <v>505</v>
      </c>
      <c r="H1411" s="33" t="n">
        <v>1</v>
      </c>
      <c r="I1411" s="33" t="n">
        <v>1</v>
      </c>
      <c r="J1411" s="33" t="n">
        <v>1</v>
      </c>
      <c r="K1411" s="32" t="n">
        <v>300</v>
      </c>
      <c r="L1411" s="33" t="str">
        <f aca="false">IF($B1411="","",IFERROR(INDEX('Code Mapping'!$D$5:$D$1753,MATCH($B1411,'Code Mapping'!$A$5:$A$1753,0)),"Unmapped"))</f>
        <v>Unmapped</v>
      </c>
      <c r="M1411" s="33" t="str">
        <f aca="false">IF($B1411="","",IFERROR(INDEX('Code Mapping'!$E$5:$E$1753,MATCH($B1411,'Code Mapping'!$A$5:$A$1753,0)),"Unmapped"))</f>
        <v>Unmapped</v>
      </c>
      <c r="N1411" s="33" t="str">
        <f aca="false">IF($F1411="","",$F1411)</f>
        <v>InflataCity</v>
      </c>
    </row>
    <row r="1412" customFormat="false" ht="15" hidden="false" customHeight="false" outlineLevel="0" collapsed="false">
      <c r="A1412" s="33" t="n">
        <v>2198</v>
      </c>
      <c r="B1412" s="33" t="s">
        <v>949</v>
      </c>
      <c r="C1412" s="33" t="s">
        <v>827</v>
      </c>
      <c r="D1412" s="33"/>
      <c r="E1412" s="33" t="n">
        <v>55</v>
      </c>
      <c r="F1412" s="33" t="s">
        <v>2160</v>
      </c>
      <c r="G1412" s="33" t="s">
        <v>505</v>
      </c>
      <c r="H1412" s="33" t="n">
        <v>1</v>
      </c>
      <c r="I1412" s="33" t="n">
        <v>1</v>
      </c>
      <c r="J1412" s="33" t="n">
        <v>1</v>
      </c>
      <c r="K1412" s="32" t="n">
        <v>75</v>
      </c>
      <c r="L1412" s="33" t="str">
        <f aca="false">IF($B1412="","",IFERROR(INDEX('Code Mapping'!$D$5:$D$1753,MATCH($B1412,'Code Mapping'!$A$5:$A$1753,0)),"Unmapped"))</f>
        <v>Unmapped</v>
      </c>
      <c r="M1412" s="33" t="str">
        <f aca="false">IF($B1412="","",IFERROR(INDEX('Code Mapping'!$E$5:$E$1753,MATCH($B1412,'Code Mapping'!$A$5:$A$1753,0)),"Unmapped"))</f>
        <v>Unmapped</v>
      </c>
      <c r="N1412" s="33" t="str">
        <f aca="false">IF($F1412="","",$F1412)</f>
        <v>InflataCity</v>
      </c>
    </row>
    <row r="1413" customFormat="false" ht="15" hidden="false" customHeight="false" outlineLevel="0" collapsed="false">
      <c r="A1413" s="33" t="n">
        <v>2196</v>
      </c>
      <c r="B1413" s="33" t="s">
        <v>947</v>
      </c>
      <c r="C1413" s="33" t="s">
        <v>827</v>
      </c>
      <c r="D1413" s="33"/>
      <c r="E1413" s="33" t="n">
        <v>55</v>
      </c>
      <c r="F1413" s="33" t="s">
        <v>2160</v>
      </c>
      <c r="G1413" s="33" t="s">
        <v>505</v>
      </c>
      <c r="H1413" s="33" t="n">
        <v>1</v>
      </c>
      <c r="I1413" s="33" t="n">
        <v>1</v>
      </c>
      <c r="J1413" s="33" t="n">
        <v>1</v>
      </c>
      <c r="K1413" s="32" t="n">
        <v>75</v>
      </c>
      <c r="L1413" s="33" t="str">
        <f aca="false">IF($B1413="","",IFERROR(INDEX('Code Mapping'!$D$5:$D$1753,MATCH($B1413,'Code Mapping'!$A$5:$A$1753,0)),"Unmapped"))</f>
        <v>Unmapped</v>
      </c>
      <c r="M1413" s="33" t="str">
        <f aca="false">IF($B1413="","",IFERROR(INDEX('Code Mapping'!$E$5:$E$1753,MATCH($B1413,'Code Mapping'!$A$5:$A$1753,0)),"Unmapped"))</f>
        <v>Unmapped</v>
      </c>
      <c r="N1413" s="33" t="str">
        <f aca="false">IF($F1413="","",$F1413)</f>
        <v>InflataCity</v>
      </c>
    </row>
    <row r="1414" customFormat="false" ht="15" hidden="false" customHeight="false" outlineLevel="0" collapsed="false">
      <c r="A1414" s="33" t="n">
        <v>2454</v>
      </c>
      <c r="B1414" s="33" t="s">
        <v>945</v>
      </c>
      <c r="C1414" s="33" t="s">
        <v>823</v>
      </c>
      <c r="D1414" s="33"/>
      <c r="E1414" s="33" t="n">
        <v>55</v>
      </c>
      <c r="F1414" s="33" t="s">
        <v>2160</v>
      </c>
      <c r="G1414" s="33" t="s">
        <v>505</v>
      </c>
      <c r="H1414" s="33" t="n">
        <v>1</v>
      </c>
      <c r="I1414" s="33" t="n">
        <v>1</v>
      </c>
      <c r="J1414" s="33" t="n">
        <v>1</v>
      </c>
      <c r="K1414" s="32" t="n">
        <v>300</v>
      </c>
      <c r="L1414" s="33" t="str">
        <f aca="false">IF($B1414="","",IFERROR(INDEX('Code Mapping'!$D$5:$D$1753,MATCH($B1414,'Code Mapping'!$A$5:$A$1753,0)),"Unmapped"))</f>
        <v>Unmapped</v>
      </c>
      <c r="M1414" s="33" t="str">
        <f aca="false">IF($B1414="","",IFERROR(INDEX('Code Mapping'!$E$5:$E$1753,MATCH($B1414,'Code Mapping'!$A$5:$A$1753,0)),"Unmapped"))</f>
        <v>Unmapped</v>
      </c>
      <c r="N1414" s="33" t="str">
        <f aca="false">IF($F1414="","",$F1414)</f>
        <v>InflataCity</v>
      </c>
    </row>
    <row r="1415" customFormat="false" ht="15" hidden="false" customHeight="false" outlineLevel="0" collapsed="false">
      <c r="A1415" s="33" t="n">
        <v>2416</v>
      </c>
      <c r="B1415" s="33" t="s">
        <v>944</v>
      </c>
      <c r="C1415" s="33" t="s">
        <v>823</v>
      </c>
      <c r="D1415" s="33"/>
      <c r="E1415" s="33" t="n">
        <v>55</v>
      </c>
      <c r="F1415" s="33" t="s">
        <v>2160</v>
      </c>
      <c r="G1415" s="33" t="s">
        <v>505</v>
      </c>
      <c r="H1415" s="33" t="n">
        <v>1</v>
      </c>
      <c r="I1415" s="33" t="n">
        <v>1</v>
      </c>
      <c r="J1415" s="33" t="n">
        <v>1</v>
      </c>
      <c r="K1415" s="32" t="n">
        <v>300</v>
      </c>
      <c r="L1415" s="33" t="str">
        <f aca="false">IF($B1415="","",IFERROR(INDEX('Code Mapping'!$D$5:$D$1753,MATCH($B1415,'Code Mapping'!$A$5:$A$1753,0)),"Unmapped"))</f>
        <v>Unmapped</v>
      </c>
      <c r="M1415" s="33" t="str">
        <f aca="false">IF($B1415="","",IFERROR(INDEX('Code Mapping'!$E$5:$E$1753,MATCH($B1415,'Code Mapping'!$A$5:$A$1753,0)),"Unmapped"))</f>
        <v>Unmapped</v>
      </c>
      <c r="N1415" s="33" t="str">
        <f aca="false">IF($F1415="","",$F1415)</f>
        <v>InflataCity</v>
      </c>
    </row>
    <row r="1416" customFormat="false" ht="15" hidden="false" customHeight="false" outlineLevel="0" collapsed="false">
      <c r="A1416" s="33" t="n">
        <v>2301</v>
      </c>
      <c r="B1416" s="33" t="s">
        <v>942</v>
      </c>
      <c r="C1416" s="33" t="s">
        <v>827</v>
      </c>
      <c r="D1416" s="33"/>
      <c r="E1416" s="33" t="n">
        <v>55</v>
      </c>
      <c r="F1416" s="33" t="s">
        <v>2160</v>
      </c>
      <c r="G1416" s="33" t="s">
        <v>505</v>
      </c>
      <c r="H1416" s="33" t="n">
        <v>1</v>
      </c>
      <c r="I1416" s="33" t="n">
        <v>1</v>
      </c>
      <c r="J1416" s="33" t="n">
        <v>1</v>
      </c>
      <c r="K1416" s="32" t="n">
        <v>75</v>
      </c>
      <c r="L1416" s="33" t="str">
        <f aca="false">IF($B1416="","",IFERROR(INDEX('Code Mapping'!$D$5:$D$1753,MATCH($B1416,'Code Mapping'!$A$5:$A$1753,0)),"Unmapped"))</f>
        <v>Unmapped</v>
      </c>
      <c r="M1416" s="33" t="str">
        <f aca="false">IF($B1416="","",IFERROR(INDEX('Code Mapping'!$E$5:$E$1753,MATCH($B1416,'Code Mapping'!$A$5:$A$1753,0)),"Unmapped"))</f>
        <v>Unmapped</v>
      </c>
      <c r="N1416" s="33" t="str">
        <f aca="false">IF($F1416="","",$F1416)</f>
        <v>InflataCity</v>
      </c>
    </row>
    <row r="1417" customFormat="false" ht="15" hidden="false" customHeight="false" outlineLevel="0" collapsed="false">
      <c r="A1417" s="33" t="n">
        <v>2409</v>
      </c>
      <c r="B1417" s="33" t="s">
        <v>941</v>
      </c>
      <c r="C1417" s="33" t="s">
        <v>823</v>
      </c>
      <c r="D1417" s="33"/>
      <c r="E1417" s="33" t="n">
        <v>55</v>
      </c>
      <c r="F1417" s="33" t="s">
        <v>2160</v>
      </c>
      <c r="G1417" s="33" t="s">
        <v>505</v>
      </c>
      <c r="H1417" s="33" t="n">
        <v>1</v>
      </c>
      <c r="I1417" s="33" t="n">
        <v>1</v>
      </c>
      <c r="J1417" s="33" t="n">
        <v>1</v>
      </c>
      <c r="K1417" s="32" t="n">
        <v>300</v>
      </c>
      <c r="L1417" s="33" t="str">
        <f aca="false">IF($B1417="","",IFERROR(INDEX('Code Mapping'!$D$5:$D$1753,MATCH($B1417,'Code Mapping'!$A$5:$A$1753,0)),"Unmapped"))</f>
        <v>Unmapped</v>
      </c>
      <c r="M1417" s="33" t="str">
        <f aca="false">IF($B1417="","",IFERROR(INDEX('Code Mapping'!$E$5:$E$1753,MATCH($B1417,'Code Mapping'!$A$5:$A$1753,0)),"Unmapped"))</f>
        <v>Unmapped</v>
      </c>
      <c r="N1417" s="33" t="str">
        <f aca="false">IF($F1417="","",$F1417)</f>
        <v>InflataCity</v>
      </c>
    </row>
    <row r="1418" customFormat="false" ht="15" hidden="false" customHeight="false" outlineLevel="0" collapsed="false">
      <c r="A1418" s="33" t="n">
        <v>2199</v>
      </c>
      <c r="B1418" s="33" t="s">
        <v>940</v>
      </c>
      <c r="C1418" s="33" t="s">
        <v>827</v>
      </c>
      <c r="D1418" s="33"/>
      <c r="E1418" s="33" t="n">
        <v>55</v>
      </c>
      <c r="F1418" s="33" t="s">
        <v>2160</v>
      </c>
      <c r="G1418" s="33" t="s">
        <v>505</v>
      </c>
      <c r="H1418" s="33" t="n">
        <v>1</v>
      </c>
      <c r="I1418" s="33" t="n">
        <v>1</v>
      </c>
      <c r="J1418" s="33" t="n">
        <v>1</v>
      </c>
      <c r="K1418" s="32" t="n">
        <v>75</v>
      </c>
      <c r="L1418" s="33" t="str">
        <f aca="false">IF($B1418="","",IFERROR(INDEX('Code Mapping'!$D$5:$D$1753,MATCH($B1418,'Code Mapping'!$A$5:$A$1753,0)),"Unmapped"))</f>
        <v>Unmapped</v>
      </c>
      <c r="M1418" s="33" t="str">
        <f aca="false">IF($B1418="","",IFERROR(INDEX('Code Mapping'!$E$5:$E$1753,MATCH($B1418,'Code Mapping'!$A$5:$A$1753,0)),"Unmapped"))</f>
        <v>Unmapped</v>
      </c>
      <c r="N1418" s="33" t="str">
        <f aca="false">IF($F1418="","",$F1418)</f>
        <v>InflataCity</v>
      </c>
    </row>
    <row r="1419" customFormat="false" ht="15" hidden="false" customHeight="false" outlineLevel="0" collapsed="false">
      <c r="A1419" s="33" t="n">
        <v>2797</v>
      </c>
      <c r="B1419" s="33" t="s">
        <v>939</v>
      </c>
      <c r="C1419" s="33" t="s">
        <v>825</v>
      </c>
      <c r="D1419" s="33"/>
      <c r="E1419" s="33" t="n">
        <v>55</v>
      </c>
      <c r="F1419" s="33" t="s">
        <v>2160</v>
      </c>
      <c r="G1419" s="33" t="s">
        <v>505</v>
      </c>
      <c r="H1419" s="33" t="n">
        <v>1</v>
      </c>
      <c r="I1419" s="33" t="n">
        <v>1</v>
      </c>
      <c r="J1419" s="33" t="n">
        <v>1</v>
      </c>
      <c r="K1419" s="32" t="n">
        <v>75</v>
      </c>
      <c r="L1419" s="33" t="str">
        <f aca="false">IF($B1419="","",IFERROR(INDEX('Code Mapping'!$D$5:$D$1753,MATCH($B1419,'Code Mapping'!$A$5:$A$1753,0)),"Unmapped"))</f>
        <v>Unmapped</v>
      </c>
      <c r="M1419" s="33" t="str">
        <f aca="false">IF($B1419="","",IFERROR(INDEX('Code Mapping'!$E$5:$E$1753,MATCH($B1419,'Code Mapping'!$A$5:$A$1753,0)),"Unmapped"))</f>
        <v>Unmapped</v>
      </c>
      <c r="N1419" s="33" t="str">
        <f aca="false">IF($F1419="","",$F1419)</f>
        <v>InflataCity</v>
      </c>
    </row>
    <row r="1420" customFormat="false" ht="15" hidden="false" customHeight="false" outlineLevel="0" collapsed="false">
      <c r="A1420" s="33" t="n">
        <v>2687</v>
      </c>
      <c r="B1420" s="33" t="s">
        <v>936</v>
      </c>
      <c r="C1420" s="33" t="s">
        <v>825</v>
      </c>
      <c r="D1420" s="33"/>
      <c r="E1420" s="33" t="n">
        <v>55</v>
      </c>
      <c r="F1420" s="33" t="s">
        <v>2160</v>
      </c>
      <c r="G1420" s="33" t="s">
        <v>505</v>
      </c>
      <c r="H1420" s="33" t="n">
        <v>1</v>
      </c>
      <c r="I1420" s="33" t="n">
        <v>1</v>
      </c>
      <c r="J1420" s="33" t="n">
        <v>1</v>
      </c>
      <c r="K1420" s="32" t="n">
        <v>75</v>
      </c>
      <c r="L1420" s="33" t="str">
        <f aca="false">IF($B1420="","",IFERROR(INDEX('Code Mapping'!$D$5:$D$1753,MATCH($B1420,'Code Mapping'!$A$5:$A$1753,0)),"Unmapped"))</f>
        <v>Unmapped</v>
      </c>
      <c r="M1420" s="33" t="str">
        <f aca="false">IF($B1420="","",IFERROR(INDEX('Code Mapping'!$E$5:$E$1753,MATCH($B1420,'Code Mapping'!$A$5:$A$1753,0)),"Unmapped"))</f>
        <v>Unmapped</v>
      </c>
      <c r="N1420" s="33" t="str">
        <f aca="false">IF($F1420="","",$F1420)</f>
        <v>InflataCity</v>
      </c>
    </row>
    <row r="1421" customFormat="false" ht="15" hidden="false" customHeight="false" outlineLevel="0" collapsed="false">
      <c r="A1421" s="33" t="n">
        <v>2449</v>
      </c>
      <c r="B1421" s="33" t="s">
        <v>980</v>
      </c>
      <c r="C1421" s="33" t="s">
        <v>823</v>
      </c>
      <c r="D1421" s="33"/>
      <c r="E1421" s="33" t="n">
        <v>55</v>
      </c>
      <c r="F1421" s="33" t="s">
        <v>2160</v>
      </c>
      <c r="G1421" s="33" t="s">
        <v>505</v>
      </c>
      <c r="H1421" s="33" t="n">
        <v>1</v>
      </c>
      <c r="I1421" s="33" t="n">
        <v>1</v>
      </c>
      <c r="J1421" s="33" t="n">
        <v>1</v>
      </c>
      <c r="K1421" s="32" t="n">
        <v>300</v>
      </c>
      <c r="L1421" s="33" t="str">
        <f aca="false">IF($B1421="","",IFERROR(INDEX('Code Mapping'!$D$5:$D$1753,MATCH($B1421,'Code Mapping'!$A$5:$A$1753,0)),"Unmapped"))</f>
        <v>Unmapped</v>
      </c>
      <c r="M1421" s="33" t="str">
        <f aca="false">IF($B1421="","",IFERROR(INDEX('Code Mapping'!$E$5:$E$1753,MATCH($B1421,'Code Mapping'!$A$5:$A$1753,0)),"Unmapped"))</f>
        <v>Unmapped</v>
      </c>
      <c r="N1421" s="33" t="str">
        <f aca="false">IF($F1421="","",$F1421)</f>
        <v>InflataCity</v>
      </c>
    </row>
    <row r="1422" customFormat="false" ht="15" hidden="false" customHeight="false" outlineLevel="0" collapsed="false">
      <c r="A1422" s="33" t="n">
        <v>2423</v>
      </c>
      <c r="B1422" s="33" t="s">
        <v>933</v>
      </c>
      <c r="C1422" s="33" t="s">
        <v>823</v>
      </c>
      <c r="D1422" s="33"/>
      <c r="E1422" s="33" t="n">
        <v>55</v>
      </c>
      <c r="F1422" s="33" t="s">
        <v>2160</v>
      </c>
      <c r="G1422" s="33" t="s">
        <v>505</v>
      </c>
      <c r="H1422" s="33" t="n">
        <v>1</v>
      </c>
      <c r="I1422" s="33" t="n">
        <v>1</v>
      </c>
      <c r="J1422" s="33" t="n">
        <v>1</v>
      </c>
      <c r="K1422" s="32" t="n">
        <v>300</v>
      </c>
      <c r="L1422" s="33" t="str">
        <f aca="false">IF($B1422="","",IFERROR(INDEX('Code Mapping'!$D$5:$D$1753,MATCH($B1422,'Code Mapping'!$A$5:$A$1753,0)),"Unmapped"))</f>
        <v>Unmapped</v>
      </c>
      <c r="M1422" s="33" t="str">
        <f aca="false">IF($B1422="","",IFERROR(INDEX('Code Mapping'!$E$5:$E$1753,MATCH($B1422,'Code Mapping'!$A$5:$A$1753,0)),"Unmapped"))</f>
        <v>Unmapped</v>
      </c>
      <c r="N1422" s="33" t="str">
        <f aca="false">IF($F1422="","",$F1422)</f>
        <v>InflataCity</v>
      </c>
    </row>
    <row r="1423" customFormat="false" ht="15" hidden="false" customHeight="false" outlineLevel="0" collapsed="false">
      <c r="A1423" s="33" t="n">
        <v>2274</v>
      </c>
      <c r="B1423" s="33" t="s">
        <v>932</v>
      </c>
      <c r="C1423" s="33" t="s">
        <v>827</v>
      </c>
      <c r="D1423" s="33"/>
      <c r="E1423" s="33" t="n">
        <v>55</v>
      </c>
      <c r="F1423" s="33" t="s">
        <v>2160</v>
      </c>
      <c r="G1423" s="33" t="s">
        <v>505</v>
      </c>
      <c r="H1423" s="33" t="n">
        <v>1</v>
      </c>
      <c r="I1423" s="33" t="n">
        <v>1</v>
      </c>
      <c r="J1423" s="33" t="n">
        <v>1</v>
      </c>
      <c r="K1423" s="32" t="n">
        <v>75</v>
      </c>
      <c r="L1423" s="33" t="str">
        <f aca="false">IF($B1423="","",IFERROR(INDEX('Code Mapping'!$D$5:$D$1753,MATCH($B1423,'Code Mapping'!$A$5:$A$1753,0)),"Unmapped"))</f>
        <v>Unmapped</v>
      </c>
      <c r="M1423" s="33" t="str">
        <f aca="false">IF($B1423="","",IFERROR(INDEX('Code Mapping'!$E$5:$E$1753,MATCH($B1423,'Code Mapping'!$A$5:$A$1753,0)),"Unmapped"))</f>
        <v>Unmapped</v>
      </c>
      <c r="N1423" s="33" t="str">
        <f aca="false">IF($F1423="","",$F1423)</f>
        <v>InflataCity</v>
      </c>
    </row>
    <row r="1424" customFormat="false" ht="15" hidden="false" customHeight="false" outlineLevel="0" collapsed="false">
      <c r="A1424" s="33" t="n">
        <v>2665</v>
      </c>
      <c r="B1424" s="33" t="s">
        <v>931</v>
      </c>
      <c r="C1424" s="33" t="s">
        <v>825</v>
      </c>
      <c r="D1424" s="33"/>
      <c r="E1424" s="33" t="n">
        <v>55</v>
      </c>
      <c r="F1424" s="33" t="s">
        <v>2160</v>
      </c>
      <c r="G1424" s="33" t="s">
        <v>505</v>
      </c>
      <c r="H1424" s="33" t="n">
        <v>1</v>
      </c>
      <c r="I1424" s="33" t="n">
        <v>1</v>
      </c>
      <c r="J1424" s="33" t="n">
        <v>1</v>
      </c>
      <c r="K1424" s="32" t="n">
        <v>75</v>
      </c>
      <c r="L1424" s="33" t="str">
        <f aca="false">IF($B1424="","",IFERROR(INDEX('Code Mapping'!$D$5:$D$1753,MATCH($B1424,'Code Mapping'!$A$5:$A$1753,0)),"Unmapped"))</f>
        <v>Unmapped</v>
      </c>
      <c r="M1424" s="33" t="str">
        <f aca="false">IF($B1424="","",IFERROR(INDEX('Code Mapping'!$E$5:$E$1753,MATCH($B1424,'Code Mapping'!$A$5:$A$1753,0)),"Unmapped"))</f>
        <v>Unmapped</v>
      </c>
      <c r="N1424" s="33" t="str">
        <f aca="false">IF($F1424="","",$F1424)</f>
        <v>InflataCity</v>
      </c>
    </row>
    <row r="1425" customFormat="false" ht="15" hidden="false" customHeight="false" outlineLevel="0" collapsed="false">
      <c r="A1425" s="33" t="n">
        <v>2410</v>
      </c>
      <c r="B1425" s="33" t="s">
        <v>930</v>
      </c>
      <c r="C1425" s="33" t="s">
        <v>823</v>
      </c>
      <c r="D1425" s="33"/>
      <c r="E1425" s="33" t="n">
        <v>55</v>
      </c>
      <c r="F1425" s="33" t="s">
        <v>2160</v>
      </c>
      <c r="G1425" s="33" t="s">
        <v>505</v>
      </c>
      <c r="H1425" s="33" t="n">
        <v>1</v>
      </c>
      <c r="I1425" s="33" t="n">
        <v>1</v>
      </c>
      <c r="J1425" s="33" t="n">
        <v>1</v>
      </c>
      <c r="K1425" s="32" t="n">
        <v>300</v>
      </c>
      <c r="L1425" s="33" t="str">
        <f aca="false">IF($B1425="","",IFERROR(INDEX('Code Mapping'!$D$5:$D$1753,MATCH($B1425,'Code Mapping'!$A$5:$A$1753,0)),"Unmapped"))</f>
        <v>Unmapped</v>
      </c>
      <c r="M1425" s="33" t="str">
        <f aca="false">IF($B1425="","",IFERROR(INDEX('Code Mapping'!$E$5:$E$1753,MATCH($B1425,'Code Mapping'!$A$5:$A$1753,0)),"Unmapped"))</f>
        <v>Unmapped</v>
      </c>
      <c r="N1425" s="33" t="str">
        <f aca="false">IF($F1425="","",$F1425)</f>
        <v>InflataCity</v>
      </c>
    </row>
    <row r="1426" customFormat="false" ht="15" hidden="false" customHeight="false" outlineLevel="0" collapsed="false">
      <c r="A1426" s="33" t="n">
        <v>2426</v>
      </c>
      <c r="B1426" s="33" t="s">
        <v>929</v>
      </c>
      <c r="C1426" s="33" t="s">
        <v>823</v>
      </c>
      <c r="D1426" s="33"/>
      <c r="E1426" s="33" t="n">
        <v>55</v>
      </c>
      <c r="F1426" s="33" t="s">
        <v>2160</v>
      </c>
      <c r="G1426" s="33" t="s">
        <v>505</v>
      </c>
      <c r="H1426" s="33" t="n">
        <v>1</v>
      </c>
      <c r="I1426" s="33" t="n">
        <v>1</v>
      </c>
      <c r="J1426" s="33" t="n">
        <v>1</v>
      </c>
      <c r="K1426" s="32" t="n">
        <v>300</v>
      </c>
      <c r="L1426" s="33" t="str">
        <f aca="false">IF($B1426="","",IFERROR(INDEX('Code Mapping'!$D$5:$D$1753,MATCH($B1426,'Code Mapping'!$A$5:$A$1753,0)),"Unmapped"))</f>
        <v>Unmapped</v>
      </c>
      <c r="M1426" s="33" t="str">
        <f aca="false">IF($B1426="","",IFERROR(INDEX('Code Mapping'!$E$5:$E$1753,MATCH($B1426,'Code Mapping'!$A$5:$A$1753,0)),"Unmapped"))</f>
        <v>Unmapped</v>
      </c>
      <c r="N1426" s="33" t="str">
        <f aca="false">IF($F1426="","",$F1426)</f>
        <v>InflataCity</v>
      </c>
    </row>
    <row r="1427" customFormat="false" ht="15" hidden="false" customHeight="false" outlineLevel="0" collapsed="false">
      <c r="A1427" s="33" t="n">
        <v>2473</v>
      </c>
      <c r="B1427" s="33" t="s">
        <v>928</v>
      </c>
      <c r="C1427" s="33" t="s">
        <v>823</v>
      </c>
      <c r="D1427" s="33"/>
      <c r="E1427" s="33" t="n">
        <v>55</v>
      </c>
      <c r="F1427" s="33" t="s">
        <v>2160</v>
      </c>
      <c r="G1427" s="33" t="s">
        <v>505</v>
      </c>
      <c r="H1427" s="33" t="n">
        <v>1</v>
      </c>
      <c r="I1427" s="33" t="n">
        <v>1</v>
      </c>
      <c r="J1427" s="33" t="n">
        <v>1</v>
      </c>
      <c r="K1427" s="32" t="n">
        <v>300</v>
      </c>
      <c r="L1427" s="33" t="str">
        <f aca="false">IF($B1427="","",IFERROR(INDEX('Code Mapping'!$D$5:$D$1753,MATCH($B1427,'Code Mapping'!$A$5:$A$1753,0)),"Unmapped"))</f>
        <v>Unmapped</v>
      </c>
      <c r="M1427" s="33" t="str">
        <f aca="false">IF($B1427="","",IFERROR(INDEX('Code Mapping'!$E$5:$E$1753,MATCH($B1427,'Code Mapping'!$A$5:$A$1753,0)),"Unmapped"))</f>
        <v>Unmapped</v>
      </c>
      <c r="N1427" s="33" t="str">
        <f aca="false">IF($F1427="","",$F1427)</f>
        <v>InflataCity</v>
      </c>
    </row>
    <row r="1428" customFormat="false" ht="15" hidden="false" customHeight="false" outlineLevel="0" collapsed="false">
      <c r="A1428" s="33" t="n">
        <v>2466</v>
      </c>
      <c r="B1428" s="33" t="s">
        <v>927</v>
      </c>
      <c r="C1428" s="33" t="s">
        <v>823</v>
      </c>
      <c r="D1428" s="33"/>
      <c r="E1428" s="33" t="n">
        <v>55</v>
      </c>
      <c r="F1428" s="33" t="s">
        <v>2160</v>
      </c>
      <c r="G1428" s="33" t="s">
        <v>505</v>
      </c>
      <c r="H1428" s="33" t="n">
        <v>1</v>
      </c>
      <c r="I1428" s="33" t="n">
        <v>1</v>
      </c>
      <c r="J1428" s="33" t="n">
        <v>1</v>
      </c>
      <c r="K1428" s="32" t="n">
        <v>300</v>
      </c>
      <c r="L1428" s="33" t="str">
        <f aca="false">IF($B1428="","",IFERROR(INDEX('Code Mapping'!$D$5:$D$1753,MATCH($B1428,'Code Mapping'!$A$5:$A$1753,0)),"Unmapped"))</f>
        <v>Unmapped</v>
      </c>
      <c r="M1428" s="33" t="str">
        <f aca="false">IF($B1428="","",IFERROR(INDEX('Code Mapping'!$E$5:$E$1753,MATCH($B1428,'Code Mapping'!$A$5:$A$1753,0)),"Unmapped"))</f>
        <v>Unmapped</v>
      </c>
      <c r="N1428" s="33" t="str">
        <f aca="false">IF($F1428="","",$F1428)</f>
        <v>InflataCity</v>
      </c>
    </row>
    <row r="1429" customFormat="false" ht="15" hidden="false" customHeight="false" outlineLevel="0" collapsed="false">
      <c r="A1429" s="33" t="n">
        <v>2805</v>
      </c>
      <c r="B1429" s="33" t="s">
        <v>924</v>
      </c>
      <c r="C1429" s="33" t="s">
        <v>825</v>
      </c>
      <c r="D1429" s="33"/>
      <c r="E1429" s="33" t="n">
        <v>55</v>
      </c>
      <c r="F1429" s="33" t="s">
        <v>2160</v>
      </c>
      <c r="G1429" s="33" t="s">
        <v>505</v>
      </c>
      <c r="H1429" s="33" t="n">
        <v>1</v>
      </c>
      <c r="I1429" s="33" t="n">
        <v>1</v>
      </c>
      <c r="J1429" s="33" t="n">
        <v>1</v>
      </c>
      <c r="K1429" s="32" t="n">
        <v>75</v>
      </c>
      <c r="L1429" s="33" t="str">
        <f aca="false">IF($B1429="","",IFERROR(INDEX('Code Mapping'!$D$5:$D$1753,MATCH($B1429,'Code Mapping'!$A$5:$A$1753,0)),"Unmapped"))</f>
        <v>Unmapped</v>
      </c>
      <c r="M1429" s="33" t="str">
        <f aca="false">IF($B1429="","",IFERROR(INDEX('Code Mapping'!$E$5:$E$1753,MATCH($B1429,'Code Mapping'!$A$5:$A$1753,0)),"Unmapped"))</f>
        <v>Unmapped</v>
      </c>
      <c r="N1429" s="33" t="str">
        <f aca="false">IF($F1429="","",$F1429)</f>
        <v>InflataCity</v>
      </c>
    </row>
    <row r="1430" customFormat="false" ht="15" hidden="false" customHeight="false" outlineLevel="0" collapsed="false">
      <c r="A1430" s="33" t="n">
        <v>2265</v>
      </c>
      <c r="B1430" s="33" t="s">
        <v>951</v>
      </c>
      <c r="C1430" s="33" t="s">
        <v>827</v>
      </c>
      <c r="D1430" s="33"/>
      <c r="E1430" s="33" t="n">
        <v>55</v>
      </c>
      <c r="F1430" s="33" t="s">
        <v>2160</v>
      </c>
      <c r="G1430" s="33" t="s">
        <v>505</v>
      </c>
      <c r="H1430" s="33" t="n">
        <v>1</v>
      </c>
      <c r="I1430" s="33" t="n">
        <v>1</v>
      </c>
      <c r="J1430" s="33" t="n">
        <v>1</v>
      </c>
      <c r="K1430" s="32" t="n">
        <v>75</v>
      </c>
      <c r="L1430" s="33" t="str">
        <f aca="false">IF($B1430="","",IFERROR(INDEX('Code Mapping'!$D$5:$D$1753,MATCH($B1430,'Code Mapping'!$A$5:$A$1753,0)),"Unmapped"))</f>
        <v>Unmapped</v>
      </c>
      <c r="M1430" s="33" t="str">
        <f aca="false">IF($B1430="","",IFERROR(INDEX('Code Mapping'!$E$5:$E$1753,MATCH($B1430,'Code Mapping'!$A$5:$A$1753,0)),"Unmapped"))</f>
        <v>Unmapped</v>
      </c>
      <c r="N1430" s="33" t="str">
        <f aca="false">IF($F1430="","",$F1430)</f>
        <v>InflataCity</v>
      </c>
    </row>
    <row r="1431" customFormat="false" ht="15" hidden="false" customHeight="false" outlineLevel="0" collapsed="false">
      <c r="A1431" s="33" t="n">
        <v>2452</v>
      </c>
      <c r="B1431" s="33" t="s">
        <v>953</v>
      </c>
      <c r="C1431" s="33" t="s">
        <v>823</v>
      </c>
      <c r="D1431" s="33"/>
      <c r="E1431" s="33" t="n">
        <v>55</v>
      </c>
      <c r="F1431" s="33" t="s">
        <v>2160</v>
      </c>
      <c r="G1431" s="33" t="s">
        <v>505</v>
      </c>
      <c r="H1431" s="33" t="n">
        <v>1</v>
      </c>
      <c r="I1431" s="33" t="n">
        <v>1</v>
      </c>
      <c r="J1431" s="33" t="n">
        <v>1</v>
      </c>
      <c r="K1431" s="32" t="n">
        <v>300</v>
      </c>
      <c r="L1431" s="33" t="str">
        <f aca="false">IF($B1431="","",IFERROR(INDEX('Code Mapping'!$D$5:$D$1753,MATCH($B1431,'Code Mapping'!$A$5:$A$1753,0)),"Unmapped"))</f>
        <v>Unmapped</v>
      </c>
      <c r="M1431" s="33" t="str">
        <f aca="false">IF($B1431="","",IFERROR(INDEX('Code Mapping'!$E$5:$E$1753,MATCH($B1431,'Code Mapping'!$A$5:$A$1753,0)),"Unmapped"))</f>
        <v>Unmapped</v>
      </c>
      <c r="N1431" s="33" t="str">
        <f aca="false">IF($F1431="","",$F1431)</f>
        <v>InflataCity</v>
      </c>
    </row>
    <row r="1432" customFormat="false" ht="15" hidden="false" customHeight="false" outlineLevel="0" collapsed="false">
      <c r="A1432" s="33" t="n">
        <v>2302</v>
      </c>
      <c r="B1432" s="33" t="s">
        <v>954</v>
      </c>
      <c r="C1432" s="33" t="s">
        <v>827</v>
      </c>
      <c r="D1432" s="33"/>
      <c r="E1432" s="33" t="n">
        <v>55</v>
      </c>
      <c r="F1432" s="33" t="s">
        <v>2160</v>
      </c>
      <c r="G1432" s="33" t="s">
        <v>505</v>
      </c>
      <c r="H1432" s="33" t="n">
        <v>1</v>
      </c>
      <c r="I1432" s="33" t="n">
        <v>1</v>
      </c>
      <c r="J1432" s="33" t="n">
        <v>1</v>
      </c>
      <c r="K1432" s="32" t="n">
        <v>75</v>
      </c>
      <c r="L1432" s="33" t="str">
        <f aca="false">IF($B1432="","",IFERROR(INDEX('Code Mapping'!$D$5:$D$1753,MATCH($B1432,'Code Mapping'!$A$5:$A$1753,0)),"Unmapped"))</f>
        <v>Unmapped</v>
      </c>
      <c r="M1432" s="33" t="str">
        <f aca="false">IF($B1432="","",IFERROR(INDEX('Code Mapping'!$E$5:$E$1753,MATCH($B1432,'Code Mapping'!$A$5:$A$1753,0)),"Unmapped"))</f>
        <v>Unmapped</v>
      </c>
      <c r="N1432" s="33" t="str">
        <f aca="false">IF($F1432="","",$F1432)</f>
        <v>InflataCity</v>
      </c>
    </row>
    <row r="1433" customFormat="false" ht="15" hidden="false" customHeight="false" outlineLevel="0" collapsed="false">
      <c r="A1433" s="33" t="n">
        <v>2474</v>
      </c>
      <c r="B1433" s="33" t="s">
        <v>955</v>
      </c>
      <c r="C1433" s="33" t="s">
        <v>823</v>
      </c>
      <c r="D1433" s="33"/>
      <c r="E1433" s="33" t="n">
        <v>55</v>
      </c>
      <c r="F1433" s="33" t="s">
        <v>2160</v>
      </c>
      <c r="G1433" s="33" t="s">
        <v>505</v>
      </c>
      <c r="H1433" s="33" t="n">
        <v>1</v>
      </c>
      <c r="I1433" s="33" t="n">
        <v>1</v>
      </c>
      <c r="J1433" s="33" t="n">
        <v>1</v>
      </c>
      <c r="K1433" s="32" t="n">
        <v>300</v>
      </c>
      <c r="L1433" s="33" t="str">
        <f aca="false">IF($B1433="","",IFERROR(INDEX('Code Mapping'!$D$5:$D$1753,MATCH($B1433,'Code Mapping'!$A$5:$A$1753,0)),"Unmapped"))</f>
        <v>Unmapped</v>
      </c>
      <c r="M1433" s="33" t="str">
        <f aca="false">IF($B1433="","",IFERROR(INDEX('Code Mapping'!$E$5:$E$1753,MATCH($B1433,'Code Mapping'!$A$5:$A$1753,0)),"Unmapped"))</f>
        <v>Unmapped</v>
      </c>
      <c r="N1433" s="33" t="str">
        <f aca="false">IF($F1433="","",$F1433)</f>
        <v>InflataCity</v>
      </c>
    </row>
    <row r="1434" customFormat="false" ht="15" hidden="false" customHeight="false" outlineLevel="0" collapsed="false">
      <c r="A1434" s="33" t="n">
        <v>2800</v>
      </c>
      <c r="B1434" s="33" t="s">
        <v>979</v>
      </c>
      <c r="C1434" s="33" t="s">
        <v>825</v>
      </c>
      <c r="D1434" s="33"/>
      <c r="E1434" s="33" t="n">
        <v>55</v>
      </c>
      <c r="F1434" s="33" t="s">
        <v>2160</v>
      </c>
      <c r="G1434" s="33" t="s">
        <v>505</v>
      </c>
      <c r="H1434" s="33" t="n">
        <v>1</v>
      </c>
      <c r="I1434" s="33" t="n">
        <v>1</v>
      </c>
      <c r="J1434" s="33" t="n">
        <v>1</v>
      </c>
      <c r="K1434" s="32" t="n">
        <v>75</v>
      </c>
      <c r="L1434" s="33" t="str">
        <f aca="false">IF($B1434="","",IFERROR(INDEX('Code Mapping'!$D$5:$D$1753,MATCH($B1434,'Code Mapping'!$A$5:$A$1753,0)),"Unmapped"))</f>
        <v>Unmapped</v>
      </c>
      <c r="M1434" s="33" t="str">
        <f aca="false">IF($B1434="","",IFERROR(INDEX('Code Mapping'!$E$5:$E$1753,MATCH($B1434,'Code Mapping'!$A$5:$A$1753,0)),"Unmapped"))</f>
        <v>Unmapped</v>
      </c>
      <c r="N1434" s="33" t="str">
        <f aca="false">IF($F1434="","",$F1434)</f>
        <v>InflataCity</v>
      </c>
    </row>
    <row r="1435" customFormat="false" ht="15" hidden="false" customHeight="false" outlineLevel="0" collapsed="false">
      <c r="A1435" s="33" t="n">
        <v>2269</v>
      </c>
      <c r="B1435" s="33" t="s">
        <v>977</v>
      </c>
      <c r="C1435" s="33" t="s">
        <v>827</v>
      </c>
      <c r="D1435" s="33"/>
      <c r="E1435" s="33" t="n">
        <v>55</v>
      </c>
      <c r="F1435" s="33" t="s">
        <v>2160</v>
      </c>
      <c r="G1435" s="33" t="s">
        <v>505</v>
      </c>
      <c r="H1435" s="33" t="n">
        <v>1</v>
      </c>
      <c r="I1435" s="33" t="n">
        <v>1</v>
      </c>
      <c r="J1435" s="33" t="n">
        <v>1</v>
      </c>
      <c r="K1435" s="32" t="n">
        <v>75</v>
      </c>
      <c r="L1435" s="33" t="str">
        <f aca="false">IF($B1435="","",IFERROR(INDEX('Code Mapping'!$D$5:$D$1753,MATCH($B1435,'Code Mapping'!$A$5:$A$1753,0)),"Unmapped"))</f>
        <v>Unmapped</v>
      </c>
      <c r="M1435" s="33" t="str">
        <f aca="false">IF($B1435="","",IFERROR(INDEX('Code Mapping'!$E$5:$E$1753,MATCH($B1435,'Code Mapping'!$A$5:$A$1753,0)),"Unmapped"))</f>
        <v>Unmapped</v>
      </c>
      <c r="N1435" s="33" t="str">
        <f aca="false">IF($F1435="","",$F1435)</f>
        <v>InflataCity</v>
      </c>
    </row>
    <row r="1436" customFormat="false" ht="15" hidden="false" customHeight="false" outlineLevel="0" collapsed="false">
      <c r="A1436" s="33" t="n">
        <v>2442</v>
      </c>
      <c r="B1436" s="33" t="s">
        <v>976</v>
      </c>
      <c r="C1436" s="33" t="s">
        <v>823</v>
      </c>
      <c r="D1436" s="33"/>
      <c r="E1436" s="33" t="n">
        <v>55</v>
      </c>
      <c r="F1436" s="33" t="s">
        <v>2160</v>
      </c>
      <c r="G1436" s="33" t="s">
        <v>505</v>
      </c>
      <c r="H1436" s="33" t="n">
        <v>1</v>
      </c>
      <c r="I1436" s="33" t="n">
        <v>1</v>
      </c>
      <c r="J1436" s="33" t="n">
        <v>1</v>
      </c>
      <c r="K1436" s="32" t="n">
        <v>300</v>
      </c>
      <c r="L1436" s="33" t="str">
        <f aca="false">IF($B1436="","",IFERROR(INDEX('Code Mapping'!$D$5:$D$1753,MATCH($B1436,'Code Mapping'!$A$5:$A$1753,0)),"Unmapped"))</f>
        <v>Unmapped</v>
      </c>
      <c r="M1436" s="33" t="str">
        <f aca="false">IF($B1436="","",IFERROR(INDEX('Code Mapping'!$E$5:$E$1753,MATCH($B1436,'Code Mapping'!$A$5:$A$1753,0)),"Unmapped"))</f>
        <v>Unmapped</v>
      </c>
      <c r="N1436" s="33" t="str">
        <f aca="false">IF($F1436="","",$F1436)</f>
        <v>InflataCity</v>
      </c>
    </row>
    <row r="1437" customFormat="false" ht="15" hidden="false" customHeight="false" outlineLevel="0" collapsed="false">
      <c r="A1437" s="33" t="n">
        <v>2310</v>
      </c>
      <c r="B1437" s="33" t="s">
        <v>975</v>
      </c>
      <c r="C1437" s="33" t="s">
        <v>827</v>
      </c>
      <c r="D1437" s="33"/>
      <c r="E1437" s="33" t="n">
        <v>55</v>
      </c>
      <c r="F1437" s="33" t="s">
        <v>2160</v>
      </c>
      <c r="G1437" s="33" t="s">
        <v>505</v>
      </c>
      <c r="H1437" s="33" t="n">
        <v>1</v>
      </c>
      <c r="I1437" s="33" t="n">
        <v>1</v>
      </c>
      <c r="J1437" s="33" t="n">
        <v>1</v>
      </c>
      <c r="K1437" s="32" t="n">
        <v>75</v>
      </c>
      <c r="L1437" s="33" t="str">
        <f aca="false">IF($B1437="","",IFERROR(INDEX('Code Mapping'!$D$5:$D$1753,MATCH($B1437,'Code Mapping'!$A$5:$A$1753,0)),"Unmapped"))</f>
        <v>Unmapped</v>
      </c>
      <c r="M1437" s="33" t="str">
        <f aca="false">IF($B1437="","",IFERROR(INDEX('Code Mapping'!$E$5:$E$1753,MATCH($B1437,'Code Mapping'!$A$5:$A$1753,0)),"Unmapped"))</f>
        <v>Unmapped</v>
      </c>
      <c r="N1437" s="33" t="str">
        <f aca="false">IF($F1437="","",$F1437)</f>
        <v>InflataCity</v>
      </c>
    </row>
    <row r="1438" customFormat="false" ht="15" hidden="false" customHeight="false" outlineLevel="0" collapsed="false">
      <c r="A1438" s="33" t="n">
        <v>2303</v>
      </c>
      <c r="B1438" s="33" t="s">
        <v>973</v>
      </c>
      <c r="C1438" s="33" t="s">
        <v>827</v>
      </c>
      <c r="D1438" s="33"/>
      <c r="E1438" s="33" t="n">
        <v>55</v>
      </c>
      <c r="F1438" s="33" t="s">
        <v>2160</v>
      </c>
      <c r="G1438" s="33" t="s">
        <v>505</v>
      </c>
      <c r="H1438" s="33" t="n">
        <v>1</v>
      </c>
      <c r="I1438" s="33" t="n">
        <v>1</v>
      </c>
      <c r="J1438" s="33" t="n">
        <v>1</v>
      </c>
      <c r="K1438" s="32" t="n">
        <v>75</v>
      </c>
      <c r="L1438" s="33" t="str">
        <f aca="false">IF($B1438="","",IFERROR(INDEX('Code Mapping'!$D$5:$D$1753,MATCH($B1438,'Code Mapping'!$A$5:$A$1753,0)),"Unmapped"))</f>
        <v>Unmapped</v>
      </c>
      <c r="M1438" s="33" t="str">
        <f aca="false">IF($B1438="","",IFERROR(INDEX('Code Mapping'!$E$5:$E$1753,MATCH($B1438,'Code Mapping'!$A$5:$A$1753,0)),"Unmapped"))</f>
        <v>Unmapped</v>
      </c>
      <c r="N1438" s="33" t="str">
        <f aca="false">IF($F1438="","",$F1438)</f>
        <v>InflataCity</v>
      </c>
    </row>
    <row r="1439" customFormat="false" ht="15" hidden="false" customHeight="false" outlineLevel="0" collapsed="false">
      <c r="A1439" s="33" t="n">
        <v>2689</v>
      </c>
      <c r="B1439" s="33" t="s">
        <v>972</v>
      </c>
      <c r="C1439" s="33" t="s">
        <v>825</v>
      </c>
      <c r="D1439" s="33"/>
      <c r="E1439" s="33" t="n">
        <v>55</v>
      </c>
      <c r="F1439" s="33" t="s">
        <v>2160</v>
      </c>
      <c r="G1439" s="33" t="s">
        <v>505</v>
      </c>
      <c r="H1439" s="33" t="n">
        <v>1</v>
      </c>
      <c r="I1439" s="33" t="n">
        <v>1</v>
      </c>
      <c r="J1439" s="33" t="n">
        <v>1</v>
      </c>
      <c r="K1439" s="32" t="n">
        <v>75</v>
      </c>
      <c r="L1439" s="33" t="str">
        <f aca="false">IF($B1439="","",IFERROR(INDEX('Code Mapping'!$D$5:$D$1753,MATCH($B1439,'Code Mapping'!$A$5:$A$1753,0)),"Unmapped"))</f>
        <v>Unmapped</v>
      </c>
      <c r="M1439" s="33" t="str">
        <f aca="false">IF($B1439="","",IFERROR(INDEX('Code Mapping'!$E$5:$E$1753,MATCH($B1439,'Code Mapping'!$A$5:$A$1753,0)),"Unmapped"))</f>
        <v>Unmapped</v>
      </c>
      <c r="N1439" s="33" t="str">
        <f aca="false">IF($F1439="","",$F1439)</f>
        <v>InflataCity</v>
      </c>
    </row>
    <row r="1440" customFormat="false" ht="15" hidden="false" customHeight="false" outlineLevel="0" collapsed="false">
      <c r="A1440" s="33" t="n">
        <v>2361</v>
      </c>
      <c r="B1440" s="33" t="s">
        <v>971</v>
      </c>
      <c r="C1440" s="33" t="s">
        <v>823</v>
      </c>
      <c r="D1440" s="33"/>
      <c r="E1440" s="33" t="n">
        <v>55</v>
      </c>
      <c r="F1440" s="33" t="s">
        <v>2160</v>
      </c>
      <c r="G1440" s="33" t="s">
        <v>505</v>
      </c>
      <c r="H1440" s="33" t="n">
        <v>1</v>
      </c>
      <c r="I1440" s="33" t="n">
        <v>1</v>
      </c>
      <c r="J1440" s="33" t="n">
        <v>1</v>
      </c>
      <c r="K1440" s="32" t="n">
        <v>300</v>
      </c>
      <c r="L1440" s="33" t="str">
        <f aca="false">IF($B1440="","",IFERROR(INDEX('Code Mapping'!$D$5:$D$1753,MATCH($B1440,'Code Mapping'!$A$5:$A$1753,0)),"Unmapped"))</f>
        <v>Unmapped</v>
      </c>
      <c r="M1440" s="33" t="str">
        <f aca="false">IF($B1440="","",IFERROR(INDEX('Code Mapping'!$E$5:$E$1753,MATCH($B1440,'Code Mapping'!$A$5:$A$1753,0)),"Unmapped"))</f>
        <v>Unmapped</v>
      </c>
      <c r="N1440" s="33" t="str">
        <f aca="false">IF($F1440="","",$F1440)</f>
        <v>InflataCity</v>
      </c>
    </row>
    <row r="1441" customFormat="false" ht="15" hidden="false" customHeight="false" outlineLevel="0" collapsed="false">
      <c r="A1441" s="33" t="n">
        <v>2664</v>
      </c>
      <c r="B1441" s="33" t="s">
        <v>968</v>
      </c>
      <c r="C1441" s="33" t="s">
        <v>825</v>
      </c>
      <c r="D1441" s="33"/>
      <c r="E1441" s="33" t="n">
        <v>55</v>
      </c>
      <c r="F1441" s="33" t="s">
        <v>2160</v>
      </c>
      <c r="G1441" s="33" t="s">
        <v>505</v>
      </c>
      <c r="H1441" s="33" t="n">
        <v>1</v>
      </c>
      <c r="I1441" s="33" t="n">
        <v>1</v>
      </c>
      <c r="J1441" s="33" t="n">
        <v>1</v>
      </c>
      <c r="K1441" s="32" t="n">
        <v>75</v>
      </c>
      <c r="L1441" s="33" t="str">
        <f aca="false">IF($B1441="","",IFERROR(INDEX('Code Mapping'!$D$5:$D$1753,MATCH($B1441,'Code Mapping'!$A$5:$A$1753,0)),"Unmapped"))</f>
        <v>Unmapped</v>
      </c>
      <c r="M1441" s="33" t="str">
        <f aca="false">IF($B1441="","",IFERROR(INDEX('Code Mapping'!$E$5:$E$1753,MATCH($B1441,'Code Mapping'!$A$5:$A$1753,0)),"Unmapped"))</f>
        <v>Unmapped</v>
      </c>
      <c r="N1441" s="33" t="str">
        <f aca="false">IF($F1441="","",$F1441)</f>
        <v>InflataCity</v>
      </c>
    </row>
    <row r="1442" customFormat="false" ht="15" hidden="false" customHeight="false" outlineLevel="0" collapsed="false">
      <c r="A1442" s="33" t="n">
        <v>2370</v>
      </c>
      <c r="B1442" s="33" t="s">
        <v>967</v>
      </c>
      <c r="C1442" s="33" t="s">
        <v>823</v>
      </c>
      <c r="D1442" s="33"/>
      <c r="E1442" s="33" t="n">
        <v>55</v>
      </c>
      <c r="F1442" s="33" t="s">
        <v>2160</v>
      </c>
      <c r="G1442" s="33" t="s">
        <v>505</v>
      </c>
      <c r="H1442" s="33" t="n">
        <v>1</v>
      </c>
      <c r="I1442" s="33" t="n">
        <v>1</v>
      </c>
      <c r="J1442" s="33" t="n">
        <v>1</v>
      </c>
      <c r="K1442" s="32" t="n">
        <v>300</v>
      </c>
      <c r="L1442" s="33" t="str">
        <f aca="false">IF($B1442="","",IFERROR(INDEX('Code Mapping'!$D$5:$D$1753,MATCH($B1442,'Code Mapping'!$A$5:$A$1753,0)),"Unmapped"))</f>
        <v>Unmapped</v>
      </c>
      <c r="M1442" s="33" t="str">
        <f aca="false">IF($B1442="","",IFERROR(INDEX('Code Mapping'!$E$5:$E$1753,MATCH($B1442,'Code Mapping'!$A$5:$A$1753,0)),"Unmapped"))</f>
        <v>Unmapped</v>
      </c>
      <c r="N1442" s="33" t="str">
        <f aca="false">IF($F1442="","",$F1442)</f>
        <v>InflataCity</v>
      </c>
    </row>
    <row r="1443" customFormat="false" ht="15" hidden="false" customHeight="false" outlineLevel="0" collapsed="false">
      <c r="A1443" s="33" t="n">
        <v>2809</v>
      </c>
      <c r="B1443" s="33" t="s">
        <v>966</v>
      </c>
      <c r="C1443" s="33" t="s">
        <v>825</v>
      </c>
      <c r="D1443" s="33"/>
      <c r="E1443" s="33" t="n">
        <v>55</v>
      </c>
      <c r="F1443" s="33" t="s">
        <v>2160</v>
      </c>
      <c r="G1443" s="33" t="s">
        <v>505</v>
      </c>
      <c r="H1443" s="33" t="n">
        <v>1</v>
      </c>
      <c r="I1443" s="33" t="n">
        <v>1</v>
      </c>
      <c r="J1443" s="33" t="n">
        <v>1</v>
      </c>
      <c r="K1443" s="32" t="n">
        <v>75</v>
      </c>
      <c r="L1443" s="33" t="str">
        <f aca="false">IF($B1443="","",IFERROR(INDEX('Code Mapping'!$D$5:$D$1753,MATCH($B1443,'Code Mapping'!$A$5:$A$1753,0)),"Unmapped"))</f>
        <v>Unmapped</v>
      </c>
      <c r="M1443" s="33" t="str">
        <f aca="false">IF($B1443="","",IFERROR(INDEX('Code Mapping'!$E$5:$E$1753,MATCH($B1443,'Code Mapping'!$A$5:$A$1753,0)),"Unmapped"))</f>
        <v>Unmapped</v>
      </c>
      <c r="N1443" s="33" t="str">
        <f aca="false">IF($F1443="","",$F1443)</f>
        <v>InflataCity</v>
      </c>
    </row>
    <row r="1444" customFormat="false" ht="15" hidden="false" customHeight="false" outlineLevel="0" collapsed="false">
      <c r="A1444" s="33" t="n">
        <v>2447</v>
      </c>
      <c r="B1444" s="33" t="s">
        <v>965</v>
      </c>
      <c r="C1444" s="33" t="s">
        <v>823</v>
      </c>
      <c r="D1444" s="33"/>
      <c r="E1444" s="33" t="n">
        <v>55</v>
      </c>
      <c r="F1444" s="33" t="s">
        <v>2160</v>
      </c>
      <c r="G1444" s="33" t="s">
        <v>505</v>
      </c>
      <c r="H1444" s="33" t="n">
        <v>1</v>
      </c>
      <c r="I1444" s="33" t="n">
        <v>1</v>
      </c>
      <c r="J1444" s="33" t="n">
        <v>1</v>
      </c>
      <c r="K1444" s="32" t="n">
        <v>300</v>
      </c>
      <c r="L1444" s="33" t="str">
        <f aca="false">IF($B1444="","",IFERROR(INDEX('Code Mapping'!$D$5:$D$1753,MATCH($B1444,'Code Mapping'!$A$5:$A$1753,0)),"Unmapped"))</f>
        <v>Unmapped</v>
      </c>
      <c r="M1444" s="33" t="str">
        <f aca="false">IF($B1444="","",IFERROR(INDEX('Code Mapping'!$E$5:$E$1753,MATCH($B1444,'Code Mapping'!$A$5:$A$1753,0)),"Unmapped"))</f>
        <v>Unmapped</v>
      </c>
      <c r="N1444" s="33" t="str">
        <f aca="false">IF($F1444="","",$F1444)</f>
        <v>InflataCity</v>
      </c>
    </row>
    <row r="1445" customFormat="false" ht="15" hidden="false" customHeight="false" outlineLevel="0" collapsed="false">
      <c r="A1445" s="33" t="n">
        <v>2422</v>
      </c>
      <c r="B1445" s="33" t="s">
        <v>964</v>
      </c>
      <c r="C1445" s="33" t="s">
        <v>823</v>
      </c>
      <c r="D1445" s="33"/>
      <c r="E1445" s="33" t="n">
        <v>55</v>
      </c>
      <c r="F1445" s="33" t="s">
        <v>2160</v>
      </c>
      <c r="G1445" s="33" t="s">
        <v>505</v>
      </c>
      <c r="H1445" s="33" t="n">
        <v>1</v>
      </c>
      <c r="I1445" s="33" t="n">
        <v>1</v>
      </c>
      <c r="J1445" s="33" t="n">
        <v>1</v>
      </c>
      <c r="K1445" s="32" t="n">
        <v>300</v>
      </c>
      <c r="L1445" s="33" t="str">
        <f aca="false">IF($B1445="","",IFERROR(INDEX('Code Mapping'!$D$5:$D$1753,MATCH($B1445,'Code Mapping'!$A$5:$A$1753,0)),"Unmapped"))</f>
        <v>Unmapped</v>
      </c>
      <c r="M1445" s="33" t="str">
        <f aca="false">IF($B1445="","",IFERROR(INDEX('Code Mapping'!$E$5:$E$1753,MATCH($B1445,'Code Mapping'!$A$5:$A$1753,0)),"Unmapped"))</f>
        <v>Unmapped</v>
      </c>
      <c r="N1445" s="33" t="str">
        <f aca="false">IF($F1445="","",$F1445)</f>
        <v>InflataCity</v>
      </c>
    </row>
    <row r="1446" customFormat="false" ht="15" hidden="false" customHeight="false" outlineLevel="0" collapsed="false">
      <c r="A1446" s="33" t="n">
        <v>2690</v>
      </c>
      <c r="B1446" s="33" t="s">
        <v>963</v>
      </c>
      <c r="C1446" s="33" t="s">
        <v>825</v>
      </c>
      <c r="D1446" s="33"/>
      <c r="E1446" s="33" t="n">
        <v>55</v>
      </c>
      <c r="F1446" s="33" t="s">
        <v>2160</v>
      </c>
      <c r="G1446" s="33" t="s">
        <v>505</v>
      </c>
      <c r="H1446" s="33" t="n">
        <v>1</v>
      </c>
      <c r="I1446" s="33" t="n">
        <v>1</v>
      </c>
      <c r="J1446" s="33" t="n">
        <v>1</v>
      </c>
      <c r="K1446" s="32" t="n">
        <v>75</v>
      </c>
      <c r="L1446" s="33" t="str">
        <f aca="false">IF($B1446="","",IFERROR(INDEX('Code Mapping'!$D$5:$D$1753,MATCH($B1446,'Code Mapping'!$A$5:$A$1753,0)),"Unmapped"))</f>
        <v>Unmapped</v>
      </c>
      <c r="M1446" s="33" t="str">
        <f aca="false">IF($B1446="","",IFERROR(INDEX('Code Mapping'!$E$5:$E$1753,MATCH($B1446,'Code Mapping'!$A$5:$A$1753,0)),"Unmapped"))</f>
        <v>Unmapped</v>
      </c>
      <c r="N1446" s="33" t="str">
        <f aca="false">IF($F1446="","",$F1446)</f>
        <v>InflataCity</v>
      </c>
    </row>
    <row r="1447" customFormat="false" ht="15" hidden="false" customHeight="false" outlineLevel="0" collapsed="false">
      <c r="A1447" s="33" t="n">
        <v>2270</v>
      </c>
      <c r="B1447" s="33" t="s">
        <v>962</v>
      </c>
      <c r="C1447" s="33" t="s">
        <v>827</v>
      </c>
      <c r="D1447" s="33"/>
      <c r="E1447" s="33" t="n">
        <v>55</v>
      </c>
      <c r="F1447" s="33" t="s">
        <v>2160</v>
      </c>
      <c r="G1447" s="33" t="s">
        <v>505</v>
      </c>
      <c r="H1447" s="33" t="n">
        <v>1</v>
      </c>
      <c r="I1447" s="33" t="n">
        <v>1</v>
      </c>
      <c r="J1447" s="33" t="n">
        <v>1</v>
      </c>
      <c r="K1447" s="32" t="n">
        <v>75</v>
      </c>
      <c r="L1447" s="33" t="str">
        <f aca="false">IF($B1447="","",IFERROR(INDEX('Code Mapping'!$D$5:$D$1753,MATCH($B1447,'Code Mapping'!$A$5:$A$1753,0)),"Unmapped"))</f>
        <v>Unmapped</v>
      </c>
      <c r="M1447" s="33" t="str">
        <f aca="false">IF($B1447="","",IFERROR(INDEX('Code Mapping'!$E$5:$E$1753,MATCH($B1447,'Code Mapping'!$A$5:$A$1753,0)),"Unmapped"))</f>
        <v>Unmapped</v>
      </c>
      <c r="N1447" s="33" t="str">
        <f aca="false">IF($F1447="","",$F1447)</f>
        <v>InflataCity</v>
      </c>
    </row>
    <row r="1448" customFormat="false" ht="15" hidden="false" customHeight="false" outlineLevel="0" collapsed="false">
      <c r="A1448" s="33" t="n">
        <v>2418</v>
      </c>
      <c r="B1448" s="33" t="s">
        <v>959</v>
      </c>
      <c r="C1448" s="33" t="s">
        <v>823</v>
      </c>
      <c r="D1448" s="33"/>
      <c r="E1448" s="33" t="n">
        <v>55</v>
      </c>
      <c r="F1448" s="33" t="s">
        <v>2160</v>
      </c>
      <c r="G1448" s="33" t="s">
        <v>505</v>
      </c>
      <c r="H1448" s="33" t="n">
        <v>1</v>
      </c>
      <c r="I1448" s="33" t="n">
        <v>1</v>
      </c>
      <c r="J1448" s="33" t="n">
        <v>1</v>
      </c>
      <c r="K1448" s="32" t="n">
        <v>300</v>
      </c>
      <c r="L1448" s="33" t="str">
        <f aca="false">IF($B1448="","",IFERROR(INDEX('Code Mapping'!$D$5:$D$1753,MATCH($B1448,'Code Mapping'!$A$5:$A$1753,0)),"Unmapped"))</f>
        <v>Unmapped</v>
      </c>
      <c r="M1448" s="33" t="str">
        <f aca="false">IF($B1448="","",IFERROR(INDEX('Code Mapping'!$E$5:$E$1753,MATCH($B1448,'Code Mapping'!$A$5:$A$1753,0)),"Unmapped"))</f>
        <v>Unmapped</v>
      </c>
      <c r="N1448" s="33" t="str">
        <f aca="false">IF($F1448="","",$F1448)</f>
        <v>InflataCity</v>
      </c>
    </row>
    <row r="1449" customFormat="false" ht="15" hidden="false" customHeight="false" outlineLevel="0" collapsed="false">
      <c r="A1449" s="33" t="n">
        <v>2769</v>
      </c>
      <c r="B1449" s="33" t="s">
        <v>957</v>
      </c>
      <c r="C1449" s="33" t="s">
        <v>825</v>
      </c>
      <c r="D1449" s="33"/>
      <c r="E1449" s="33" t="n">
        <v>55</v>
      </c>
      <c r="F1449" s="33" t="s">
        <v>2160</v>
      </c>
      <c r="G1449" s="33" t="s">
        <v>505</v>
      </c>
      <c r="H1449" s="33" t="n">
        <v>1</v>
      </c>
      <c r="I1449" s="33" t="n">
        <v>1</v>
      </c>
      <c r="J1449" s="33" t="n">
        <v>1</v>
      </c>
      <c r="K1449" s="32" t="n">
        <v>75</v>
      </c>
      <c r="L1449" s="33" t="str">
        <f aca="false">IF($B1449="","",IFERROR(INDEX('Code Mapping'!$D$5:$D$1753,MATCH($B1449,'Code Mapping'!$A$5:$A$1753,0)),"Unmapped"))</f>
        <v>Unmapped</v>
      </c>
      <c r="M1449" s="33" t="str">
        <f aca="false">IF($B1449="","",IFERROR(INDEX('Code Mapping'!$E$5:$E$1753,MATCH($B1449,'Code Mapping'!$A$5:$A$1753,0)),"Unmapped"))</f>
        <v>Unmapped</v>
      </c>
      <c r="N1449" s="33" t="str">
        <f aca="false">IF($F1449="","",$F1449)</f>
        <v>InflataCity</v>
      </c>
    </row>
    <row r="1450" customFormat="false" ht="15" hidden="false" customHeight="false" outlineLevel="0" collapsed="false">
      <c r="A1450" s="33" t="n">
        <v>2686</v>
      </c>
      <c r="B1450" s="33" t="s">
        <v>956</v>
      </c>
      <c r="C1450" s="33" t="s">
        <v>825</v>
      </c>
      <c r="D1450" s="33"/>
      <c r="E1450" s="33" t="n">
        <v>55</v>
      </c>
      <c r="F1450" s="33" t="s">
        <v>2160</v>
      </c>
      <c r="G1450" s="33" t="s">
        <v>505</v>
      </c>
      <c r="H1450" s="33" t="n">
        <v>1</v>
      </c>
      <c r="I1450" s="33" t="n">
        <v>1</v>
      </c>
      <c r="J1450" s="33" t="n">
        <v>1</v>
      </c>
      <c r="K1450" s="32" t="n">
        <v>75</v>
      </c>
      <c r="L1450" s="33" t="str">
        <f aca="false">IF($B1450="","",IFERROR(INDEX('Code Mapping'!$D$5:$D$1753,MATCH($B1450,'Code Mapping'!$A$5:$A$1753,0)),"Unmapped"))</f>
        <v>Unmapped</v>
      </c>
      <c r="M1450" s="33" t="str">
        <f aca="false">IF($B1450="","",IFERROR(INDEX('Code Mapping'!$E$5:$E$1753,MATCH($B1450,'Code Mapping'!$A$5:$A$1753,0)),"Unmapped"))</f>
        <v>Unmapped</v>
      </c>
      <c r="N1450" s="33" t="str">
        <f aca="false">IF($F1450="","",$F1450)</f>
        <v>InflataCity</v>
      </c>
    </row>
    <row r="1451" customFormat="false" ht="15" hidden="false" customHeight="false" outlineLevel="0" collapsed="false">
      <c r="A1451" s="33" t="n">
        <v>1820</v>
      </c>
      <c r="B1451" s="33" t="s">
        <v>806</v>
      </c>
      <c r="C1451" s="33" t="s">
        <v>511</v>
      </c>
      <c r="D1451" s="33"/>
      <c r="E1451" s="33" t="n">
        <v>55</v>
      </c>
      <c r="F1451" s="33" t="s">
        <v>2160</v>
      </c>
      <c r="G1451" s="33" t="s">
        <v>505</v>
      </c>
      <c r="H1451" s="33" t="n">
        <v>1</v>
      </c>
      <c r="I1451" s="33" t="n">
        <v>1</v>
      </c>
      <c r="J1451" s="33" t="n">
        <v>1</v>
      </c>
      <c r="K1451" s="32" t="n">
        <v>75</v>
      </c>
      <c r="L1451" s="33" t="str">
        <f aca="false">IF($B1451="","",IFERROR(INDEX('Code Mapping'!$D$5:$D$1753,MATCH($B1451,'Code Mapping'!$A$5:$A$1753,0)),"Unmapped"))</f>
        <v>Unmapped</v>
      </c>
      <c r="M1451" s="33" t="str">
        <f aca="false">IF($B1451="","",IFERROR(INDEX('Code Mapping'!$E$5:$E$1753,MATCH($B1451,'Code Mapping'!$A$5:$A$1753,0)),"Unmapped"))</f>
        <v>Unmapped</v>
      </c>
      <c r="N1451" s="33" t="str">
        <f aca="false">IF($F1451="","",$F1451)</f>
        <v>InflataCity</v>
      </c>
    </row>
    <row r="1452" customFormat="false" ht="15" hidden="false" customHeight="false" outlineLevel="0" collapsed="false">
      <c r="A1452" s="33" t="n">
        <v>2674</v>
      </c>
      <c r="B1452" s="33" t="s">
        <v>961</v>
      </c>
      <c r="C1452" s="33" t="s">
        <v>825</v>
      </c>
      <c r="D1452" s="33"/>
      <c r="E1452" s="33" t="n">
        <v>55</v>
      </c>
      <c r="F1452" s="33" t="s">
        <v>2160</v>
      </c>
      <c r="G1452" s="33" t="s">
        <v>505</v>
      </c>
      <c r="H1452" s="33" t="n">
        <v>1</v>
      </c>
      <c r="I1452" s="33" t="n">
        <v>1</v>
      </c>
      <c r="J1452" s="33" t="n">
        <v>1</v>
      </c>
      <c r="K1452" s="32" t="n">
        <v>75</v>
      </c>
      <c r="L1452" s="33" t="str">
        <f aca="false">IF($B1452="","",IFERROR(INDEX('Code Mapping'!$D$5:$D$1753,MATCH($B1452,'Code Mapping'!$A$5:$A$1753,0)),"Unmapped"))</f>
        <v>Unmapped</v>
      </c>
      <c r="M1452" s="33" t="str">
        <f aca="false">IF($B1452="","",IFERROR(INDEX('Code Mapping'!$E$5:$E$1753,MATCH($B1452,'Code Mapping'!$A$5:$A$1753,0)),"Unmapped"))</f>
        <v>Unmapped</v>
      </c>
      <c r="N1452" s="33" t="str">
        <f aca="false">IF($F1452="","",$F1452)</f>
        <v>InflataCity</v>
      </c>
    </row>
    <row r="1453" customFormat="false" ht="15" hidden="false" customHeight="false" outlineLevel="0" collapsed="false">
      <c r="A1453" s="33" t="n">
        <v>1768</v>
      </c>
      <c r="B1453" s="33" t="s">
        <v>803</v>
      </c>
      <c r="C1453" s="33" t="s">
        <v>511</v>
      </c>
      <c r="D1453" s="33"/>
      <c r="E1453" s="33" t="n">
        <v>55</v>
      </c>
      <c r="F1453" s="33" t="s">
        <v>2160</v>
      </c>
      <c r="G1453" s="33" t="s">
        <v>505</v>
      </c>
      <c r="H1453" s="33" t="n">
        <v>1</v>
      </c>
      <c r="I1453" s="33" t="n">
        <v>1</v>
      </c>
      <c r="J1453" s="33" t="n">
        <v>1</v>
      </c>
      <c r="K1453" s="32" t="n">
        <v>75</v>
      </c>
      <c r="L1453" s="33" t="str">
        <f aca="false">IF($B1453="","",IFERROR(INDEX('Code Mapping'!$D$5:$D$1753,MATCH($B1453,'Code Mapping'!$A$5:$A$1753,0)),"Unmapped"))</f>
        <v>Unmapped</v>
      </c>
      <c r="M1453" s="33" t="str">
        <f aca="false">IF($B1453="","",IFERROR(INDEX('Code Mapping'!$E$5:$E$1753,MATCH($B1453,'Code Mapping'!$A$5:$A$1753,0)),"Unmapped"))</f>
        <v>Unmapped</v>
      </c>
      <c r="N1453" s="33" t="str">
        <f aca="false">IF($F1453="","",$F1453)</f>
        <v>InflataCity</v>
      </c>
    </row>
    <row r="1454" customFormat="false" ht="15" hidden="false" customHeight="false" outlineLevel="0" collapsed="false">
      <c r="A1454" s="33" t="n">
        <v>1466</v>
      </c>
      <c r="B1454" s="33" t="s">
        <v>602</v>
      </c>
      <c r="C1454" s="33" t="s">
        <v>513</v>
      </c>
      <c r="D1454" s="33"/>
      <c r="E1454" s="33" t="n">
        <v>55</v>
      </c>
      <c r="F1454" s="33" t="s">
        <v>2160</v>
      </c>
      <c r="G1454" s="33" t="s">
        <v>505</v>
      </c>
      <c r="H1454" s="33" t="n">
        <v>1</v>
      </c>
      <c r="I1454" s="33" t="n">
        <v>1</v>
      </c>
      <c r="J1454" s="33" t="n">
        <v>1</v>
      </c>
      <c r="K1454" s="32" t="n">
        <v>300</v>
      </c>
      <c r="L1454" s="33" t="str">
        <f aca="false">IF($B1454="","",IFERROR(INDEX('Code Mapping'!$D$5:$D$1753,MATCH($B1454,'Code Mapping'!$A$5:$A$1753,0)),"Unmapped"))</f>
        <v>Unmapped</v>
      </c>
      <c r="M1454" s="33" t="str">
        <f aca="false">IF($B1454="","",IFERROR(INDEX('Code Mapping'!$E$5:$E$1753,MATCH($B1454,'Code Mapping'!$A$5:$A$1753,0)),"Unmapped"))</f>
        <v>Unmapped</v>
      </c>
      <c r="N1454" s="33" t="str">
        <f aca="false">IF($F1454="","",$F1454)</f>
        <v>InflataCity</v>
      </c>
    </row>
    <row r="1455" customFormat="false" ht="15" hidden="false" customHeight="false" outlineLevel="0" collapsed="false">
      <c r="A1455" s="33" t="n">
        <v>1567</v>
      </c>
      <c r="B1455" s="33" t="s">
        <v>613</v>
      </c>
      <c r="C1455" s="33" t="s">
        <v>513</v>
      </c>
      <c r="D1455" s="33"/>
      <c r="E1455" s="33" t="n">
        <v>55</v>
      </c>
      <c r="F1455" s="33" t="s">
        <v>2160</v>
      </c>
      <c r="G1455" s="33" t="s">
        <v>505</v>
      </c>
      <c r="H1455" s="33" t="n">
        <v>1</v>
      </c>
      <c r="I1455" s="33" t="n">
        <v>1</v>
      </c>
      <c r="J1455" s="33" t="n">
        <v>1</v>
      </c>
      <c r="K1455" s="32" t="n">
        <v>300</v>
      </c>
      <c r="L1455" s="33" t="str">
        <f aca="false">IF($B1455="","",IFERROR(INDEX('Code Mapping'!$D$5:$D$1753,MATCH($B1455,'Code Mapping'!$A$5:$A$1753,0)),"Unmapped"))</f>
        <v>Unmapped</v>
      </c>
      <c r="M1455" s="33" t="str">
        <f aca="false">IF($B1455="","",IFERROR(INDEX('Code Mapping'!$E$5:$E$1753,MATCH($B1455,'Code Mapping'!$A$5:$A$1753,0)),"Unmapped"))</f>
        <v>Unmapped</v>
      </c>
      <c r="N1455" s="33" t="str">
        <f aca="false">IF($F1455="","",$F1455)</f>
        <v>InflataCity</v>
      </c>
    </row>
    <row r="1456" customFormat="false" ht="15" hidden="false" customHeight="false" outlineLevel="0" collapsed="false">
      <c r="A1456" s="33" t="n">
        <v>1975</v>
      </c>
      <c r="B1456" s="33" t="s">
        <v>612</v>
      </c>
      <c r="C1456" s="33" t="s">
        <v>511</v>
      </c>
      <c r="D1456" s="33"/>
      <c r="E1456" s="33" t="n">
        <v>55</v>
      </c>
      <c r="F1456" s="33" t="s">
        <v>2160</v>
      </c>
      <c r="G1456" s="33" t="s">
        <v>505</v>
      </c>
      <c r="H1456" s="33" t="n">
        <v>1</v>
      </c>
      <c r="I1456" s="33" t="n">
        <v>1</v>
      </c>
      <c r="J1456" s="33" t="n">
        <v>1</v>
      </c>
      <c r="K1456" s="32" t="n">
        <v>75</v>
      </c>
      <c r="L1456" s="33" t="str">
        <f aca="false">IF($B1456="","",IFERROR(INDEX('Code Mapping'!$D$5:$D$1753,MATCH($B1456,'Code Mapping'!$A$5:$A$1753,0)),"Unmapped"))</f>
        <v>Unmapped</v>
      </c>
      <c r="M1456" s="33" t="str">
        <f aca="false">IF($B1456="","",IFERROR(INDEX('Code Mapping'!$E$5:$E$1753,MATCH($B1456,'Code Mapping'!$A$5:$A$1753,0)),"Unmapped"))</f>
        <v>Unmapped</v>
      </c>
      <c r="N1456" s="33" t="str">
        <f aca="false">IF($F1456="","",$F1456)</f>
        <v>InflataCity</v>
      </c>
    </row>
    <row r="1457" customFormat="false" ht="15" hidden="false" customHeight="false" outlineLevel="0" collapsed="false">
      <c r="A1457" s="33" t="n">
        <v>1749</v>
      </c>
      <c r="B1457" s="33" t="s">
        <v>610</v>
      </c>
      <c r="C1457" s="33" t="s">
        <v>511</v>
      </c>
      <c r="D1457" s="33"/>
      <c r="E1457" s="33" t="n">
        <v>55</v>
      </c>
      <c r="F1457" s="33" t="s">
        <v>2160</v>
      </c>
      <c r="G1457" s="33" t="s">
        <v>505</v>
      </c>
      <c r="H1457" s="33" t="n">
        <v>1</v>
      </c>
      <c r="I1457" s="33" t="n">
        <v>1</v>
      </c>
      <c r="J1457" s="33" t="n">
        <v>1</v>
      </c>
      <c r="K1457" s="32" t="n">
        <v>75</v>
      </c>
      <c r="L1457" s="33" t="str">
        <f aca="false">IF($B1457="","",IFERROR(INDEX('Code Mapping'!$D$5:$D$1753,MATCH($B1457,'Code Mapping'!$A$5:$A$1753,0)),"Unmapped"))</f>
        <v>Unmapped</v>
      </c>
      <c r="M1457" s="33" t="str">
        <f aca="false">IF($B1457="","",IFERROR(INDEX('Code Mapping'!$E$5:$E$1753,MATCH($B1457,'Code Mapping'!$A$5:$A$1753,0)),"Unmapped"))</f>
        <v>Unmapped</v>
      </c>
      <c r="N1457" s="33" t="str">
        <f aca="false">IF($F1457="","",$F1457)</f>
        <v>InflataCity</v>
      </c>
    </row>
    <row r="1458" customFormat="false" ht="15" hidden="false" customHeight="false" outlineLevel="0" collapsed="false">
      <c r="A1458" s="33" t="n">
        <v>1741</v>
      </c>
      <c r="B1458" s="33" t="s">
        <v>609</v>
      </c>
      <c r="C1458" s="33" t="s">
        <v>511</v>
      </c>
      <c r="D1458" s="33"/>
      <c r="E1458" s="33" t="n">
        <v>55</v>
      </c>
      <c r="F1458" s="33" t="s">
        <v>2160</v>
      </c>
      <c r="G1458" s="33" t="s">
        <v>505</v>
      </c>
      <c r="H1458" s="33" t="n">
        <v>1</v>
      </c>
      <c r="I1458" s="33" t="n">
        <v>1</v>
      </c>
      <c r="J1458" s="33" t="n">
        <v>1</v>
      </c>
      <c r="K1458" s="32" t="n">
        <v>75</v>
      </c>
      <c r="L1458" s="33" t="str">
        <f aca="false">IF($B1458="","",IFERROR(INDEX('Code Mapping'!$D$5:$D$1753,MATCH($B1458,'Code Mapping'!$A$5:$A$1753,0)),"Unmapped"))</f>
        <v>Unmapped</v>
      </c>
      <c r="M1458" s="33" t="str">
        <f aca="false">IF($B1458="","",IFERROR(INDEX('Code Mapping'!$E$5:$E$1753,MATCH($B1458,'Code Mapping'!$A$5:$A$1753,0)),"Unmapped"))</f>
        <v>Unmapped</v>
      </c>
      <c r="N1458" s="33" t="str">
        <f aca="false">IF($F1458="","",$F1458)</f>
        <v>InflataCity</v>
      </c>
    </row>
    <row r="1459" customFormat="false" ht="15" hidden="false" customHeight="false" outlineLevel="0" collapsed="false">
      <c r="A1459" s="33" t="n">
        <v>1972</v>
      </c>
      <c r="B1459" s="33" t="s">
        <v>608</v>
      </c>
      <c r="C1459" s="33" t="s">
        <v>511</v>
      </c>
      <c r="D1459" s="33"/>
      <c r="E1459" s="33" t="n">
        <v>55</v>
      </c>
      <c r="F1459" s="33" t="s">
        <v>2160</v>
      </c>
      <c r="G1459" s="33" t="s">
        <v>505</v>
      </c>
      <c r="H1459" s="33" t="n">
        <v>1</v>
      </c>
      <c r="I1459" s="33" t="n">
        <v>1</v>
      </c>
      <c r="J1459" s="33" t="n">
        <v>1</v>
      </c>
      <c r="K1459" s="32" t="n">
        <v>75</v>
      </c>
      <c r="L1459" s="33" t="str">
        <f aca="false">IF($B1459="","",IFERROR(INDEX('Code Mapping'!$D$5:$D$1753,MATCH($B1459,'Code Mapping'!$A$5:$A$1753,0)),"Unmapped"))</f>
        <v>Unmapped</v>
      </c>
      <c r="M1459" s="33" t="str">
        <f aca="false">IF($B1459="","",IFERROR(INDEX('Code Mapping'!$E$5:$E$1753,MATCH($B1459,'Code Mapping'!$A$5:$A$1753,0)),"Unmapped"))</f>
        <v>Unmapped</v>
      </c>
      <c r="N1459" s="33" t="str">
        <f aca="false">IF($F1459="","",$F1459)</f>
        <v>InflataCity</v>
      </c>
    </row>
    <row r="1460" customFormat="false" ht="15" hidden="false" customHeight="false" outlineLevel="0" collapsed="false">
      <c r="A1460" s="33" t="n">
        <v>1954</v>
      </c>
      <c r="B1460" s="33" t="s">
        <v>607</v>
      </c>
      <c r="C1460" s="33" t="s">
        <v>511</v>
      </c>
      <c r="D1460" s="33"/>
      <c r="E1460" s="33" t="n">
        <v>55</v>
      </c>
      <c r="F1460" s="33" t="s">
        <v>2160</v>
      </c>
      <c r="G1460" s="33" t="s">
        <v>505</v>
      </c>
      <c r="H1460" s="33" t="n">
        <v>1</v>
      </c>
      <c r="I1460" s="33" t="n">
        <v>1</v>
      </c>
      <c r="J1460" s="33" t="n">
        <v>1</v>
      </c>
      <c r="K1460" s="32" t="n">
        <v>75</v>
      </c>
      <c r="L1460" s="33" t="str">
        <f aca="false">IF($B1460="","",IFERROR(INDEX('Code Mapping'!$D$5:$D$1753,MATCH($B1460,'Code Mapping'!$A$5:$A$1753,0)),"Unmapped"))</f>
        <v>Unmapped</v>
      </c>
      <c r="M1460" s="33" t="str">
        <f aca="false">IF($B1460="","",IFERROR(INDEX('Code Mapping'!$E$5:$E$1753,MATCH($B1460,'Code Mapping'!$A$5:$A$1753,0)),"Unmapped"))</f>
        <v>Unmapped</v>
      </c>
      <c r="N1460" s="33" t="str">
        <f aca="false">IF($F1460="","",$F1460)</f>
        <v>InflataCity</v>
      </c>
    </row>
    <row r="1461" customFormat="false" ht="15" hidden="false" customHeight="false" outlineLevel="0" collapsed="false">
      <c r="A1461" s="33" t="n">
        <v>1909</v>
      </c>
      <c r="B1461" s="33" t="s">
        <v>606</v>
      </c>
      <c r="C1461" s="33" t="s">
        <v>511</v>
      </c>
      <c r="D1461" s="33"/>
      <c r="E1461" s="33" t="n">
        <v>55</v>
      </c>
      <c r="F1461" s="33" t="s">
        <v>2160</v>
      </c>
      <c r="G1461" s="33" t="s">
        <v>505</v>
      </c>
      <c r="H1461" s="33" t="n">
        <v>1</v>
      </c>
      <c r="I1461" s="33" t="n">
        <v>1</v>
      </c>
      <c r="J1461" s="33" t="n">
        <v>1</v>
      </c>
      <c r="K1461" s="32" t="n">
        <v>75</v>
      </c>
      <c r="L1461" s="33" t="str">
        <f aca="false">IF($B1461="","",IFERROR(INDEX('Code Mapping'!$D$5:$D$1753,MATCH($B1461,'Code Mapping'!$A$5:$A$1753,0)),"Unmapped"))</f>
        <v>Unmapped</v>
      </c>
      <c r="M1461" s="33" t="str">
        <f aca="false">IF($B1461="","",IFERROR(INDEX('Code Mapping'!$E$5:$E$1753,MATCH($B1461,'Code Mapping'!$A$5:$A$1753,0)),"Unmapped"))</f>
        <v>Unmapped</v>
      </c>
      <c r="N1461" s="33" t="str">
        <f aca="false">IF($F1461="","",$F1461)</f>
        <v>InflataCity</v>
      </c>
    </row>
    <row r="1462" customFormat="false" ht="15" hidden="false" customHeight="false" outlineLevel="0" collapsed="false">
      <c r="A1462" s="33" t="n">
        <v>1762</v>
      </c>
      <c r="B1462" s="33" t="s">
        <v>603</v>
      </c>
      <c r="C1462" s="33" t="s">
        <v>511</v>
      </c>
      <c r="D1462" s="33"/>
      <c r="E1462" s="33" t="n">
        <v>55</v>
      </c>
      <c r="F1462" s="33" t="s">
        <v>2160</v>
      </c>
      <c r="G1462" s="33" t="s">
        <v>505</v>
      </c>
      <c r="H1462" s="33" t="n">
        <v>1</v>
      </c>
      <c r="I1462" s="33" t="n">
        <v>1</v>
      </c>
      <c r="J1462" s="33" t="n">
        <v>1</v>
      </c>
      <c r="K1462" s="32" t="n">
        <v>75</v>
      </c>
      <c r="L1462" s="33" t="str">
        <f aca="false">IF($B1462="","",IFERROR(INDEX('Code Mapping'!$D$5:$D$1753,MATCH($B1462,'Code Mapping'!$A$5:$A$1753,0)),"Unmapped"))</f>
        <v>Unmapped</v>
      </c>
      <c r="M1462" s="33" t="str">
        <f aca="false">IF($B1462="","",IFERROR(INDEX('Code Mapping'!$E$5:$E$1753,MATCH($B1462,'Code Mapping'!$A$5:$A$1753,0)),"Unmapped"))</f>
        <v>Unmapped</v>
      </c>
      <c r="N1462" s="33" t="str">
        <f aca="false">IF($F1462="","",$F1462)</f>
        <v>InflataCity</v>
      </c>
    </row>
    <row r="1463" customFormat="false" ht="15" hidden="false" customHeight="false" outlineLevel="0" collapsed="false">
      <c r="A1463" s="33" t="n">
        <v>1562</v>
      </c>
      <c r="B1463" s="33" t="s">
        <v>599</v>
      </c>
      <c r="C1463" s="33" t="s">
        <v>513</v>
      </c>
      <c r="D1463" s="33"/>
      <c r="E1463" s="33" t="n">
        <v>55</v>
      </c>
      <c r="F1463" s="33" t="s">
        <v>2160</v>
      </c>
      <c r="G1463" s="33" t="s">
        <v>505</v>
      </c>
      <c r="H1463" s="33" t="n">
        <v>1</v>
      </c>
      <c r="I1463" s="33" t="n">
        <v>1</v>
      </c>
      <c r="J1463" s="33" t="n">
        <v>1</v>
      </c>
      <c r="K1463" s="32" t="n">
        <v>300</v>
      </c>
      <c r="L1463" s="33" t="str">
        <f aca="false">IF($B1463="","",IFERROR(INDEX('Code Mapping'!$D$5:$D$1753,MATCH($B1463,'Code Mapping'!$A$5:$A$1753,0)),"Unmapped"))</f>
        <v>Unmapped</v>
      </c>
      <c r="M1463" s="33" t="str">
        <f aca="false">IF($B1463="","",IFERROR(INDEX('Code Mapping'!$E$5:$E$1753,MATCH($B1463,'Code Mapping'!$A$5:$A$1753,0)),"Unmapped"))</f>
        <v>Unmapped</v>
      </c>
      <c r="N1463" s="33" t="str">
        <f aca="false">IF($F1463="","",$F1463)</f>
        <v>InflataCity</v>
      </c>
    </row>
    <row r="1464" customFormat="false" ht="15" hidden="false" customHeight="false" outlineLevel="0" collapsed="false">
      <c r="A1464" s="33" t="n">
        <v>1551</v>
      </c>
      <c r="B1464" s="33" t="s">
        <v>584</v>
      </c>
      <c r="C1464" s="33" t="s">
        <v>513</v>
      </c>
      <c r="D1464" s="33"/>
      <c r="E1464" s="33" t="n">
        <v>55</v>
      </c>
      <c r="F1464" s="33" t="s">
        <v>2160</v>
      </c>
      <c r="G1464" s="33" t="s">
        <v>505</v>
      </c>
      <c r="H1464" s="33" t="n">
        <v>1</v>
      </c>
      <c r="I1464" s="33" t="n">
        <v>1</v>
      </c>
      <c r="J1464" s="33" t="n">
        <v>1</v>
      </c>
      <c r="K1464" s="32" t="n">
        <v>300</v>
      </c>
      <c r="L1464" s="33" t="str">
        <f aca="false">IF($B1464="","",IFERROR(INDEX('Code Mapping'!$D$5:$D$1753,MATCH($B1464,'Code Mapping'!$A$5:$A$1753,0)),"Unmapped"))</f>
        <v>Unmapped</v>
      </c>
      <c r="M1464" s="33" t="str">
        <f aca="false">IF($B1464="","",IFERROR(INDEX('Code Mapping'!$E$5:$E$1753,MATCH($B1464,'Code Mapping'!$A$5:$A$1753,0)),"Unmapped"))</f>
        <v>Unmapped</v>
      </c>
      <c r="N1464" s="33" t="str">
        <f aca="false">IF($F1464="","",$F1464)</f>
        <v>InflataCity</v>
      </c>
    </row>
    <row r="1465" customFormat="false" ht="15" hidden="false" customHeight="false" outlineLevel="0" collapsed="false">
      <c r="A1465" s="33" t="n">
        <v>1742</v>
      </c>
      <c r="B1465" s="33" t="s">
        <v>598</v>
      </c>
      <c r="C1465" s="33" t="s">
        <v>511</v>
      </c>
      <c r="D1465" s="33"/>
      <c r="E1465" s="33" t="n">
        <v>55</v>
      </c>
      <c r="F1465" s="33" t="s">
        <v>2160</v>
      </c>
      <c r="G1465" s="33" t="s">
        <v>505</v>
      </c>
      <c r="H1465" s="33" t="n">
        <v>1</v>
      </c>
      <c r="I1465" s="33" t="n">
        <v>1</v>
      </c>
      <c r="J1465" s="33" t="n">
        <v>1</v>
      </c>
      <c r="K1465" s="32" t="n">
        <v>75</v>
      </c>
      <c r="L1465" s="33" t="str">
        <f aca="false">IF($B1465="","",IFERROR(INDEX('Code Mapping'!$D$5:$D$1753,MATCH($B1465,'Code Mapping'!$A$5:$A$1753,0)),"Unmapped"))</f>
        <v>Unmapped</v>
      </c>
      <c r="M1465" s="33" t="str">
        <f aca="false">IF($B1465="","",IFERROR(INDEX('Code Mapping'!$E$5:$E$1753,MATCH($B1465,'Code Mapping'!$A$5:$A$1753,0)),"Unmapped"))</f>
        <v>Unmapped</v>
      </c>
      <c r="N1465" s="33" t="str">
        <f aca="false">IF($F1465="","",$F1465)</f>
        <v>InflataCity</v>
      </c>
    </row>
    <row r="1466" customFormat="false" ht="15" hidden="false" customHeight="false" outlineLevel="0" collapsed="false">
      <c r="A1466" s="33" t="n">
        <v>1819</v>
      </c>
      <c r="B1466" s="33" t="s">
        <v>597</v>
      </c>
      <c r="C1466" s="33" t="s">
        <v>511</v>
      </c>
      <c r="D1466" s="33"/>
      <c r="E1466" s="33" t="n">
        <v>55</v>
      </c>
      <c r="F1466" s="33" t="s">
        <v>2160</v>
      </c>
      <c r="G1466" s="33" t="s">
        <v>505</v>
      </c>
      <c r="H1466" s="33" t="n">
        <v>1</v>
      </c>
      <c r="I1466" s="33" t="n">
        <v>1</v>
      </c>
      <c r="J1466" s="33" t="n">
        <v>1</v>
      </c>
      <c r="K1466" s="32" t="n">
        <v>75</v>
      </c>
      <c r="L1466" s="33" t="str">
        <f aca="false">IF($B1466="","",IFERROR(INDEX('Code Mapping'!$D$5:$D$1753,MATCH($B1466,'Code Mapping'!$A$5:$A$1753,0)),"Unmapped"))</f>
        <v>Unmapped</v>
      </c>
      <c r="M1466" s="33" t="str">
        <f aca="false">IF($B1466="","",IFERROR(INDEX('Code Mapping'!$E$5:$E$1753,MATCH($B1466,'Code Mapping'!$A$5:$A$1753,0)),"Unmapped"))</f>
        <v>Unmapped</v>
      </c>
      <c r="N1466" s="33" t="str">
        <f aca="false">IF($F1466="","",$F1466)</f>
        <v>InflataCity</v>
      </c>
    </row>
    <row r="1467" customFormat="false" ht="15" hidden="false" customHeight="false" outlineLevel="0" collapsed="false">
      <c r="A1467" s="33" t="n">
        <v>1977</v>
      </c>
      <c r="B1467" s="33" t="s">
        <v>593</v>
      </c>
      <c r="C1467" s="33" t="s">
        <v>511</v>
      </c>
      <c r="D1467" s="33"/>
      <c r="E1467" s="33" t="n">
        <v>55</v>
      </c>
      <c r="F1467" s="33" t="s">
        <v>2160</v>
      </c>
      <c r="G1467" s="33" t="s">
        <v>505</v>
      </c>
      <c r="H1467" s="33" t="n">
        <v>1</v>
      </c>
      <c r="I1467" s="33" t="n">
        <v>1</v>
      </c>
      <c r="J1467" s="33" t="n">
        <v>1</v>
      </c>
      <c r="K1467" s="32" t="n">
        <v>75</v>
      </c>
      <c r="L1467" s="33" t="str">
        <f aca="false">IF($B1467="","",IFERROR(INDEX('Code Mapping'!$D$5:$D$1753,MATCH($B1467,'Code Mapping'!$A$5:$A$1753,0)),"Unmapped"))</f>
        <v>Unmapped</v>
      </c>
      <c r="M1467" s="33" t="str">
        <f aca="false">IF($B1467="","",IFERROR(INDEX('Code Mapping'!$E$5:$E$1753,MATCH($B1467,'Code Mapping'!$A$5:$A$1753,0)),"Unmapped"))</f>
        <v>Unmapped</v>
      </c>
      <c r="N1467" s="33" t="str">
        <f aca="false">IF($F1467="","",$F1467)</f>
        <v>InflataCity</v>
      </c>
    </row>
    <row r="1468" customFormat="false" ht="15" hidden="false" customHeight="false" outlineLevel="0" collapsed="false">
      <c r="A1468" s="33" t="n">
        <v>1511</v>
      </c>
      <c r="B1468" s="33" t="s">
        <v>592</v>
      </c>
      <c r="C1468" s="33" t="s">
        <v>513</v>
      </c>
      <c r="D1468" s="33"/>
      <c r="E1468" s="33" t="n">
        <v>55</v>
      </c>
      <c r="F1468" s="33" t="s">
        <v>2160</v>
      </c>
      <c r="G1468" s="33" t="s">
        <v>505</v>
      </c>
      <c r="H1468" s="33" t="n">
        <v>1</v>
      </c>
      <c r="I1468" s="33" t="n">
        <v>1</v>
      </c>
      <c r="J1468" s="33" t="n">
        <v>1</v>
      </c>
      <c r="K1468" s="32" t="n">
        <v>300</v>
      </c>
      <c r="L1468" s="33" t="str">
        <f aca="false">IF($B1468="","",IFERROR(INDEX('Code Mapping'!$D$5:$D$1753,MATCH($B1468,'Code Mapping'!$A$5:$A$1753,0)),"Unmapped"))</f>
        <v>Unmapped</v>
      </c>
      <c r="M1468" s="33" t="str">
        <f aca="false">IF($B1468="","",IFERROR(INDEX('Code Mapping'!$E$5:$E$1753,MATCH($B1468,'Code Mapping'!$A$5:$A$1753,0)),"Unmapped"))</f>
        <v>Unmapped</v>
      </c>
      <c r="N1468" s="33" t="str">
        <f aca="false">IF($F1468="","",$F1468)</f>
        <v>InflataCity</v>
      </c>
    </row>
    <row r="1469" customFormat="false" ht="15" hidden="false" customHeight="false" outlineLevel="0" collapsed="false">
      <c r="A1469" s="33" t="n">
        <v>1453</v>
      </c>
      <c r="B1469" s="33" t="s">
        <v>591</v>
      </c>
      <c r="C1469" s="33" t="s">
        <v>513</v>
      </c>
      <c r="D1469" s="33"/>
      <c r="E1469" s="33" t="n">
        <v>55</v>
      </c>
      <c r="F1469" s="33" t="s">
        <v>2160</v>
      </c>
      <c r="G1469" s="33" t="s">
        <v>505</v>
      </c>
      <c r="H1469" s="33" t="n">
        <v>1</v>
      </c>
      <c r="I1469" s="33" t="n">
        <v>1</v>
      </c>
      <c r="J1469" s="33" t="n">
        <v>1</v>
      </c>
      <c r="K1469" s="32" t="n">
        <v>300</v>
      </c>
      <c r="L1469" s="33" t="str">
        <f aca="false">IF($B1469="","",IFERROR(INDEX('Code Mapping'!$D$5:$D$1753,MATCH($B1469,'Code Mapping'!$A$5:$A$1753,0)),"Unmapped"))</f>
        <v>Unmapped</v>
      </c>
      <c r="M1469" s="33" t="str">
        <f aca="false">IF($B1469="","",IFERROR(INDEX('Code Mapping'!$E$5:$E$1753,MATCH($B1469,'Code Mapping'!$A$5:$A$1753,0)),"Unmapped"))</f>
        <v>Unmapped</v>
      </c>
      <c r="N1469" s="33" t="str">
        <f aca="false">IF($F1469="","",$F1469)</f>
        <v>InflataCity</v>
      </c>
    </row>
    <row r="1470" customFormat="false" ht="15" hidden="false" customHeight="false" outlineLevel="0" collapsed="false">
      <c r="A1470" s="33" t="n">
        <v>1892</v>
      </c>
      <c r="B1470" s="33" t="s">
        <v>590</v>
      </c>
      <c r="C1470" s="33" t="s">
        <v>511</v>
      </c>
      <c r="D1470" s="33"/>
      <c r="E1470" s="33" t="n">
        <v>55</v>
      </c>
      <c r="F1470" s="33" t="s">
        <v>2160</v>
      </c>
      <c r="G1470" s="33" t="s">
        <v>505</v>
      </c>
      <c r="H1470" s="33" t="n">
        <v>1</v>
      </c>
      <c r="I1470" s="33" t="n">
        <v>1</v>
      </c>
      <c r="J1470" s="33" t="n">
        <v>1</v>
      </c>
      <c r="K1470" s="32" t="n">
        <v>75</v>
      </c>
      <c r="L1470" s="33" t="str">
        <f aca="false">IF($B1470="","",IFERROR(INDEX('Code Mapping'!$D$5:$D$1753,MATCH($B1470,'Code Mapping'!$A$5:$A$1753,0)),"Unmapped"))</f>
        <v>Unmapped</v>
      </c>
      <c r="M1470" s="33" t="str">
        <f aca="false">IF($B1470="","",IFERROR(INDEX('Code Mapping'!$E$5:$E$1753,MATCH($B1470,'Code Mapping'!$A$5:$A$1753,0)),"Unmapped"))</f>
        <v>Unmapped</v>
      </c>
      <c r="N1470" s="33" t="str">
        <f aca="false">IF($F1470="","",$F1470)</f>
        <v>InflataCity</v>
      </c>
    </row>
    <row r="1471" customFormat="false" ht="15" hidden="false" customHeight="false" outlineLevel="0" collapsed="false">
      <c r="A1471" s="33" t="n">
        <v>2024</v>
      </c>
      <c r="B1471" s="33" t="s">
        <v>588</v>
      </c>
      <c r="C1471" s="33" t="s">
        <v>511</v>
      </c>
      <c r="D1471" s="33"/>
      <c r="E1471" s="33" t="n">
        <v>55</v>
      </c>
      <c r="F1471" s="33" t="s">
        <v>2160</v>
      </c>
      <c r="G1471" s="33" t="s">
        <v>505</v>
      </c>
      <c r="H1471" s="33" t="n">
        <v>1</v>
      </c>
      <c r="I1471" s="33" t="n">
        <v>10</v>
      </c>
      <c r="J1471" s="33" t="n">
        <v>10</v>
      </c>
      <c r="K1471" s="32" t="n">
        <v>750</v>
      </c>
      <c r="L1471" s="33" t="str">
        <f aca="false">IF($B1471="","",IFERROR(INDEX('Code Mapping'!$D$5:$D$1753,MATCH($B1471,'Code Mapping'!$A$5:$A$1753,0)),"Unmapped"))</f>
        <v>Unmapped</v>
      </c>
      <c r="M1471" s="33" t="str">
        <f aca="false">IF($B1471="","",IFERROR(INDEX('Code Mapping'!$E$5:$E$1753,MATCH($B1471,'Code Mapping'!$A$5:$A$1753,0)),"Unmapped"))</f>
        <v>Unmapped</v>
      </c>
      <c r="N1471" s="33" t="str">
        <f aca="false">IF($F1471="","",$F1471)</f>
        <v>InflataCity</v>
      </c>
    </row>
    <row r="1472" customFormat="false" ht="15" hidden="false" customHeight="false" outlineLevel="0" collapsed="false">
      <c r="A1472" s="33" t="n">
        <v>2013</v>
      </c>
      <c r="B1472" s="33" t="s">
        <v>587</v>
      </c>
      <c r="C1472" s="33" t="s">
        <v>511</v>
      </c>
      <c r="D1472" s="33"/>
      <c r="E1472" s="33" t="n">
        <v>55</v>
      </c>
      <c r="F1472" s="33" t="s">
        <v>2160</v>
      </c>
      <c r="G1472" s="33" t="s">
        <v>505</v>
      </c>
      <c r="H1472" s="33" t="n">
        <v>1</v>
      </c>
      <c r="I1472" s="33" t="n">
        <v>1</v>
      </c>
      <c r="J1472" s="33" t="n">
        <v>1</v>
      </c>
      <c r="K1472" s="32" t="n">
        <v>75</v>
      </c>
      <c r="L1472" s="33" t="str">
        <f aca="false">IF($B1472="","",IFERROR(INDEX('Code Mapping'!$D$5:$D$1753,MATCH($B1472,'Code Mapping'!$A$5:$A$1753,0)),"Unmapped"))</f>
        <v>Unmapped</v>
      </c>
      <c r="M1472" s="33" t="str">
        <f aca="false">IF($B1472="","",IFERROR(INDEX('Code Mapping'!$E$5:$E$1753,MATCH($B1472,'Code Mapping'!$A$5:$A$1753,0)),"Unmapped"))</f>
        <v>Unmapped</v>
      </c>
      <c r="N1472" s="33" t="str">
        <f aca="false">IF($F1472="","",$F1472)</f>
        <v>InflataCity</v>
      </c>
    </row>
    <row r="1473" customFormat="false" ht="15" hidden="false" customHeight="false" outlineLevel="0" collapsed="false">
      <c r="A1473" s="33" t="n">
        <v>1572</v>
      </c>
      <c r="B1473" s="33" t="s">
        <v>615</v>
      </c>
      <c r="C1473" s="33" t="s">
        <v>513</v>
      </c>
      <c r="D1473" s="33"/>
      <c r="E1473" s="33" t="n">
        <v>55</v>
      </c>
      <c r="F1473" s="33" t="s">
        <v>2160</v>
      </c>
      <c r="G1473" s="33" t="s">
        <v>505</v>
      </c>
      <c r="H1473" s="33" t="n">
        <v>1</v>
      </c>
      <c r="I1473" s="33" t="n">
        <v>1</v>
      </c>
      <c r="J1473" s="33" t="n">
        <v>1</v>
      </c>
      <c r="K1473" s="32" t="n">
        <v>300</v>
      </c>
      <c r="L1473" s="33" t="str">
        <f aca="false">IF($B1473="","",IFERROR(INDEX('Code Mapping'!$D$5:$D$1753,MATCH($B1473,'Code Mapping'!$A$5:$A$1753,0)),"Unmapped"))</f>
        <v>Unmapped</v>
      </c>
      <c r="M1473" s="33" t="str">
        <f aca="false">IF($B1473="","",IFERROR(INDEX('Code Mapping'!$E$5:$E$1753,MATCH($B1473,'Code Mapping'!$A$5:$A$1753,0)),"Unmapped"))</f>
        <v>Unmapped</v>
      </c>
      <c r="N1473" s="33" t="str">
        <f aca="false">IF($F1473="","",$F1473)</f>
        <v>InflataCity</v>
      </c>
    </row>
    <row r="1474" customFormat="false" ht="15" hidden="false" customHeight="false" outlineLevel="0" collapsed="false">
      <c r="A1474" s="33" t="n">
        <v>1966</v>
      </c>
      <c r="B1474" s="33" t="s">
        <v>616</v>
      </c>
      <c r="C1474" s="33" t="s">
        <v>511</v>
      </c>
      <c r="D1474" s="33"/>
      <c r="E1474" s="33" t="n">
        <v>55</v>
      </c>
      <c r="F1474" s="33" t="s">
        <v>2160</v>
      </c>
      <c r="G1474" s="33" t="s">
        <v>505</v>
      </c>
      <c r="H1474" s="33" t="n">
        <v>1</v>
      </c>
      <c r="I1474" s="33" t="n">
        <v>1</v>
      </c>
      <c r="J1474" s="33" t="n">
        <v>1</v>
      </c>
      <c r="K1474" s="32" t="n">
        <v>75</v>
      </c>
      <c r="L1474" s="33" t="str">
        <f aca="false">IF($B1474="","",IFERROR(INDEX('Code Mapping'!$D$5:$D$1753,MATCH($B1474,'Code Mapping'!$A$5:$A$1753,0)),"Unmapped"))</f>
        <v>Unmapped</v>
      </c>
      <c r="M1474" s="33" t="str">
        <f aca="false">IF($B1474="","",IFERROR(INDEX('Code Mapping'!$E$5:$E$1753,MATCH($B1474,'Code Mapping'!$A$5:$A$1753,0)),"Unmapped"))</f>
        <v>Unmapped</v>
      </c>
      <c r="N1474" s="33" t="str">
        <f aca="false">IF($F1474="","",$F1474)</f>
        <v>InflataCity</v>
      </c>
    </row>
    <row r="1475" customFormat="false" ht="15" hidden="false" customHeight="false" outlineLevel="0" collapsed="false">
      <c r="A1475" s="33" t="n">
        <v>1969</v>
      </c>
      <c r="B1475" s="33" t="s">
        <v>617</v>
      </c>
      <c r="C1475" s="33" t="s">
        <v>511</v>
      </c>
      <c r="D1475" s="33"/>
      <c r="E1475" s="33" t="n">
        <v>55</v>
      </c>
      <c r="F1475" s="33" t="s">
        <v>2160</v>
      </c>
      <c r="G1475" s="33" t="s">
        <v>505</v>
      </c>
      <c r="H1475" s="33" t="n">
        <v>1</v>
      </c>
      <c r="I1475" s="33" t="n">
        <v>1</v>
      </c>
      <c r="J1475" s="33" t="n">
        <v>1</v>
      </c>
      <c r="K1475" s="32" t="n">
        <v>75</v>
      </c>
      <c r="L1475" s="33" t="str">
        <f aca="false">IF($B1475="","",IFERROR(INDEX('Code Mapping'!$D$5:$D$1753,MATCH($B1475,'Code Mapping'!$A$5:$A$1753,0)),"Unmapped"))</f>
        <v>Unmapped</v>
      </c>
      <c r="M1475" s="33" t="str">
        <f aca="false">IF($B1475="","",IFERROR(INDEX('Code Mapping'!$E$5:$E$1753,MATCH($B1475,'Code Mapping'!$A$5:$A$1753,0)),"Unmapped"))</f>
        <v>Unmapped</v>
      </c>
      <c r="N1475" s="33" t="str">
        <f aca="false">IF($F1475="","",$F1475)</f>
        <v>InflataCity</v>
      </c>
    </row>
    <row r="1476" customFormat="false" ht="15" hidden="false" customHeight="false" outlineLevel="0" collapsed="false">
      <c r="A1476" s="33" t="n">
        <v>1967</v>
      </c>
      <c r="B1476" s="33" t="s">
        <v>618</v>
      </c>
      <c r="C1476" s="33" t="s">
        <v>511</v>
      </c>
      <c r="D1476" s="33"/>
      <c r="E1476" s="33" t="n">
        <v>55</v>
      </c>
      <c r="F1476" s="33" t="s">
        <v>2160</v>
      </c>
      <c r="G1476" s="33" t="s">
        <v>505</v>
      </c>
      <c r="H1476" s="33" t="n">
        <v>1</v>
      </c>
      <c r="I1476" s="33" t="n">
        <v>1</v>
      </c>
      <c r="J1476" s="33" t="n">
        <v>1</v>
      </c>
      <c r="K1476" s="32" t="n">
        <v>75</v>
      </c>
      <c r="L1476" s="33" t="str">
        <f aca="false">IF($B1476="","",IFERROR(INDEX('Code Mapping'!$D$5:$D$1753,MATCH($B1476,'Code Mapping'!$A$5:$A$1753,0)),"Unmapped"))</f>
        <v>Unmapped</v>
      </c>
      <c r="M1476" s="33" t="str">
        <f aca="false">IF($B1476="","",IFERROR(INDEX('Code Mapping'!$E$5:$E$1753,MATCH($B1476,'Code Mapping'!$A$5:$A$1753,0)),"Unmapped"))</f>
        <v>Unmapped</v>
      </c>
      <c r="N1476" s="33" t="str">
        <f aca="false">IF($F1476="","",$F1476)</f>
        <v>InflataCity</v>
      </c>
    </row>
    <row r="1477" customFormat="false" ht="15" hidden="false" customHeight="false" outlineLevel="0" collapsed="false">
      <c r="A1477" s="33" t="n">
        <v>1898</v>
      </c>
      <c r="B1477" s="33" t="s">
        <v>646</v>
      </c>
      <c r="C1477" s="33" t="s">
        <v>511</v>
      </c>
      <c r="D1477" s="33"/>
      <c r="E1477" s="33" t="n">
        <v>55</v>
      </c>
      <c r="F1477" s="33" t="s">
        <v>2160</v>
      </c>
      <c r="G1477" s="33" t="s">
        <v>505</v>
      </c>
      <c r="H1477" s="33" t="n">
        <v>1</v>
      </c>
      <c r="I1477" s="33" t="n">
        <v>1</v>
      </c>
      <c r="J1477" s="33" t="n">
        <v>1</v>
      </c>
      <c r="K1477" s="32" t="n">
        <v>75</v>
      </c>
      <c r="L1477" s="33" t="str">
        <f aca="false">IF($B1477="","",IFERROR(INDEX('Code Mapping'!$D$5:$D$1753,MATCH($B1477,'Code Mapping'!$A$5:$A$1753,0)),"Unmapped"))</f>
        <v>Unmapped</v>
      </c>
      <c r="M1477" s="33" t="str">
        <f aca="false">IF($B1477="","",IFERROR(INDEX('Code Mapping'!$E$5:$E$1753,MATCH($B1477,'Code Mapping'!$A$5:$A$1753,0)),"Unmapped"))</f>
        <v>Unmapped</v>
      </c>
      <c r="N1477" s="33" t="str">
        <f aca="false">IF($F1477="","",$F1477)</f>
        <v>InflataCity</v>
      </c>
    </row>
    <row r="1478" customFormat="false" ht="15" hidden="false" customHeight="false" outlineLevel="0" collapsed="false">
      <c r="A1478" s="33" t="n">
        <v>1806</v>
      </c>
      <c r="B1478" s="33" t="s">
        <v>643</v>
      </c>
      <c r="C1478" s="33" t="s">
        <v>511</v>
      </c>
      <c r="D1478" s="33"/>
      <c r="E1478" s="33" t="n">
        <v>55</v>
      </c>
      <c r="F1478" s="33" t="s">
        <v>2160</v>
      </c>
      <c r="G1478" s="33" t="s">
        <v>505</v>
      </c>
      <c r="H1478" s="33" t="n">
        <v>1</v>
      </c>
      <c r="I1478" s="33" t="n">
        <v>1</v>
      </c>
      <c r="J1478" s="33" t="n">
        <v>1</v>
      </c>
      <c r="K1478" s="32" t="n">
        <v>75</v>
      </c>
      <c r="L1478" s="33" t="str">
        <f aca="false">IF($B1478="","",IFERROR(INDEX('Code Mapping'!$D$5:$D$1753,MATCH($B1478,'Code Mapping'!$A$5:$A$1753,0)),"Unmapped"))</f>
        <v>Unmapped</v>
      </c>
      <c r="M1478" s="33" t="str">
        <f aca="false">IF($B1478="","",IFERROR(INDEX('Code Mapping'!$E$5:$E$1753,MATCH($B1478,'Code Mapping'!$A$5:$A$1753,0)),"Unmapped"))</f>
        <v>Unmapped</v>
      </c>
      <c r="N1478" s="33" t="str">
        <f aca="false">IF($F1478="","",$F1478)</f>
        <v>InflataCity</v>
      </c>
    </row>
    <row r="1479" customFormat="false" ht="15" hidden="false" customHeight="false" outlineLevel="0" collapsed="false">
      <c r="A1479" s="33" t="n">
        <v>1746</v>
      </c>
      <c r="B1479" s="33" t="s">
        <v>642</v>
      </c>
      <c r="C1479" s="33" t="s">
        <v>511</v>
      </c>
      <c r="D1479" s="33"/>
      <c r="E1479" s="33" t="n">
        <v>55</v>
      </c>
      <c r="F1479" s="33" t="s">
        <v>2160</v>
      </c>
      <c r="G1479" s="33" t="s">
        <v>505</v>
      </c>
      <c r="H1479" s="33" t="n">
        <v>1</v>
      </c>
      <c r="I1479" s="33" t="n">
        <v>1</v>
      </c>
      <c r="J1479" s="33" t="n">
        <v>1</v>
      </c>
      <c r="K1479" s="32" t="n">
        <v>75</v>
      </c>
      <c r="L1479" s="33" t="str">
        <f aca="false">IF($B1479="","",IFERROR(INDEX('Code Mapping'!$D$5:$D$1753,MATCH($B1479,'Code Mapping'!$A$5:$A$1753,0)),"Unmapped"))</f>
        <v>Unmapped</v>
      </c>
      <c r="M1479" s="33" t="str">
        <f aca="false">IF($B1479="","",IFERROR(INDEX('Code Mapping'!$E$5:$E$1753,MATCH($B1479,'Code Mapping'!$A$5:$A$1753,0)),"Unmapped"))</f>
        <v>Unmapped</v>
      </c>
      <c r="N1479" s="33" t="str">
        <f aca="false">IF($F1479="","",$F1479)</f>
        <v>InflataCity</v>
      </c>
    </row>
    <row r="1480" customFormat="false" ht="15" hidden="false" customHeight="false" outlineLevel="0" collapsed="false">
      <c r="A1480" s="33" t="n">
        <v>1561</v>
      </c>
      <c r="B1480" s="33" t="s">
        <v>641</v>
      </c>
      <c r="C1480" s="33" t="s">
        <v>513</v>
      </c>
      <c r="D1480" s="33"/>
      <c r="E1480" s="33" t="n">
        <v>55</v>
      </c>
      <c r="F1480" s="33" t="s">
        <v>2160</v>
      </c>
      <c r="G1480" s="33" t="s">
        <v>505</v>
      </c>
      <c r="H1480" s="33" t="n">
        <v>1</v>
      </c>
      <c r="I1480" s="33" t="n">
        <v>1</v>
      </c>
      <c r="J1480" s="33" t="n">
        <v>1</v>
      </c>
      <c r="K1480" s="32" t="n">
        <v>300</v>
      </c>
      <c r="L1480" s="33" t="str">
        <f aca="false">IF($B1480="","",IFERROR(INDEX('Code Mapping'!$D$5:$D$1753,MATCH($B1480,'Code Mapping'!$A$5:$A$1753,0)),"Unmapped"))</f>
        <v>Unmapped</v>
      </c>
      <c r="M1480" s="33" t="str">
        <f aca="false">IF($B1480="","",IFERROR(INDEX('Code Mapping'!$E$5:$E$1753,MATCH($B1480,'Code Mapping'!$A$5:$A$1753,0)),"Unmapped"))</f>
        <v>Unmapped</v>
      </c>
      <c r="N1480" s="33" t="str">
        <f aca="false">IF($F1480="","",$F1480)</f>
        <v>InflataCity</v>
      </c>
    </row>
    <row r="1481" customFormat="false" ht="15" hidden="false" customHeight="false" outlineLevel="0" collapsed="false">
      <c r="A1481" s="33" t="n">
        <v>1518</v>
      </c>
      <c r="B1481" s="33" t="s">
        <v>640</v>
      </c>
      <c r="C1481" s="33" t="s">
        <v>513</v>
      </c>
      <c r="D1481" s="33"/>
      <c r="E1481" s="33" t="n">
        <v>55</v>
      </c>
      <c r="F1481" s="33" t="s">
        <v>2160</v>
      </c>
      <c r="G1481" s="33" t="s">
        <v>505</v>
      </c>
      <c r="H1481" s="33" t="n">
        <v>1</v>
      </c>
      <c r="I1481" s="33" t="n">
        <v>1</v>
      </c>
      <c r="J1481" s="33" t="n">
        <v>1</v>
      </c>
      <c r="K1481" s="32" t="n">
        <v>300</v>
      </c>
      <c r="L1481" s="33" t="str">
        <f aca="false">IF($B1481="","",IFERROR(INDEX('Code Mapping'!$D$5:$D$1753,MATCH($B1481,'Code Mapping'!$A$5:$A$1753,0)),"Unmapped"))</f>
        <v>Unmapped</v>
      </c>
      <c r="M1481" s="33" t="str">
        <f aca="false">IF($B1481="","",IFERROR(INDEX('Code Mapping'!$E$5:$E$1753,MATCH($B1481,'Code Mapping'!$A$5:$A$1753,0)),"Unmapped"))</f>
        <v>Unmapped</v>
      </c>
      <c r="N1481" s="33" t="str">
        <f aca="false">IF($F1481="","",$F1481)</f>
        <v>InflataCity</v>
      </c>
    </row>
    <row r="1482" customFormat="false" ht="15" hidden="false" customHeight="false" outlineLevel="0" collapsed="false">
      <c r="A1482" s="33" t="n">
        <v>1888</v>
      </c>
      <c r="B1482" s="33" t="s">
        <v>638</v>
      </c>
      <c r="C1482" s="33" t="s">
        <v>511</v>
      </c>
      <c r="D1482" s="33"/>
      <c r="E1482" s="33" t="n">
        <v>55</v>
      </c>
      <c r="F1482" s="33" t="s">
        <v>2160</v>
      </c>
      <c r="G1482" s="33" t="s">
        <v>505</v>
      </c>
      <c r="H1482" s="33" t="n">
        <v>1</v>
      </c>
      <c r="I1482" s="33" t="n">
        <v>1</v>
      </c>
      <c r="J1482" s="33" t="n">
        <v>1</v>
      </c>
      <c r="K1482" s="32" t="n">
        <v>75</v>
      </c>
      <c r="L1482" s="33" t="str">
        <f aca="false">IF($B1482="","",IFERROR(INDEX('Code Mapping'!$D$5:$D$1753,MATCH($B1482,'Code Mapping'!$A$5:$A$1753,0)),"Unmapped"))</f>
        <v>Unmapped</v>
      </c>
      <c r="M1482" s="33" t="str">
        <f aca="false">IF($B1482="","",IFERROR(INDEX('Code Mapping'!$E$5:$E$1753,MATCH($B1482,'Code Mapping'!$A$5:$A$1753,0)),"Unmapped"))</f>
        <v>Unmapped</v>
      </c>
      <c r="N1482" s="33" t="str">
        <f aca="false">IF($F1482="","",$F1482)</f>
        <v>InflataCity</v>
      </c>
    </row>
    <row r="1483" customFormat="false" ht="15" hidden="false" customHeight="false" outlineLevel="0" collapsed="false">
      <c r="A1483" s="33" t="n">
        <v>2010</v>
      </c>
      <c r="B1483" s="33" t="s">
        <v>637</v>
      </c>
      <c r="C1483" s="33" t="s">
        <v>511</v>
      </c>
      <c r="D1483" s="33"/>
      <c r="E1483" s="33" t="n">
        <v>55</v>
      </c>
      <c r="F1483" s="33" t="s">
        <v>2160</v>
      </c>
      <c r="G1483" s="33" t="s">
        <v>505</v>
      </c>
      <c r="H1483" s="33" t="n">
        <v>1</v>
      </c>
      <c r="I1483" s="33" t="n">
        <v>1</v>
      </c>
      <c r="J1483" s="33" t="n">
        <v>1</v>
      </c>
      <c r="K1483" s="32" t="n">
        <v>75</v>
      </c>
      <c r="L1483" s="33" t="str">
        <f aca="false">IF($B1483="","",IFERROR(INDEX('Code Mapping'!$D$5:$D$1753,MATCH($B1483,'Code Mapping'!$A$5:$A$1753,0)),"Unmapped"))</f>
        <v>Unmapped</v>
      </c>
      <c r="M1483" s="33" t="str">
        <f aca="false">IF($B1483="","",IFERROR(INDEX('Code Mapping'!$E$5:$E$1753,MATCH($B1483,'Code Mapping'!$A$5:$A$1753,0)),"Unmapped"))</f>
        <v>Unmapped</v>
      </c>
      <c r="N1483" s="33" t="str">
        <f aca="false">IF($F1483="","",$F1483)</f>
        <v>InflataCity</v>
      </c>
    </row>
    <row r="1484" customFormat="false" ht="15" hidden="false" customHeight="false" outlineLevel="0" collapsed="false">
      <c r="A1484" s="33" t="n">
        <v>1801</v>
      </c>
      <c r="B1484" s="33" t="s">
        <v>636</v>
      </c>
      <c r="C1484" s="33" t="s">
        <v>511</v>
      </c>
      <c r="D1484" s="33"/>
      <c r="E1484" s="33" t="n">
        <v>55</v>
      </c>
      <c r="F1484" s="33" t="s">
        <v>2160</v>
      </c>
      <c r="G1484" s="33" t="s">
        <v>505</v>
      </c>
      <c r="H1484" s="33" t="n">
        <v>1</v>
      </c>
      <c r="I1484" s="33" t="n">
        <v>1</v>
      </c>
      <c r="J1484" s="33" t="n">
        <v>1</v>
      </c>
      <c r="K1484" s="32" t="n">
        <v>75</v>
      </c>
      <c r="L1484" s="33" t="str">
        <f aca="false">IF($B1484="","",IFERROR(INDEX('Code Mapping'!$D$5:$D$1753,MATCH($B1484,'Code Mapping'!$A$5:$A$1753,0)),"Unmapped"))</f>
        <v>Unmapped</v>
      </c>
      <c r="M1484" s="33" t="str">
        <f aca="false">IF($B1484="","",IFERROR(INDEX('Code Mapping'!$E$5:$E$1753,MATCH($B1484,'Code Mapping'!$A$5:$A$1753,0)),"Unmapped"))</f>
        <v>Unmapped</v>
      </c>
      <c r="N1484" s="33" t="str">
        <f aca="false">IF($F1484="","",$F1484)</f>
        <v>InflataCity</v>
      </c>
    </row>
    <row r="1485" customFormat="false" ht="15" hidden="false" customHeight="false" outlineLevel="0" collapsed="false">
      <c r="A1485" s="33" t="n">
        <v>1560</v>
      </c>
      <c r="B1485" s="33" t="s">
        <v>634</v>
      </c>
      <c r="C1485" s="33" t="s">
        <v>513</v>
      </c>
      <c r="D1485" s="33"/>
      <c r="E1485" s="33" t="n">
        <v>55</v>
      </c>
      <c r="F1485" s="33" t="s">
        <v>2160</v>
      </c>
      <c r="G1485" s="33" t="s">
        <v>505</v>
      </c>
      <c r="H1485" s="33" t="n">
        <v>1</v>
      </c>
      <c r="I1485" s="33" t="n">
        <v>1</v>
      </c>
      <c r="J1485" s="33" t="n">
        <v>1</v>
      </c>
      <c r="K1485" s="32" t="n">
        <v>300</v>
      </c>
      <c r="L1485" s="33" t="str">
        <f aca="false">IF($B1485="","",IFERROR(INDEX('Code Mapping'!$D$5:$D$1753,MATCH($B1485,'Code Mapping'!$A$5:$A$1753,0)),"Unmapped"))</f>
        <v>Unmapped</v>
      </c>
      <c r="M1485" s="33" t="str">
        <f aca="false">IF($B1485="","",IFERROR(INDEX('Code Mapping'!$E$5:$E$1753,MATCH($B1485,'Code Mapping'!$A$5:$A$1753,0)),"Unmapped"))</f>
        <v>Unmapped</v>
      </c>
      <c r="N1485" s="33" t="str">
        <f aca="false">IF($F1485="","",$F1485)</f>
        <v>InflataCity</v>
      </c>
    </row>
    <row r="1486" customFormat="false" ht="15" hidden="false" customHeight="false" outlineLevel="0" collapsed="false">
      <c r="A1486" s="33" t="n">
        <v>1908</v>
      </c>
      <c r="B1486" s="33" t="s">
        <v>633</v>
      </c>
      <c r="C1486" s="33" t="s">
        <v>511</v>
      </c>
      <c r="D1486" s="33"/>
      <c r="E1486" s="33" t="n">
        <v>55</v>
      </c>
      <c r="F1486" s="33" t="s">
        <v>2160</v>
      </c>
      <c r="G1486" s="33" t="s">
        <v>505</v>
      </c>
      <c r="H1486" s="33" t="n">
        <v>1</v>
      </c>
      <c r="I1486" s="33" t="n">
        <v>1</v>
      </c>
      <c r="J1486" s="33" t="n">
        <v>1</v>
      </c>
      <c r="K1486" s="32" t="n">
        <v>75</v>
      </c>
      <c r="L1486" s="33" t="str">
        <f aca="false">IF($B1486="","",IFERROR(INDEX('Code Mapping'!$D$5:$D$1753,MATCH($B1486,'Code Mapping'!$A$5:$A$1753,0)),"Unmapped"))</f>
        <v>Unmapped</v>
      </c>
      <c r="M1486" s="33" t="str">
        <f aca="false">IF($B1486="","",IFERROR(INDEX('Code Mapping'!$E$5:$E$1753,MATCH($B1486,'Code Mapping'!$A$5:$A$1753,0)),"Unmapped"))</f>
        <v>Unmapped</v>
      </c>
      <c r="N1486" s="33" t="str">
        <f aca="false">IF($F1486="","",$F1486)</f>
        <v>InflataCity</v>
      </c>
    </row>
    <row r="1487" customFormat="false" ht="15" hidden="false" customHeight="false" outlineLevel="0" collapsed="false">
      <c r="A1487" s="33" t="n">
        <v>1494</v>
      </c>
      <c r="B1487" s="33" t="s">
        <v>632</v>
      </c>
      <c r="C1487" s="33" t="s">
        <v>513</v>
      </c>
      <c r="D1487" s="33"/>
      <c r="E1487" s="33" t="n">
        <v>55</v>
      </c>
      <c r="F1487" s="33" t="s">
        <v>2160</v>
      </c>
      <c r="G1487" s="33" t="s">
        <v>505</v>
      </c>
      <c r="H1487" s="33" t="n">
        <v>1</v>
      </c>
      <c r="I1487" s="33" t="n">
        <v>1</v>
      </c>
      <c r="J1487" s="33" t="n">
        <v>1</v>
      </c>
      <c r="K1487" s="32" t="n">
        <v>300</v>
      </c>
      <c r="L1487" s="33" t="str">
        <f aca="false">IF($B1487="","",IFERROR(INDEX('Code Mapping'!$D$5:$D$1753,MATCH($B1487,'Code Mapping'!$A$5:$A$1753,0)),"Unmapped"))</f>
        <v>Unmapped</v>
      </c>
      <c r="M1487" s="33" t="str">
        <f aca="false">IF($B1487="","",IFERROR(INDEX('Code Mapping'!$E$5:$E$1753,MATCH($B1487,'Code Mapping'!$A$5:$A$1753,0)),"Unmapped"))</f>
        <v>Unmapped</v>
      </c>
      <c r="N1487" s="33" t="str">
        <f aca="false">IF($F1487="","",$F1487)</f>
        <v>InflataCity</v>
      </c>
    </row>
    <row r="1488" customFormat="false" ht="15" hidden="false" customHeight="false" outlineLevel="0" collapsed="false">
      <c r="A1488" s="33" t="n">
        <v>2014</v>
      </c>
      <c r="B1488" s="33" t="s">
        <v>631</v>
      </c>
      <c r="C1488" s="33" t="s">
        <v>511</v>
      </c>
      <c r="D1488" s="33"/>
      <c r="E1488" s="33" t="n">
        <v>55</v>
      </c>
      <c r="F1488" s="33" t="s">
        <v>2160</v>
      </c>
      <c r="G1488" s="33" t="s">
        <v>505</v>
      </c>
      <c r="H1488" s="33" t="n">
        <v>1</v>
      </c>
      <c r="I1488" s="33" t="n">
        <v>1</v>
      </c>
      <c r="J1488" s="33" t="n">
        <v>1</v>
      </c>
      <c r="K1488" s="32" t="n">
        <v>75</v>
      </c>
      <c r="L1488" s="33" t="str">
        <f aca="false">IF($B1488="","",IFERROR(INDEX('Code Mapping'!$D$5:$D$1753,MATCH($B1488,'Code Mapping'!$A$5:$A$1753,0)),"Unmapped"))</f>
        <v>Unmapped</v>
      </c>
      <c r="M1488" s="33" t="str">
        <f aca="false">IF($B1488="","",IFERROR(INDEX('Code Mapping'!$E$5:$E$1753,MATCH($B1488,'Code Mapping'!$A$5:$A$1753,0)),"Unmapped"))</f>
        <v>Unmapped</v>
      </c>
      <c r="N1488" s="33" t="str">
        <f aca="false">IF($F1488="","",$F1488)</f>
        <v>InflataCity</v>
      </c>
    </row>
    <row r="1489" customFormat="false" ht="15" hidden="false" customHeight="false" outlineLevel="0" collapsed="false">
      <c r="A1489" s="33" t="n">
        <v>2005</v>
      </c>
      <c r="B1489" s="33" t="s">
        <v>626</v>
      </c>
      <c r="C1489" s="33" t="s">
        <v>511</v>
      </c>
      <c r="D1489" s="33"/>
      <c r="E1489" s="33" t="n">
        <v>55</v>
      </c>
      <c r="F1489" s="33" t="s">
        <v>2160</v>
      </c>
      <c r="G1489" s="33" t="s">
        <v>505</v>
      </c>
      <c r="H1489" s="33" t="n">
        <v>1</v>
      </c>
      <c r="I1489" s="33" t="n">
        <v>1</v>
      </c>
      <c r="J1489" s="33" t="n">
        <v>1</v>
      </c>
      <c r="K1489" s="32" t="n">
        <v>75</v>
      </c>
      <c r="L1489" s="33" t="str">
        <f aca="false">IF($B1489="","",IFERROR(INDEX('Code Mapping'!$D$5:$D$1753,MATCH($B1489,'Code Mapping'!$A$5:$A$1753,0)),"Unmapped"))</f>
        <v>Unmapped</v>
      </c>
      <c r="M1489" s="33" t="str">
        <f aca="false">IF($B1489="","",IFERROR(INDEX('Code Mapping'!$E$5:$E$1753,MATCH($B1489,'Code Mapping'!$A$5:$A$1753,0)),"Unmapped"))</f>
        <v>Unmapped</v>
      </c>
      <c r="N1489" s="33" t="str">
        <f aca="false">IF($F1489="","",$F1489)</f>
        <v>InflataCity</v>
      </c>
    </row>
    <row r="1490" customFormat="false" ht="15" hidden="false" customHeight="false" outlineLevel="0" collapsed="false">
      <c r="A1490" s="33" t="n">
        <v>2011</v>
      </c>
      <c r="B1490" s="33" t="s">
        <v>624</v>
      </c>
      <c r="C1490" s="33" t="s">
        <v>511</v>
      </c>
      <c r="D1490" s="33"/>
      <c r="E1490" s="33" t="n">
        <v>55</v>
      </c>
      <c r="F1490" s="33" t="s">
        <v>2160</v>
      </c>
      <c r="G1490" s="33" t="s">
        <v>505</v>
      </c>
      <c r="H1490" s="33" t="n">
        <v>1</v>
      </c>
      <c r="I1490" s="33" t="n">
        <v>1</v>
      </c>
      <c r="J1490" s="33" t="n">
        <v>1</v>
      </c>
      <c r="K1490" s="32" t="n">
        <v>75</v>
      </c>
      <c r="L1490" s="33" t="str">
        <f aca="false">IF($B1490="","",IFERROR(INDEX('Code Mapping'!$D$5:$D$1753,MATCH($B1490,'Code Mapping'!$A$5:$A$1753,0)),"Unmapped"))</f>
        <v>Unmapped</v>
      </c>
      <c r="M1490" s="33" t="str">
        <f aca="false">IF($B1490="","",IFERROR(INDEX('Code Mapping'!$E$5:$E$1753,MATCH($B1490,'Code Mapping'!$A$5:$A$1753,0)),"Unmapped"))</f>
        <v>Unmapped</v>
      </c>
      <c r="N1490" s="33" t="str">
        <f aca="false">IF($F1490="","",$F1490)</f>
        <v>InflataCity</v>
      </c>
    </row>
    <row r="1491" customFormat="false" ht="15" hidden="false" customHeight="false" outlineLevel="0" collapsed="false">
      <c r="A1491" s="33" t="n">
        <v>1760</v>
      </c>
      <c r="B1491" s="33" t="s">
        <v>622</v>
      </c>
      <c r="C1491" s="33" t="s">
        <v>511</v>
      </c>
      <c r="D1491" s="33"/>
      <c r="E1491" s="33" t="n">
        <v>55</v>
      </c>
      <c r="F1491" s="33" t="s">
        <v>2160</v>
      </c>
      <c r="G1491" s="33" t="s">
        <v>505</v>
      </c>
      <c r="H1491" s="33" t="n">
        <v>1</v>
      </c>
      <c r="I1491" s="33" t="n">
        <v>1</v>
      </c>
      <c r="J1491" s="33" t="n">
        <v>1</v>
      </c>
      <c r="K1491" s="32" t="n">
        <v>75</v>
      </c>
      <c r="L1491" s="33" t="str">
        <f aca="false">IF($B1491="","",IFERROR(INDEX('Code Mapping'!$D$5:$D$1753,MATCH($B1491,'Code Mapping'!$A$5:$A$1753,0)),"Unmapped"))</f>
        <v>Unmapped</v>
      </c>
      <c r="M1491" s="33" t="str">
        <f aca="false">IF($B1491="","",IFERROR(INDEX('Code Mapping'!$E$5:$E$1753,MATCH($B1491,'Code Mapping'!$A$5:$A$1753,0)),"Unmapped"))</f>
        <v>Unmapped</v>
      </c>
      <c r="N1491" s="33" t="str">
        <f aca="false">IF($F1491="","",$F1491)</f>
        <v>InflataCity</v>
      </c>
    </row>
    <row r="1492" customFormat="false" ht="15" hidden="false" customHeight="false" outlineLevel="0" collapsed="false">
      <c r="A1492" s="33" t="n">
        <v>1907</v>
      </c>
      <c r="B1492" s="33" t="s">
        <v>621</v>
      </c>
      <c r="C1492" s="33" t="s">
        <v>511</v>
      </c>
      <c r="D1492" s="33"/>
      <c r="E1492" s="33" t="n">
        <v>55</v>
      </c>
      <c r="F1492" s="33" t="s">
        <v>2160</v>
      </c>
      <c r="G1492" s="33" t="s">
        <v>505</v>
      </c>
      <c r="H1492" s="33" t="n">
        <v>1</v>
      </c>
      <c r="I1492" s="33" t="n">
        <v>1</v>
      </c>
      <c r="J1492" s="33" t="n">
        <v>1</v>
      </c>
      <c r="K1492" s="32" t="n">
        <v>75</v>
      </c>
      <c r="L1492" s="33" t="str">
        <f aca="false">IF($B1492="","",IFERROR(INDEX('Code Mapping'!$D$5:$D$1753,MATCH($B1492,'Code Mapping'!$A$5:$A$1753,0)),"Unmapped"))</f>
        <v>Unmapped</v>
      </c>
      <c r="M1492" s="33" t="str">
        <f aca="false">IF($B1492="","",IFERROR(INDEX('Code Mapping'!$E$5:$E$1753,MATCH($B1492,'Code Mapping'!$A$5:$A$1753,0)),"Unmapped"))</f>
        <v>Unmapped</v>
      </c>
      <c r="N1492" s="33" t="str">
        <f aca="false">IF($F1492="","",$F1492)</f>
        <v>InflataCity</v>
      </c>
    </row>
    <row r="1493" customFormat="false" ht="15" hidden="false" customHeight="false" outlineLevel="0" collapsed="false">
      <c r="A1493" s="33" t="n">
        <v>1810</v>
      </c>
      <c r="B1493" s="33" t="s">
        <v>620</v>
      </c>
      <c r="C1493" s="33" t="s">
        <v>511</v>
      </c>
      <c r="D1493" s="33"/>
      <c r="E1493" s="33" t="n">
        <v>55</v>
      </c>
      <c r="F1493" s="33" t="s">
        <v>2160</v>
      </c>
      <c r="G1493" s="33" t="s">
        <v>505</v>
      </c>
      <c r="H1493" s="33" t="n">
        <v>1</v>
      </c>
      <c r="I1493" s="33" t="n">
        <v>1</v>
      </c>
      <c r="J1493" s="33" t="n">
        <v>1</v>
      </c>
      <c r="K1493" s="32" t="n">
        <v>75</v>
      </c>
      <c r="L1493" s="33" t="str">
        <f aca="false">IF($B1493="","",IFERROR(INDEX('Code Mapping'!$D$5:$D$1753,MATCH($B1493,'Code Mapping'!$A$5:$A$1753,0)),"Unmapped"))</f>
        <v>Unmapped</v>
      </c>
      <c r="M1493" s="33" t="str">
        <f aca="false">IF($B1493="","",IFERROR(INDEX('Code Mapping'!$E$5:$E$1753,MATCH($B1493,'Code Mapping'!$A$5:$A$1753,0)),"Unmapped"))</f>
        <v>Unmapped</v>
      </c>
      <c r="N1493" s="33" t="str">
        <f aca="false">IF($F1493="","",$F1493)</f>
        <v>InflataCity</v>
      </c>
    </row>
    <row r="1494" customFormat="false" ht="15" hidden="false" customHeight="false" outlineLevel="0" collapsed="false">
      <c r="A1494" s="33" t="n">
        <v>1990</v>
      </c>
      <c r="B1494" s="33" t="s">
        <v>585</v>
      </c>
      <c r="C1494" s="33" t="s">
        <v>511</v>
      </c>
      <c r="D1494" s="33"/>
      <c r="E1494" s="33" t="n">
        <v>55</v>
      </c>
      <c r="F1494" s="33" t="s">
        <v>2160</v>
      </c>
      <c r="G1494" s="33" t="s">
        <v>505</v>
      </c>
      <c r="H1494" s="33" t="n">
        <v>1</v>
      </c>
      <c r="I1494" s="33" t="n">
        <v>1</v>
      </c>
      <c r="J1494" s="33" t="n">
        <v>1</v>
      </c>
      <c r="K1494" s="32" t="n">
        <v>75</v>
      </c>
      <c r="L1494" s="33" t="str">
        <f aca="false">IF($B1494="","",IFERROR(INDEX('Code Mapping'!$D$5:$D$1753,MATCH($B1494,'Code Mapping'!$A$5:$A$1753,0)),"Unmapped"))</f>
        <v>Unmapped</v>
      </c>
      <c r="M1494" s="33" t="str">
        <f aca="false">IF($B1494="","",IFERROR(INDEX('Code Mapping'!$E$5:$E$1753,MATCH($B1494,'Code Mapping'!$A$5:$A$1753,0)),"Unmapped"))</f>
        <v>Unmapped</v>
      </c>
      <c r="N1494" s="33" t="str">
        <f aca="false">IF($F1494="","",$F1494)</f>
        <v>InflataCity</v>
      </c>
    </row>
    <row r="1495" customFormat="false" ht="15" hidden="false" customHeight="false" outlineLevel="0" collapsed="false">
      <c r="A1495" s="33" t="n">
        <v>1558</v>
      </c>
      <c r="B1495" s="33" t="s">
        <v>583</v>
      </c>
      <c r="C1495" s="33" t="s">
        <v>513</v>
      </c>
      <c r="D1495" s="33"/>
      <c r="E1495" s="33" t="n">
        <v>55</v>
      </c>
      <c r="F1495" s="33" t="s">
        <v>2160</v>
      </c>
      <c r="G1495" s="33" t="s">
        <v>505</v>
      </c>
      <c r="H1495" s="33" t="n">
        <v>1</v>
      </c>
      <c r="I1495" s="33" t="n">
        <v>1</v>
      </c>
      <c r="J1495" s="33" t="n">
        <v>1</v>
      </c>
      <c r="K1495" s="32" t="n">
        <v>300</v>
      </c>
      <c r="L1495" s="33" t="str">
        <f aca="false">IF($B1495="","",IFERROR(INDEX('Code Mapping'!$D$5:$D$1753,MATCH($B1495,'Code Mapping'!$A$5:$A$1753,0)),"Unmapped"))</f>
        <v>Unmapped</v>
      </c>
      <c r="M1495" s="33" t="str">
        <f aca="false">IF($B1495="","",IFERROR(INDEX('Code Mapping'!$E$5:$E$1753,MATCH($B1495,'Code Mapping'!$A$5:$A$1753,0)),"Unmapped"))</f>
        <v>Unmapped</v>
      </c>
      <c r="N1495" s="33" t="str">
        <f aca="false">IF($F1495="","",$F1495)</f>
        <v>InflataCity</v>
      </c>
    </row>
    <row r="1496" customFormat="false" ht="15" hidden="false" customHeight="false" outlineLevel="0" collapsed="false">
      <c r="A1496" s="33" t="n">
        <v>2017</v>
      </c>
      <c r="B1496" s="33" t="s">
        <v>652</v>
      </c>
      <c r="C1496" s="33" t="s">
        <v>511</v>
      </c>
      <c r="D1496" s="33"/>
      <c r="E1496" s="33" t="n">
        <v>55</v>
      </c>
      <c r="F1496" s="33" t="s">
        <v>2160</v>
      </c>
      <c r="G1496" s="33" t="s">
        <v>505</v>
      </c>
      <c r="H1496" s="33" t="n">
        <v>1</v>
      </c>
      <c r="I1496" s="33" t="n">
        <v>1</v>
      </c>
      <c r="J1496" s="33" t="n">
        <v>1</v>
      </c>
      <c r="K1496" s="32" t="n">
        <v>75</v>
      </c>
      <c r="L1496" s="33" t="str">
        <f aca="false">IF($B1496="","",IFERROR(INDEX('Code Mapping'!$D$5:$D$1753,MATCH($B1496,'Code Mapping'!$A$5:$A$1753,0)),"Unmapped"))</f>
        <v>Unmapped</v>
      </c>
      <c r="M1496" s="33" t="str">
        <f aca="false">IF($B1496="","",IFERROR(INDEX('Code Mapping'!$E$5:$E$1753,MATCH($B1496,'Code Mapping'!$A$5:$A$1753,0)),"Unmapped"))</f>
        <v>Unmapped</v>
      </c>
      <c r="N1496" s="33" t="str">
        <f aca="false">IF($F1496="","",$F1496)</f>
        <v>InflataCity</v>
      </c>
    </row>
    <row r="1497" customFormat="false" ht="15" hidden="false" customHeight="false" outlineLevel="0" collapsed="false">
      <c r="A1497" s="33" t="n">
        <v>1979</v>
      </c>
      <c r="B1497" s="33" t="s">
        <v>528</v>
      </c>
      <c r="C1497" s="33" t="s">
        <v>511</v>
      </c>
      <c r="D1497" s="33"/>
      <c r="E1497" s="33" t="n">
        <v>55</v>
      </c>
      <c r="F1497" s="33" t="s">
        <v>2160</v>
      </c>
      <c r="G1497" s="33" t="s">
        <v>505</v>
      </c>
      <c r="H1497" s="33" t="n">
        <v>1</v>
      </c>
      <c r="I1497" s="33" t="n">
        <v>1</v>
      </c>
      <c r="J1497" s="33" t="n">
        <v>1</v>
      </c>
      <c r="K1497" s="32" t="n">
        <v>75</v>
      </c>
      <c r="L1497" s="33" t="str">
        <f aca="false">IF($B1497="","",IFERROR(INDEX('Code Mapping'!$D$5:$D$1753,MATCH($B1497,'Code Mapping'!$A$5:$A$1753,0)),"Unmapped"))</f>
        <v>Unmapped</v>
      </c>
      <c r="M1497" s="33" t="str">
        <f aca="false">IF($B1497="","",IFERROR(INDEX('Code Mapping'!$E$5:$E$1753,MATCH($B1497,'Code Mapping'!$A$5:$A$1753,0)),"Unmapped"))</f>
        <v>Unmapped</v>
      </c>
      <c r="N1497" s="33" t="str">
        <f aca="false">IF($F1497="","",$F1497)</f>
        <v>InflataCity</v>
      </c>
    </row>
    <row r="1498" customFormat="false" ht="15" hidden="false" customHeight="false" outlineLevel="0" collapsed="false">
      <c r="A1498" s="33" t="n">
        <v>1968</v>
      </c>
      <c r="B1498" s="33" t="s">
        <v>545</v>
      </c>
      <c r="C1498" s="33" t="s">
        <v>511</v>
      </c>
      <c r="D1498" s="33"/>
      <c r="E1498" s="33" t="n">
        <v>55</v>
      </c>
      <c r="F1498" s="33" t="s">
        <v>2160</v>
      </c>
      <c r="G1498" s="33" t="s">
        <v>505</v>
      </c>
      <c r="H1498" s="33" t="n">
        <v>1</v>
      </c>
      <c r="I1498" s="33" t="n">
        <v>1</v>
      </c>
      <c r="J1498" s="33" t="n">
        <v>1</v>
      </c>
      <c r="K1498" s="32" t="n">
        <v>75</v>
      </c>
      <c r="L1498" s="33" t="str">
        <f aca="false">IF($B1498="","",IFERROR(INDEX('Code Mapping'!$D$5:$D$1753,MATCH($B1498,'Code Mapping'!$A$5:$A$1753,0)),"Unmapped"))</f>
        <v>Unmapped</v>
      </c>
      <c r="M1498" s="33" t="str">
        <f aca="false">IF($B1498="","",IFERROR(INDEX('Code Mapping'!$E$5:$E$1753,MATCH($B1498,'Code Mapping'!$A$5:$A$1753,0)),"Unmapped"))</f>
        <v>Unmapped</v>
      </c>
      <c r="N1498" s="33" t="str">
        <f aca="false">IF($F1498="","",$F1498)</f>
        <v>InflataCity</v>
      </c>
    </row>
    <row r="1499" customFormat="false" ht="15" hidden="false" customHeight="false" outlineLevel="0" collapsed="false">
      <c r="A1499" s="33" t="n">
        <v>1841</v>
      </c>
      <c r="B1499" s="33" t="s">
        <v>544</v>
      </c>
      <c r="C1499" s="33" t="s">
        <v>511</v>
      </c>
      <c r="D1499" s="33"/>
      <c r="E1499" s="33" t="n">
        <v>55</v>
      </c>
      <c r="F1499" s="33" t="s">
        <v>2160</v>
      </c>
      <c r="G1499" s="33" t="s">
        <v>505</v>
      </c>
      <c r="H1499" s="33" t="n">
        <v>1</v>
      </c>
      <c r="I1499" s="33" t="n">
        <v>1</v>
      </c>
      <c r="J1499" s="33" t="n">
        <v>1</v>
      </c>
      <c r="K1499" s="32" t="n">
        <v>75</v>
      </c>
      <c r="L1499" s="33" t="str">
        <f aca="false">IF($B1499="","",IFERROR(INDEX('Code Mapping'!$D$5:$D$1753,MATCH($B1499,'Code Mapping'!$A$5:$A$1753,0)),"Unmapped"))</f>
        <v>Unmapped</v>
      </c>
      <c r="M1499" s="33" t="str">
        <f aca="false">IF($B1499="","",IFERROR(INDEX('Code Mapping'!$E$5:$E$1753,MATCH($B1499,'Code Mapping'!$A$5:$A$1753,0)),"Unmapped"))</f>
        <v>Unmapped</v>
      </c>
      <c r="N1499" s="33" t="str">
        <f aca="false">IF($F1499="","",$F1499)</f>
        <v>InflataCity</v>
      </c>
    </row>
    <row r="1500" customFormat="false" ht="15" hidden="false" customHeight="false" outlineLevel="0" collapsed="false">
      <c r="A1500" s="33" t="n">
        <v>1984</v>
      </c>
      <c r="B1500" s="33" t="s">
        <v>541</v>
      </c>
      <c r="C1500" s="33" t="s">
        <v>511</v>
      </c>
      <c r="D1500" s="33"/>
      <c r="E1500" s="33" t="n">
        <v>55</v>
      </c>
      <c r="F1500" s="33" t="s">
        <v>2160</v>
      </c>
      <c r="G1500" s="33" t="s">
        <v>505</v>
      </c>
      <c r="H1500" s="33" t="n">
        <v>1</v>
      </c>
      <c r="I1500" s="33" t="n">
        <v>1</v>
      </c>
      <c r="J1500" s="33" t="n">
        <v>1</v>
      </c>
      <c r="K1500" s="32" t="n">
        <v>75</v>
      </c>
      <c r="L1500" s="33" t="str">
        <f aca="false">IF($B1500="","",IFERROR(INDEX('Code Mapping'!$D$5:$D$1753,MATCH($B1500,'Code Mapping'!$A$5:$A$1753,0)),"Unmapped"))</f>
        <v>Unmapped</v>
      </c>
      <c r="M1500" s="33" t="str">
        <f aca="false">IF($B1500="","",IFERROR(INDEX('Code Mapping'!$E$5:$E$1753,MATCH($B1500,'Code Mapping'!$A$5:$A$1753,0)),"Unmapped"))</f>
        <v>Unmapped</v>
      </c>
      <c r="N1500" s="33" t="str">
        <f aca="false">IF($F1500="","",$F1500)</f>
        <v>InflataCity</v>
      </c>
    </row>
    <row r="1501" customFormat="false" ht="15" hidden="false" customHeight="false" outlineLevel="0" collapsed="false">
      <c r="A1501" s="33" t="n">
        <v>1834</v>
      </c>
      <c r="B1501" s="33" t="s">
        <v>540</v>
      </c>
      <c r="C1501" s="33" t="s">
        <v>511</v>
      </c>
      <c r="D1501" s="33"/>
      <c r="E1501" s="33" t="n">
        <v>55</v>
      </c>
      <c r="F1501" s="33" t="s">
        <v>2160</v>
      </c>
      <c r="G1501" s="33" t="s">
        <v>505</v>
      </c>
      <c r="H1501" s="33" t="n">
        <v>1</v>
      </c>
      <c r="I1501" s="33" t="n">
        <v>1</v>
      </c>
      <c r="J1501" s="33" t="n">
        <v>1</v>
      </c>
      <c r="K1501" s="32" t="n">
        <v>75</v>
      </c>
      <c r="L1501" s="33" t="str">
        <f aca="false">IF($B1501="","",IFERROR(INDEX('Code Mapping'!$D$5:$D$1753,MATCH($B1501,'Code Mapping'!$A$5:$A$1753,0)),"Unmapped"))</f>
        <v>Unmapped</v>
      </c>
      <c r="M1501" s="33" t="str">
        <f aca="false">IF($B1501="","",IFERROR(INDEX('Code Mapping'!$E$5:$E$1753,MATCH($B1501,'Code Mapping'!$A$5:$A$1753,0)),"Unmapped"))</f>
        <v>Unmapped</v>
      </c>
      <c r="N1501" s="33" t="str">
        <f aca="false">IF($F1501="","",$F1501)</f>
        <v>InflataCity</v>
      </c>
    </row>
    <row r="1502" customFormat="false" ht="15" hidden="false" customHeight="false" outlineLevel="0" collapsed="false">
      <c r="A1502" s="33" t="n">
        <v>2009</v>
      </c>
      <c r="B1502" s="33" t="s">
        <v>538</v>
      </c>
      <c r="C1502" s="33" t="s">
        <v>511</v>
      </c>
      <c r="D1502" s="33"/>
      <c r="E1502" s="33" t="n">
        <v>55</v>
      </c>
      <c r="F1502" s="33" t="s">
        <v>2160</v>
      </c>
      <c r="G1502" s="33" t="s">
        <v>505</v>
      </c>
      <c r="H1502" s="33" t="n">
        <v>1</v>
      </c>
      <c r="I1502" s="33" t="n">
        <v>1</v>
      </c>
      <c r="J1502" s="33" t="n">
        <v>1</v>
      </c>
      <c r="K1502" s="32" t="n">
        <v>75</v>
      </c>
      <c r="L1502" s="33" t="str">
        <f aca="false">IF($B1502="","",IFERROR(INDEX('Code Mapping'!$D$5:$D$1753,MATCH($B1502,'Code Mapping'!$A$5:$A$1753,0)),"Unmapped"))</f>
        <v>Unmapped</v>
      </c>
      <c r="M1502" s="33" t="str">
        <f aca="false">IF($B1502="","",IFERROR(INDEX('Code Mapping'!$E$5:$E$1753,MATCH($B1502,'Code Mapping'!$A$5:$A$1753,0)),"Unmapped"))</f>
        <v>Unmapped</v>
      </c>
      <c r="N1502" s="33" t="str">
        <f aca="false">IF($F1502="","",$F1502)</f>
        <v>InflataCity</v>
      </c>
    </row>
    <row r="1503" customFormat="false" ht="15" hidden="false" customHeight="false" outlineLevel="0" collapsed="false">
      <c r="A1503" s="33" t="n">
        <v>1513</v>
      </c>
      <c r="B1503" s="33" t="s">
        <v>537</v>
      </c>
      <c r="C1503" s="33" t="s">
        <v>513</v>
      </c>
      <c r="D1503" s="33"/>
      <c r="E1503" s="33" t="n">
        <v>55</v>
      </c>
      <c r="F1503" s="33" t="s">
        <v>2160</v>
      </c>
      <c r="G1503" s="33" t="s">
        <v>505</v>
      </c>
      <c r="H1503" s="33" t="n">
        <v>1</v>
      </c>
      <c r="I1503" s="33" t="n">
        <v>1</v>
      </c>
      <c r="J1503" s="33" t="n">
        <v>1</v>
      </c>
      <c r="K1503" s="32" t="n">
        <v>300</v>
      </c>
      <c r="L1503" s="33" t="str">
        <f aca="false">IF($B1503="","",IFERROR(INDEX('Code Mapping'!$D$5:$D$1753,MATCH($B1503,'Code Mapping'!$A$5:$A$1753,0)),"Unmapped"))</f>
        <v>Unmapped</v>
      </c>
      <c r="M1503" s="33" t="str">
        <f aca="false">IF($B1503="","",IFERROR(INDEX('Code Mapping'!$E$5:$E$1753,MATCH($B1503,'Code Mapping'!$A$5:$A$1753,0)),"Unmapped"))</f>
        <v>Unmapped</v>
      </c>
      <c r="N1503" s="33" t="str">
        <f aca="false">IF($F1503="","",$F1503)</f>
        <v>InflataCity</v>
      </c>
    </row>
    <row r="1504" customFormat="false" ht="15" hidden="false" customHeight="false" outlineLevel="0" collapsed="false">
      <c r="A1504" s="33" t="n">
        <v>1510</v>
      </c>
      <c r="B1504" s="33" t="s">
        <v>530</v>
      </c>
      <c r="C1504" s="33" t="s">
        <v>513</v>
      </c>
      <c r="D1504" s="33"/>
      <c r="E1504" s="33" t="n">
        <v>55</v>
      </c>
      <c r="F1504" s="33" t="s">
        <v>2160</v>
      </c>
      <c r="G1504" s="33" t="s">
        <v>505</v>
      </c>
      <c r="H1504" s="33" t="n">
        <v>1</v>
      </c>
      <c r="I1504" s="33" t="n">
        <v>1</v>
      </c>
      <c r="J1504" s="33" t="n">
        <v>1</v>
      </c>
      <c r="K1504" s="32" t="n">
        <v>300</v>
      </c>
      <c r="L1504" s="33" t="str">
        <f aca="false">IF($B1504="","",IFERROR(INDEX('Code Mapping'!$D$5:$D$1753,MATCH($B1504,'Code Mapping'!$A$5:$A$1753,0)),"Unmapped"))</f>
        <v>Unmapped</v>
      </c>
      <c r="M1504" s="33" t="str">
        <f aca="false">IF($B1504="","",IFERROR(INDEX('Code Mapping'!$E$5:$E$1753,MATCH($B1504,'Code Mapping'!$A$5:$A$1753,0)),"Unmapped"))</f>
        <v>Unmapped</v>
      </c>
      <c r="N1504" s="33" t="str">
        <f aca="false">IF($F1504="","",$F1504)</f>
        <v>InflataCity</v>
      </c>
    </row>
    <row r="1505" customFormat="false" ht="15" hidden="false" customHeight="false" outlineLevel="0" collapsed="false">
      <c r="A1505" s="33" t="n">
        <v>2002</v>
      </c>
      <c r="B1505" s="33" t="s">
        <v>529</v>
      </c>
      <c r="C1505" s="33" t="s">
        <v>511</v>
      </c>
      <c r="D1505" s="33"/>
      <c r="E1505" s="33" t="n">
        <v>55</v>
      </c>
      <c r="F1505" s="33" t="s">
        <v>2160</v>
      </c>
      <c r="G1505" s="33" t="s">
        <v>505</v>
      </c>
      <c r="H1505" s="33" t="n">
        <v>1</v>
      </c>
      <c r="I1505" s="33" t="n">
        <v>1</v>
      </c>
      <c r="J1505" s="33" t="n">
        <v>1</v>
      </c>
      <c r="K1505" s="32" t="n">
        <v>75</v>
      </c>
      <c r="L1505" s="33" t="str">
        <f aca="false">IF($B1505="","",IFERROR(INDEX('Code Mapping'!$D$5:$D$1753,MATCH($B1505,'Code Mapping'!$A$5:$A$1753,0)),"Unmapped"))</f>
        <v>Unmapped</v>
      </c>
      <c r="M1505" s="33" t="str">
        <f aca="false">IF($B1505="","",IFERROR(INDEX('Code Mapping'!$E$5:$E$1753,MATCH($B1505,'Code Mapping'!$A$5:$A$1753,0)),"Unmapped"))</f>
        <v>Unmapped</v>
      </c>
      <c r="N1505" s="33" t="str">
        <f aca="false">IF($F1505="","",$F1505)</f>
        <v>InflataCity</v>
      </c>
    </row>
    <row r="1506" customFormat="false" ht="15" hidden="false" customHeight="false" outlineLevel="0" collapsed="false">
      <c r="A1506" s="33" t="n">
        <v>1943</v>
      </c>
      <c r="B1506" s="33" t="s">
        <v>527</v>
      </c>
      <c r="C1506" s="33" t="s">
        <v>511</v>
      </c>
      <c r="D1506" s="33"/>
      <c r="E1506" s="33" t="n">
        <v>55</v>
      </c>
      <c r="F1506" s="33" t="s">
        <v>2160</v>
      </c>
      <c r="G1506" s="33" t="s">
        <v>505</v>
      </c>
      <c r="H1506" s="33" t="n">
        <v>1</v>
      </c>
      <c r="I1506" s="33" t="n">
        <v>1</v>
      </c>
      <c r="J1506" s="33" t="n">
        <v>1</v>
      </c>
      <c r="K1506" s="32" t="n">
        <v>75</v>
      </c>
      <c r="L1506" s="33" t="str">
        <f aca="false">IF($B1506="","",IFERROR(INDEX('Code Mapping'!$D$5:$D$1753,MATCH($B1506,'Code Mapping'!$A$5:$A$1753,0)),"Unmapped"))</f>
        <v>Unmapped</v>
      </c>
      <c r="M1506" s="33" t="str">
        <f aca="false">IF($B1506="","",IFERROR(INDEX('Code Mapping'!$E$5:$E$1753,MATCH($B1506,'Code Mapping'!$A$5:$A$1753,0)),"Unmapped"))</f>
        <v>Unmapped</v>
      </c>
      <c r="N1506" s="33" t="str">
        <f aca="false">IF($F1506="","",$F1506)</f>
        <v>InflataCity</v>
      </c>
    </row>
    <row r="1507" customFormat="false" ht="15" hidden="false" customHeight="false" outlineLevel="0" collapsed="false">
      <c r="A1507" s="33" t="n">
        <v>1999</v>
      </c>
      <c r="B1507" s="33" t="s">
        <v>582</v>
      </c>
      <c r="C1507" s="33" t="s">
        <v>511</v>
      </c>
      <c r="D1507" s="33"/>
      <c r="E1507" s="33" t="n">
        <v>55</v>
      </c>
      <c r="F1507" s="33" t="s">
        <v>2160</v>
      </c>
      <c r="G1507" s="33" t="s">
        <v>505</v>
      </c>
      <c r="H1507" s="33" t="n">
        <v>1</v>
      </c>
      <c r="I1507" s="33" t="n">
        <v>1</v>
      </c>
      <c r="J1507" s="33" t="n">
        <v>1</v>
      </c>
      <c r="K1507" s="32" t="n">
        <v>75</v>
      </c>
      <c r="L1507" s="33" t="str">
        <f aca="false">IF($B1507="","",IFERROR(INDEX('Code Mapping'!$D$5:$D$1753,MATCH($B1507,'Code Mapping'!$A$5:$A$1753,0)),"Unmapped"))</f>
        <v>Unmapped</v>
      </c>
      <c r="M1507" s="33" t="str">
        <f aca="false">IF($B1507="","",IFERROR(INDEX('Code Mapping'!$E$5:$E$1753,MATCH($B1507,'Code Mapping'!$A$5:$A$1753,0)),"Unmapped"))</f>
        <v>Unmapped</v>
      </c>
      <c r="N1507" s="33" t="str">
        <f aca="false">IF($F1507="","",$F1507)</f>
        <v>InflataCity</v>
      </c>
    </row>
    <row r="1508" customFormat="false" ht="15" hidden="false" customHeight="false" outlineLevel="0" collapsed="false">
      <c r="A1508" s="33" t="n">
        <v>1564</v>
      </c>
      <c r="B1508" s="33" t="s">
        <v>525</v>
      </c>
      <c r="C1508" s="33" t="s">
        <v>513</v>
      </c>
      <c r="D1508" s="33"/>
      <c r="E1508" s="33" t="n">
        <v>55</v>
      </c>
      <c r="F1508" s="33" t="s">
        <v>2160</v>
      </c>
      <c r="G1508" s="33" t="s">
        <v>505</v>
      </c>
      <c r="H1508" s="33" t="n">
        <v>1</v>
      </c>
      <c r="I1508" s="33" t="n">
        <v>1</v>
      </c>
      <c r="J1508" s="33" t="n">
        <v>1</v>
      </c>
      <c r="K1508" s="32" t="n">
        <v>300</v>
      </c>
      <c r="L1508" s="33" t="str">
        <f aca="false">IF($B1508="","",IFERROR(INDEX('Code Mapping'!$D$5:$D$1753,MATCH($B1508,'Code Mapping'!$A$5:$A$1753,0)),"Unmapped"))</f>
        <v>Unmapped</v>
      </c>
      <c r="M1508" s="33" t="str">
        <f aca="false">IF($B1508="","",IFERROR(INDEX('Code Mapping'!$E$5:$E$1753,MATCH($B1508,'Code Mapping'!$A$5:$A$1753,0)),"Unmapped"))</f>
        <v>Unmapped</v>
      </c>
      <c r="N1508" s="33" t="str">
        <f aca="false">IF($F1508="","",$F1508)</f>
        <v>InflataCity</v>
      </c>
    </row>
    <row r="1509" customFormat="false" ht="15" hidden="false" customHeight="false" outlineLevel="0" collapsed="false">
      <c r="A1509" s="33" t="n">
        <v>1757</v>
      </c>
      <c r="B1509" s="33" t="s">
        <v>524</v>
      </c>
      <c r="C1509" s="33" t="s">
        <v>511</v>
      </c>
      <c r="D1509" s="33"/>
      <c r="E1509" s="33" t="n">
        <v>55</v>
      </c>
      <c r="F1509" s="33" t="s">
        <v>2160</v>
      </c>
      <c r="G1509" s="33" t="s">
        <v>505</v>
      </c>
      <c r="H1509" s="33" t="n">
        <v>1</v>
      </c>
      <c r="I1509" s="33" t="n">
        <v>1</v>
      </c>
      <c r="J1509" s="33" t="n">
        <v>1</v>
      </c>
      <c r="K1509" s="32" t="n">
        <v>75</v>
      </c>
      <c r="L1509" s="33" t="str">
        <f aca="false">IF($B1509="","",IFERROR(INDEX('Code Mapping'!$D$5:$D$1753,MATCH($B1509,'Code Mapping'!$A$5:$A$1753,0)),"Unmapped"))</f>
        <v>Unmapped</v>
      </c>
      <c r="M1509" s="33" t="str">
        <f aca="false">IF($B1509="","",IFERROR(INDEX('Code Mapping'!$E$5:$E$1753,MATCH($B1509,'Code Mapping'!$A$5:$A$1753,0)),"Unmapped"))</f>
        <v>Unmapped</v>
      </c>
      <c r="N1509" s="33" t="str">
        <f aca="false">IF($F1509="","",$F1509)</f>
        <v>InflataCity</v>
      </c>
    </row>
    <row r="1510" customFormat="false" ht="15" hidden="false" customHeight="false" outlineLevel="0" collapsed="false">
      <c r="A1510" s="33" t="n">
        <v>1885</v>
      </c>
      <c r="B1510" s="33" t="s">
        <v>521</v>
      </c>
      <c r="C1510" s="33" t="s">
        <v>511</v>
      </c>
      <c r="D1510" s="33"/>
      <c r="E1510" s="33" t="n">
        <v>55</v>
      </c>
      <c r="F1510" s="33" t="s">
        <v>2160</v>
      </c>
      <c r="G1510" s="33" t="s">
        <v>505</v>
      </c>
      <c r="H1510" s="33" t="n">
        <v>1</v>
      </c>
      <c r="I1510" s="33" t="n">
        <v>1</v>
      </c>
      <c r="J1510" s="33" t="n">
        <v>1</v>
      </c>
      <c r="K1510" s="32" t="n">
        <v>75</v>
      </c>
      <c r="L1510" s="33" t="str">
        <f aca="false">IF($B1510="","",IFERROR(INDEX('Code Mapping'!$D$5:$D$1753,MATCH($B1510,'Code Mapping'!$A$5:$A$1753,0)),"Unmapped"))</f>
        <v>Unmapped</v>
      </c>
      <c r="M1510" s="33" t="str">
        <f aca="false">IF($B1510="","",IFERROR(INDEX('Code Mapping'!$E$5:$E$1753,MATCH($B1510,'Code Mapping'!$A$5:$A$1753,0)),"Unmapped"))</f>
        <v>Unmapped</v>
      </c>
      <c r="N1510" s="33" t="str">
        <f aca="false">IF($F1510="","",$F1510)</f>
        <v>InflataCity</v>
      </c>
    </row>
    <row r="1511" customFormat="false" ht="15" hidden="false" customHeight="false" outlineLevel="0" collapsed="false">
      <c r="A1511" s="33" t="n">
        <v>1557</v>
      </c>
      <c r="B1511" s="33" t="s">
        <v>518</v>
      </c>
      <c r="C1511" s="33" t="s">
        <v>513</v>
      </c>
      <c r="D1511" s="33"/>
      <c r="E1511" s="33" t="n">
        <v>55</v>
      </c>
      <c r="F1511" s="33" t="s">
        <v>2160</v>
      </c>
      <c r="G1511" s="33" t="s">
        <v>505</v>
      </c>
      <c r="H1511" s="33" t="n">
        <v>1</v>
      </c>
      <c r="I1511" s="33" t="n">
        <v>1</v>
      </c>
      <c r="J1511" s="33" t="n">
        <v>1</v>
      </c>
      <c r="K1511" s="32" t="n">
        <v>300</v>
      </c>
      <c r="L1511" s="33" t="str">
        <f aca="false">IF($B1511="","",IFERROR(INDEX('Code Mapping'!$D$5:$D$1753,MATCH($B1511,'Code Mapping'!$A$5:$A$1753,0)),"Unmapped"))</f>
        <v>Unmapped</v>
      </c>
      <c r="M1511" s="33" t="str">
        <f aca="false">IF($B1511="","",IFERROR(INDEX('Code Mapping'!$E$5:$E$1753,MATCH($B1511,'Code Mapping'!$A$5:$A$1753,0)),"Unmapped"))</f>
        <v>Unmapped</v>
      </c>
      <c r="N1511" s="33" t="str">
        <f aca="false">IF($F1511="","",$F1511)</f>
        <v>InflataCity</v>
      </c>
    </row>
    <row r="1512" customFormat="false" ht="15" hidden="false" customHeight="false" outlineLevel="0" collapsed="false">
      <c r="A1512" s="33" t="n">
        <v>1870</v>
      </c>
      <c r="B1512" s="33" t="s">
        <v>515</v>
      </c>
      <c r="C1512" s="33" t="s">
        <v>511</v>
      </c>
      <c r="D1512" s="33"/>
      <c r="E1512" s="33" t="n">
        <v>55</v>
      </c>
      <c r="F1512" s="33" t="s">
        <v>2160</v>
      </c>
      <c r="G1512" s="33" t="s">
        <v>505</v>
      </c>
      <c r="H1512" s="33" t="n">
        <v>1</v>
      </c>
      <c r="I1512" s="33" t="n">
        <v>1</v>
      </c>
      <c r="J1512" s="33" t="n">
        <v>1</v>
      </c>
      <c r="K1512" s="32" t="n">
        <v>75</v>
      </c>
      <c r="L1512" s="33" t="str">
        <f aca="false">IF($B1512="","",IFERROR(INDEX('Code Mapping'!$D$5:$D$1753,MATCH($B1512,'Code Mapping'!$A$5:$A$1753,0)),"Unmapped"))</f>
        <v>Unmapped</v>
      </c>
      <c r="M1512" s="33" t="str">
        <f aca="false">IF($B1512="","",IFERROR(INDEX('Code Mapping'!$E$5:$E$1753,MATCH($B1512,'Code Mapping'!$A$5:$A$1753,0)),"Unmapped"))</f>
        <v>Unmapped</v>
      </c>
      <c r="N1512" s="33" t="str">
        <f aca="false">IF($F1512="","",$F1512)</f>
        <v>InflataCity</v>
      </c>
    </row>
    <row r="1513" customFormat="false" ht="15" hidden="false" customHeight="false" outlineLevel="0" collapsed="false">
      <c r="A1513" s="33" t="n">
        <v>1986</v>
      </c>
      <c r="B1513" s="33" t="s">
        <v>510</v>
      </c>
      <c r="C1513" s="33" t="s">
        <v>511</v>
      </c>
      <c r="D1513" s="33"/>
      <c r="E1513" s="33" t="n">
        <v>55</v>
      </c>
      <c r="F1513" s="33" t="s">
        <v>2160</v>
      </c>
      <c r="G1513" s="33" t="s">
        <v>505</v>
      </c>
      <c r="H1513" s="33" t="n">
        <v>1</v>
      </c>
      <c r="I1513" s="33" t="n">
        <v>1</v>
      </c>
      <c r="J1513" s="33" t="n">
        <v>1</v>
      </c>
      <c r="K1513" s="32" t="n">
        <v>75</v>
      </c>
      <c r="L1513" s="33" t="str">
        <f aca="false">IF($B1513="","",IFERROR(INDEX('Code Mapping'!$D$5:$D$1753,MATCH($B1513,'Code Mapping'!$A$5:$A$1753,0)),"Unmapped"))</f>
        <v>Unmapped</v>
      </c>
      <c r="M1513" s="33" t="str">
        <f aca="false">IF($B1513="","",IFERROR(INDEX('Code Mapping'!$E$5:$E$1753,MATCH($B1513,'Code Mapping'!$A$5:$A$1753,0)),"Unmapped"))</f>
        <v>Unmapped</v>
      </c>
      <c r="N1513" s="33" t="str">
        <f aca="false">IF($F1513="","",$F1513)</f>
        <v>InflataCity</v>
      </c>
    </row>
    <row r="1514" customFormat="false" ht="15" hidden="false" customHeight="false" outlineLevel="0" collapsed="false">
      <c r="A1514" s="33" t="n">
        <v>2950</v>
      </c>
      <c r="B1514" s="33" t="s">
        <v>503</v>
      </c>
      <c r="C1514" s="33" t="s">
        <v>504</v>
      </c>
      <c r="D1514" s="33"/>
      <c r="E1514" s="33" t="n">
        <v>55</v>
      </c>
      <c r="F1514" s="33" t="s">
        <v>2160</v>
      </c>
      <c r="G1514" s="33" t="s">
        <v>505</v>
      </c>
      <c r="H1514" s="33" t="n">
        <v>2</v>
      </c>
      <c r="I1514" s="33" t="n">
        <v>2</v>
      </c>
      <c r="J1514" s="33" t="n">
        <v>2</v>
      </c>
      <c r="K1514" s="32" t="n">
        <v>120</v>
      </c>
      <c r="L1514" s="33" t="str">
        <f aca="false">IF($B1514="","",IFERROR(INDEX('Code Mapping'!$D$5:$D$1753,MATCH($B1514,'Code Mapping'!$A$5:$A$1753,0)),"Unmapped"))</f>
        <v>Unmapped</v>
      </c>
      <c r="M1514" s="33" t="str">
        <f aca="false">IF($B1514="","",IFERROR(INDEX('Code Mapping'!$E$5:$E$1753,MATCH($B1514,'Code Mapping'!$A$5:$A$1753,0)),"Unmapped"))</f>
        <v>Unmapped</v>
      </c>
      <c r="N1514" s="33" t="str">
        <f aca="false">IF($F1514="","",$F1514)</f>
        <v>InflataCity</v>
      </c>
    </row>
    <row r="1515" customFormat="false" ht="15" hidden="false" customHeight="false" outlineLevel="0" collapsed="false">
      <c r="A1515" s="33" t="n">
        <v>1773</v>
      </c>
      <c r="B1515" s="33" t="s">
        <v>802</v>
      </c>
      <c r="C1515" s="33" t="s">
        <v>511</v>
      </c>
      <c r="D1515" s="33"/>
      <c r="E1515" s="33" t="n">
        <v>55</v>
      </c>
      <c r="F1515" s="33" t="s">
        <v>2160</v>
      </c>
      <c r="G1515" s="33" t="s">
        <v>505</v>
      </c>
      <c r="H1515" s="33" t="n">
        <v>1</v>
      </c>
      <c r="I1515" s="33" t="n">
        <v>1</v>
      </c>
      <c r="J1515" s="33" t="n">
        <v>1</v>
      </c>
      <c r="K1515" s="32" t="n">
        <v>75</v>
      </c>
      <c r="L1515" s="33" t="str">
        <f aca="false">IF($B1515="","",IFERROR(INDEX('Code Mapping'!$D$5:$D$1753,MATCH($B1515,'Code Mapping'!$A$5:$A$1753,0)),"Unmapped"))</f>
        <v>Unmapped</v>
      </c>
      <c r="M1515" s="33" t="str">
        <f aca="false">IF($B1515="","",IFERROR(INDEX('Code Mapping'!$E$5:$E$1753,MATCH($B1515,'Code Mapping'!$A$5:$A$1753,0)),"Unmapped"))</f>
        <v>Unmapped</v>
      </c>
      <c r="N1515" s="33" t="str">
        <f aca="false">IF($F1515="","",$F1515)</f>
        <v>InflataCity</v>
      </c>
    </row>
    <row r="1516" customFormat="false" ht="15" hidden="false" customHeight="false" outlineLevel="0" collapsed="false">
      <c r="A1516" s="33" t="n">
        <v>2012</v>
      </c>
      <c r="B1516" s="33" t="s">
        <v>546</v>
      </c>
      <c r="C1516" s="33" t="s">
        <v>511</v>
      </c>
      <c r="D1516" s="33"/>
      <c r="E1516" s="33" t="n">
        <v>55</v>
      </c>
      <c r="F1516" s="33" t="s">
        <v>2160</v>
      </c>
      <c r="G1516" s="33" t="s">
        <v>505</v>
      </c>
      <c r="H1516" s="33" t="n">
        <v>1</v>
      </c>
      <c r="I1516" s="33" t="n">
        <v>1</v>
      </c>
      <c r="J1516" s="33" t="n">
        <v>1</v>
      </c>
      <c r="K1516" s="32" t="n">
        <v>75</v>
      </c>
      <c r="L1516" s="33" t="str">
        <f aca="false">IF($B1516="","",IFERROR(INDEX('Code Mapping'!$D$5:$D$1753,MATCH($B1516,'Code Mapping'!$A$5:$A$1753,0)),"Unmapped"))</f>
        <v>Unmapped</v>
      </c>
      <c r="M1516" s="33" t="str">
        <f aca="false">IF($B1516="","",IFERROR(INDEX('Code Mapping'!$E$5:$E$1753,MATCH($B1516,'Code Mapping'!$A$5:$A$1753,0)),"Unmapped"))</f>
        <v>Unmapped</v>
      </c>
      <c r="N1516" s="33" t="str">
        <f aca="false">IF($F1516="","",$F1516)</f>
        <v>InflataCity</v>
      </c>
    </row>
    <row r="1517" customFormat="false" ht="15" hidden="false" customHeight="false" outlineLevel="0" collapsed="false">
      <c r="A1517" s="33" t="n">
        <v>1542</v>
      </c>
      <c r="B1517" s="33" t="s">
        <v>547</v>
      </c>
      <c r="C1517" s="33" t="s">
        <v>513</v>
      </c>
      <c r="D1517" s="33"/>
      <c r="E1517" s="33" t="n">
        <v>55</v>
      </c>
      <c r="F1517" s="33" t="s">
        <v>2160</v>
      </c>
      <c r="G1517" s="33" t="s">
        <v>505</v>
      </c>
      <c r="H1517" s="33" t="n">
        <v>1</v>
      </c>
      <c r="I1517" s="33" t="n">
        <v>1</v>
      </c>
      <c r="J1517" s="33" t="n">
        <v>1</v>
      </c>
      <c r="K1517" s="32" t="n">
        <v>300</v>
      </c>
      <c r="L1517" s="33" t="str">
        <f aca="false">IF($B1517="","",IFERROR(INDEX('Code Mapping'!$D$5:$D$1753,MATCH($B1517,'Code Mapping'!$A$5:$A$1753,0)),"Unmapped"))</f>
        <v>Unmapped</v>
      </c>
      <c r="M1517" s="33" t="str">
        <f aca="false">IF($B1517="","",IFERROR(INDEX('Code Mapping'!$E$5:$E$1753,MATCH($B1517,'Code Mapping'!$A$5:$A$1753,0)),"Unmapped"))</f>
        <v>Unmapped</v>
      </c>
      <c r="N1517" s="33" t="str">
        <f aca="false">IF($F1517="","",$F1517)</f>
        <v>InflataCity</v>
      </c>
    </row>
    <row r="1518" customFormat="false" ht="15" hidden="false" customHeight="false" outlineLevel="0" collapsed="false">
      <c r="A1518" s="33" t="n">
        <v>1767</v>
      </c>
      <c r="B1518" s="33" t="s">
        <v>549</v>
      </c>
      <c r="C1518" s="33" t="s">
        <v>511</v>
      </c>
      <c r="D1518" s="33"/>
      <c r="E1518" s="33" t="n">
        <v>55</v>
      </c>
      <c r="F1518" s="33" t="s">
        <v>2160</v>
      </c>
      <c r="G1518" s="33" t="s">
        <v>505</v>
      </c>
      <c r="H1518" s="33" t="n">
        <v>1</v>
      </c>
      <c r="I1518" s="33" t="n">
        <v>1</v>
      </c>
      <c r="J1518" s="33" t="n">
        <v>1</v>
      </c>
      <c r="K1518" s="32" t="n">
        <v>75</v>
      </c>
      <c r="L1518" s="33" t="str">
        <f aca="false">IF($B1518="","",IFERROR(INDEX('Code Mapping'!$D$5:$D$1753,MATCH($B1518,'Code Mapping'!$A$5:$A$1753,0)),"Unmapped"))</f>
        <v>Unmapped</v>
      </c>
      <c r="M1518" s="33" t="str">
        <f aca="false">IF($B1518="","",IFERROR(INDEX('Code Mapping'!$E$5:$E$1753,MATCH($B1518,'Code Mapping'!$A$5:$A$1753,0)),"Unmapped"))</f>
        <v>Unmapped</v>
      </c>
      <c r="N1518" s="33" t="str">
        <f aca="false">IF($F1518="","",$F1518)</f>
        <v>InflataCity</v>
      </c>
    </row>
    <row r="1519" customFormat="false" ht="15" hidden="false" customHeight="false" outlineLevel="0" collapsed="false">
      <c r="A1519" s="33" t="n">
        <v>2006</v>
      </c>
      <c r="B1519" s="33" t="s">
        <v>553</v>
      </c>
      <c r="C1519" s="33" t="s">
        <v>511</v>
      </c>
      <c r="D1519" s="33"/>
      <c r="E1519" s="33" t="n">
        <v>55</v>
      </c>
      <c r="F1519" s="33" t="s">
        <v>2160</v>
      </c>
      <c r="G1519" s="33" t="s">
        <v>505</v>
      </c>
      <c r="H1519" s="33" t="n">
        <v>1</v>
      </c>
      <c r="I1519" s="33" t="n">
        <v>1</v>
      </c>
      <c r="J1519" s="33" t="n">
        <v>1</v>
      </c>
      <c r="K1519" s="32" t="n">
        <v>75</v>
      </c>
      <c r="L1519" s="33" t="str">
        <f aca="false">IF($B1519="","",IFERROR(INDEX('Code Mapping'!$D$5:$D$1753,MATCH($B1519,'Code Mapping'!$A$5:$A$1753,0)),"Unmapped"))</f>
        <v>Unmapped</v>
      </c>
      <c r="M1519" s="33" t="str">
        <f aca="false">IF($B1519="","",IFERROR(INDEX('Code Mapping'!$E$5:$E$1753,MATCH($B1519,'Code Mapping'!$A$5:$A$1753,0)),"Unmapped"))</f>
        <v>Unmapped</v>
      </c>
      <c r="N1519" s="33" t="str">
        <f aca="false">IF($F1519="","",$F1519)</f>
        <v>InflataCity</v>
      </c>
    </row>
    <row r="1520" customFormat="false" ht="15" hidden="false" customHeight="false" outlineLevel="0" collapsed="false">
      <c r="A1520" s="33" t="n">
        <v>1509</v>
      </c>
      <c r="B1520" s="33" t="s">
        <v>580</v>
      </c>
      <c r="C1520" s="33" t="s">
        <v>513</v>
      </c>
      <c r="D1520" s="33"/>
      <c r="E1520" s="33" t="n">
        <v>55</v>
      </c>
      <c r="F1520" s="33" t="s">
        <v>2160</v>
      </c>
      <c r="G1520" s="33" t="s">
        <v>505</v>
      </c>
      <c r="H1520" s="33" t="n">
        <v>1</v>
      </c>
      <c r="I1520" s="33" t="n">
        <v>1</v>
      </c>
      <c r="J1520" s="33" t="n">
        <v>1</v>
      </c>
      <c r="K1520" s="32" t="n">
        <v>300</v>
      </c>
      <c r="L1520" s="33" t="str">
        <f aca="false">IF($B1520="","",IFERROR(INDEX('Code Mapping'!$D$5:$D$1753,MATCH($B1520,'Code Mapping'!$A$5:$A$1753,0)),"Unmapped"))</f>
        <v>Al Jazeera Imtiyazat</v>
      </c>
      <c r="M1520" s="33" t="str">
        <f aca="false">IF($B1520="","",IFERROR(INDEX('Code Mapping'!$E$5:$E$1753,MATCH($B1520,'Code Mapping'!$A$5:$A$1753,0)),"Unmapped"))</f>
        <v>Corporate discount</v>
      </c>
      <c r="N1520" s="33" t="str">
        <f aca="false">IF($F1520="","",$F1520)</f>
        <v>InflataCity</v>
      </c>
    </row>
    <row r="1521" customFormat="false" ht="15" hidden="false" customHeight="false" outlineLevel="0" collapsed="false">
      <c r="A1521" s="33" t="n">
        <v>1840</v>
      </c>
      <c r="B1521" s="33" t="s">
        <v>579</v>
      </c>
      <c r="C1521" s="33" t="s">
        <v>511</v>
      </c>
      <c r="D1521" s="33"/>
      <c r="E1521" s="33" t="n">
        <v>55</v>
      </c>
      <c r="F1521" s="33" t="s">
        <v>2160</v>
      </c>
      <c r="G1521" s="33" t="s">
        <v>505</v>
      </c>
      <c r="H1521" s="33" t="n">
        <v>1</v>
      </c>
      <c r="I1521" s="33" t="n">
        <v>1</v>
      </c>
      <c r="J1521" s="33" t="n">
        <v>1</v>
      </c>
      <c r="K1521" s="32" t="n">
        <v>75</v>
      </c>
      <c r="L1521" s="33" t="str">
        <f aca="false">IF($B1521="","",IFERROR(INDEX('Code Mapping'!$D$5:$D$1753,MATCH($B1521,'Code Mapping'!$A$5:$A$1753,0)),"Unmapped"))</f>
        <v>Unmapped</v>
      </c>
      <c r="M1521" s="33" t="str">
        <f aca="false">IF($B1521="","",IFERROR(INDEX('Code Mapping'!$E$5:$E$1753,MATCH($B1521,'Code Mapping'!$A$5:$A$1753,0)),"Unmapped"))</f>
        <v>Unmapped</v>
      </c>
      <c r="N1521" s="33" t="str">
        <f aca="false">IF($F1521="","",$F1521)</f>
        <v>InflataCity</v>
      </c>
    </row>
    <row r="1522" customFormat="false" ht="15" hidden="false" customHeight="false" outlineLevel="0" collapsed="false">
      <c r="A1522" s="33" t="n">
        <v>2001</v>
      </c>
      <c r="B1522" s="33" t="s">
        <v>578</v>
      </c>
      <c r="C1522" s="33" t="s">
        <v>511</v>
      </c>
      <c r="D1522" s="33"/>
      <c r="E1522" s="33" t="n">
        <v>55</v>
      </c>
      <c r="F1522" s="33" t="s">
        <v>2160</v>
      </c>
      <c r="G1522" s="33" t="s">
        <v>505</v>
      </c>
      <c r="H1522" s="33" t="n">
        <v>1</v>
      </c>
      <c r="I1522" s="33" t="n">
        <v>1</v>
      </c>
      <c r="J1522" s="33" t="n">
        <v>1</v>
      </c>
      <c r="K1522" s="32" t="n">
        <v>75</v>
      </c>
      <c r="L1522" s="33" t="str">
        <f aca="false">IF($B1522="","",IFERROR(INDEX('Code Mapping'!$D$5:$D$1753,MATCH($B1522,'Code Mapping'!$A$5:$A$1753,0)),"Unmapped"))</f>
        <v>Unmapped</v>
      </c>
      <c r="M1522" s="33" t="str">
        <f aca="false">IF($B1522="","",IFERROR(INDEX('Code Mapping'!$E$5:$E$1753,MATCH($B1522,'Code Mapping'!$A$5:$A$1753,0)),"Unmapped"))</f>
        <v>Unmapped</v>
      </c>
      <c r="N1522" s="33" t="str">
        <f aca="false">IF($F1522="","",$F1522)</f>
        <v>InflataCity</v>
      </c>
    </row>
    <row r="1523" customFormat="false" ht="15" hidden="false" customHeight="false" outlineLevel="0" collapsed="false">
      <c r="A1523" s="33" t="n">
        <v>1763</v>
      </c>
      <c r="B1523" s="33" t="s">
        <v>575</v>
      </c>
      <c r="C1523" s="33" t="s">
        <v>511</v>
      </c>
      <c r="D1523" s="33"/>
      <c r="E1523" s="33" t="n">
        <v>55</v>
      </c>
      <c r="F1523" s="33" t="s">
        <v>2160</v>
      </c>
      <c r="G1523" s="33" t="s">
        <v>505</v>
      </c>
      <c r="H1523" s="33" t="n">
        <v>1</v>
      </c>
      <c r="I1523" s="33" t="n">
        <v>1</v>
      </c>
      <c r="J1523" s="33" t="n">
        <v>1</v>
      </c>
      <c r="K1523" s="32" t="n">
        <v>75</v>
      </c>
      <c r="L1523" s="33" t="str">
        <f aca="false">IF($B1523="","",IFERROR(INDEX('Code Mapping'!$D$5:$D$1753,MATCH($B1523,'Code Mapping'!$A$5:$A$1753,0)),"Unmapped"))</f>
        <v>Unmapped</v>
      </c>
      <c r="M1523" s="33" t="str">
        <f aca="false">IF($B1523="","",IFERROR(INDEX('Code Mapping'!$E$5:$E$1753,MATCH($B1523,'Code Mapping'!$A$5:$A$1753,0)),"Unmapped"))</f>
        <v>Unmapped</v>
      </c>
      <c r="N1523" s="33" t="str">
        <f aca="false">IF($F1523="","",$F1523)</f>
        <v>InflataCity</v>
      </c>
    </row>
    <row r="1524" customFormat="false" ht="15" hidden="false" customHeight="false" outlineLevel="0" collapsed="false">
      <c r="A1524" s="33" t="n">
        <v>1879</v>
      </c>
      <c r="B1524" s="33" t="s">
        <v>574</v>
      </c>
      <c r="C1524" s="33" t="s">
        <v>511</v>
      </c>
      <c r="D1524" s="33"/>
      <c r="E1524" s="33" t="n">
        <v>55</v>
      </c>
      <c r="F1524" s="33" t="s">
        <v>2160</v>
      </c>
      <c r="G1524" s="33" t="s">
        <v>505</v>
      </c>
      <c r="H1524" s="33" t="n">
        <v>1</v>
      </c>
      <c r="I1524" s="33" t="n">
        <v>1</v>
      </c>
      <c r="J1524" s="33" t="n">
        <v>1</v>
      </c>
      <c r="K1524" s="32" t="n">
        <v>75</v>
      </c>
      <c r="L1524" s="33" t="str">
        <f aca="false">IF($B1524="","",IFERROR(INDEX('Code Mapping'!$D$5:$D$1753,MATCH($B1524,'Code Mapping'!$A$5:$A$1753,0)),"Unmapped"))</f>
        <v>Unmapped</v>
      </c>
      <c r="M1524" s="33" t="str">
        <f aca="false">IF($B1524="","",IFERROR(INDEX('Code Mapping'!$E$5:$E$1753,MATCH($B1524,'Code Mapping'!$A$5:$A$1753,0)),"Unmapped"))</f>
        <v>Unmapped</v>
      </c>
      <c r="N1524" s="33" t="str">
        <f aca="false">IF($F1524="","",$F1524)</f>
        <v>InflataCity</v>
      </c>
    </row>
    <row r="1525" customFormat="false" ht="15" hidden="false" customHeight="false" outlineLevel="0" collapsed="false">
      <c r="A1525" s="33" t="n">
        <v>1565</v>
      </c>
      <c r="B1525" s="33" t="s">
        <v>573</v>
      </c>
      <c r="C1525" s="33" t="s">
        <v>513</v>
      </c>
      <c r="D1525" s="33"/>
      <c r="E1525" s="33" t="n">
        <v>55</v>
      </c>
      <c r="F1525" s="33" t="s">
        <v>2160</v>
      </c>
      <c r="G1525" s="33" t="s">
        <v>505</v>
      </c>
      <c r="H1525" s="33" t="n">
        <v>1</v>
      </c>
      <c r="I1525" s="33" t="n">
        <v>1</v>
      </c>
      <c r="J1525" s="33" t="n">
        <v>1</v>
      </c>
      <c r="K1525" s="32" t="n">
        <v>300</v>
      </c>
      <c r="L1525" s="33" t="str">
        <f aca="false">IF($B1525="","",IFERROR(INDEX('Code Mapping'!$D$5:$D$1753,MATCH($B1525,'Code Mapping'!$A$5:$A$1753,0)),"Unmapped"))</f>
        <v>Unmapped</v>
      </c>
      <c r="M1525" s="33" t="str">
        <f aca="false">IF($B1525="","",IFERROR(INDEX('Code Mapping'!$E$5:$E$1753,MATCH($B1525,'Code Mapping'!$A$5:$A$1753,0)),"Unmapped"))</f>
        <v>Unmapped</v>
      </c>
      <c r="N1525" s="33" t="str">
        <f aca="false">IF($F1525="","",$F1525)</f>
        <v>InflataCity</v>
      </c>
    </row>
    <row r="1526" customFormat="false" ht="15" hidden="false" customHeight="false" outlineLevel="0" collapsed="false">
      <c r="A1526" s="33" t="n">
        <v>1983</v>
      </c>
      <c r="B1526" s="33" t="s">
        <v>572</v>
      </c>
      <c r="C1526" s="33" t="s">
        <v>511</v>
      </c>
      <c r="D1526" s="33"/>
      <c r="E1526" s="33" t="n">
        <v>55</v>
      </c>
      <c r="F1526" s="33" t="s">
        <v>2160</v>
      </c>
      <c r="G1526" s="33" t="s">
        <v>505</v>
      </c>
      <c r="H1526" s="33" t="n">
        <v>1</v>
      </c>
      <c r="I1526" s="33" t="n">
        <v>1</v>
      </c>
      <c r="J1526" s="33" t="n">
        <v>1</v>
      </c>
      <c r="K1526" s="32" t="n">
        <v>75</v>
      </c>
      <c r="L1526" s="33" t="str">
        <f aca="false">IF($B1526="","",IFERROR(INDEX('Code Mapping'!$D$5:$D$1753,MATCH($B1526,'Code Mapping'!$A$5:$A$1753,0)),"Unmapped"))</f>
        <v>Unmapped</v>
      </c>
      <c r="M1526" s="33" t="str">
        <f aca="false">IF($B1526="","",IFERROR(INDEX('Code Mapping'!$E$5:$E$1753,MATCH($B1526,'Code Mapping'!$A$5:$A$1753,0)),"Unmapped"))</f>
        <v>Unmapped</v>
      </c>
      <c r="N1526" s="33" t="str">
        <f aca="false">IF($F1526="","",$F1526)</f>
        <v>InflataCity</v>
      </c>
    </row>
    <row r="1527" customFormat="false" ht="15" hidden="false" customHeight="false" outlineLevel="0" collapsed="false">
      <c r="A1527" s="33" t="n">
        <v>1758</v>
      </c>
      <c r="B1527" s="33" t="s">
        <v>571</v>
      </c>
      <c r="C1527" s="33" t="s">
        <v>511</v>
      </c>
      <c r="D1527" s="33"/>
      <c r="E1527" s="33" t="n">
        <v>55</v>
      </c>
      <c r="F1527" s="33" t="s">
        <v>2160</v>
      </c>
      <c r="G1527" s="33" t="s">
        <v>505</v>
      </c>
      <c r="H1527" s="33" t="n">
        <v>1</v>
      </c>
      <c r="I1527" s="33" t="n">
        <v>1</v>
      </c>
      <c r="J1527" s="33" t="n">
        <v>1</v>
      </c>
      <c r="K1527" s="32" t="n">
        <v>75</v>
      </c>
      <c r="L1527" s="33" t="str">
        <f aca="false">IF($B1527="","",IFERROR(INDEX('Code Mapping'!$D$5:$D$1753,MATCH($B1527,'Code Mapping'!$A$5:$A$1753,0)),"Unmapped"))</f>
        <v>Unmapped</v>
      </c>
      <c r="M1527" s="33" t="str">
        <f aca="false">IF($B1527="","",IFERROR(INDEX('Code Mapping'!$E$5:$E$1753,MATCH($B1527,'Code Mapping'!$A$5:$A$1753,0)),"Unmapped"))</f>
        <v>Unmapped</v>
      </c>
      <c r="N1527" s="33" t="str">
        <f aca="false">IF($F1527="","",$F1527)</f>
        <v>InflataCity</v>
      </c>
    </row>
    <row r="1528" customFormat="false" ht="15" hidden="false" customHeight="false" outlineLevel="0" collapsed="false">
      <c r="A1528" s="33" t="n">
        <v>1925</v>
      </c>
      <c r="B1528" s="33" t="s">
        <v>570</v>
      </c>
      <c r="C1528" s="33" t="s">
        <v>511</v>
      </c>
      <c r="D1528" s="33"/>
      <c r="E1528" s="33" t="n">
        <v>55</v>
      </c>
      <c r="F1528" s="33" t="s">
        <v>2160</v>
      </c>
      <c r="G1528" s="33" t="s">
        <v>505</v>
      </c>
      <c r="H1528" s="33" t="n">
        <v>1</v>
      </c>
      <c r="I1528" s="33" t="n">
        <v>1</v>
      </c>
      <c r="J1528" s="33" t="n">
        <v>1</v>
      </c>
      <c r="K1528" s="32" t="n">
        <v>75</v>
      </c>
      <c r="L1528" s="33" t="str">
        <f aca="false">IF($B1528="","",IFERROR(INDEX('Code Mapping'!$D$5:$D$1753,MATCH($B1528,'Code Mapping'!$A$5:$A$1753,0)),"Unmapped"))</f>
        <v>Unmapped</v>
      </c>
      <c r="M1528" s="33" t="str">
        <f aca="false">IF($B1528="","",IFERROR(INDEX('Code Mapping'!$E$5:$E$1753,MATCH($B1528,'Code Mapping'!$A$5:$A$1753,0)),"Unmapped"))</f>
        <v>Unmapped</v>
      </c>
      <c r="N1528" s="33" t="str">
        <f aca="false">IF($F1528="","",$F1528)</f>
        <v>InflataCity</v>
      </c>
    </row>
    <row r="1529" customFormat="false" ht="15" hidden="false" customHeight="false" outlineLevel="0" collapsed="false">
      <c r="A1529" s="33" t="n">
        <v>1145</v>
      </c>
      <c r="B1529" s="33" t="s">
        <v>568</v>
      </c>
      <c r="C1529" s="33" t="s">
        <v>569</v>
      </c>
      <c r="D1529" s="33"/>
      <c r="E1529" s="33" t="n">
        <v>55</v>
      </c>
      <c r="F1529" s="33" t="s">
        <v>2160</v>
      </c>
      <c r="G1529" s="33" t="s">
        <v>505</v>
      </c>
      <c r="H1529" s="33" t="n">
        <v>1</v>
      </c>
      <c r="I1529" s="33" t="n">
        <v>1</v>
      </c>
      <c r="J1529" s="33" t="n">
        <v>1</v>
      </c>
      <c r="K1529" s="32" t="n">
        <v>250</v>
      </c>
      <c r="L1529" s="33" t="str">
        <f aca="false">IF($B1529="","",IFERROR(INDEX('Code Mapping'!$D$5:$D$1753,MATCH($B1529,'Code Mapping'!$A$5:$A$1753,0)),"Unmapped"))</f>
        <v>Unmapped</v>
      </c>
      <c r="M1529" s="33" t="str">
        <f aca="false">IF($B1529="","",IFERROR(INDEX('Code Mapping'!$E$5:$E$1753,MATCH($B1529,'Code Mapping'!$A$5:$A$1753,0)),"Unmapped"))</f>
        <v>Unmapped</v>
      </c>
      <c r="N1529" s="33" t="str">
        <f aca="false">IF($F1529="","",$F1529)</f>
        <v>InflataCity</v>
      </c>
    </row>
    <row r="1530" customFormat="false" ht="15" hidden="false" customHeight="false" outlineLevel="0" collapsed="false">
      <c r="A1530" s="33" t="n">
        <v>1752</v>
      </c>
      <c r="B1530" s="33" t="s">
        <v>565</v>
      </c>
      <c r="C1530" s="33" t="s">
        <v>511</v>
      </c>
      <c r="D1530" s="33"/>
      <c r="E1530" s="33" t="n">
        <v>55</v>
      </c>
      <c r="F1530" s="33" t="s">
        <v>2160</v>
      </c>
      <c r="G1530" s="33" t="s">
        <v>505</v>
      </c>
      <c r="H1530" s="33" t="n">
        <v>1</v>
      </c>
      <c r="I1530" s="33" t="n">
        <v>1</v>
      </c>
      <c r="J1530" s="33" t="n">
        <v>1</v>
      </c>
      <c r="K1530" s="32" t="n">
        <v>75</v>
      </c>
      <c r="L1530" s="33" t="str">
        <f aca="false">IF($B1530="","",IFERROR(INDEX('Code Mapping'!$D$5:$D$1753,MATCH($B1530,'Code Mapping'!$A$5:$A$1753,0)),"Unmapped"))</f>
        <v>Unmapped</v>
      </c>
      <c r="M1530" s="33" t="str">
        <f aca="false">IF($B1530="","",IFERROR(INDEX('Code Mapping'!$E$5:$E$1753,MATCH($B1530,'Code Mapping'!$A$5:$A$1753,0)),"Unmapped"))</f>
        <v>Unmapped</v>
      </c>
      <c r="N1530" s="33" t="str">
        <f aca="false">IF($F1530="","",$F1530)</f>
        <v>InflataCity</v>
      </c>
    </row>
    <row r="1531" customFormat="false" ht="15" hidden="false" customHeight="false" outlineLevel="0" collapsed="false">
      <c r="A1531" s="33" t="n">
        <v>1904</v>
      </c>
      <c r="B1531" s="33" t="s">
        <v>564</v>
      </c>
      <c r="C1531" s="33" t="s">
        <v>511</v>
      </c>
      <c r="D1531" s="33"/>
      <c r="E1531" s="33" t="n">
        <v>55</v>
      </c>
      <c r="F1531" s="33" t="s">
        <v>2160</v>
      </c>
      <c r="G1531" s="33" t="s">
        <v>505</v>
      </c>
      <c r="H1531" s="33" t="n">
        <v>1</v>
      </c>
      <c r="I1531" s="33" t="n">
        <v>1</v>
      </c>
      <c r="J1531" s="33" t="n">
        <v>1</v>
      </c>
      <c r="K1531" s="32" t="n">
        <v>75</v>
      </c>
      <c r="L1531" s="33" t="str">
        <f aca="false">IF($B1531="","",IFERROR(INDEX('Code Mapping'!$D$5:$D$1753,MATCH($B1531,'Code Mapping'!$A$5:$A$1753,0)),"Unmapped"))</f>
        <v>Unmapped</v>
      </c>
      <c r="M1531" s="33" t="str">
        <f aca="false">IF($B1531="","",IFERROR(INDEX('Code Mapping'!$E$5:$E$1753,MATCH($B1531,'Code Mapping'!$A$5:$A$1753,0)),"Unmapped"))</f>
        <v>Unmapped</v>
      </c>
      <c r="N1531" s="33" t="str">
        <f aca="false">IF($F1531="","",$F1531)</f>
        <v>InflataCity</v>
      </c>
    </row>
    <row r="1532" customFormat="false" ht="15" hidden="false" customHeight="false" outlineLevel="0" collapsed="false">
      <c r="A1532" s="33" t="n">
        <v>1833</v>
      </c>
      <c r="B1532" s="33" t="s">
        <v>563</v>
      </c>
      <c r="C1532" s="33" t="s">
        <v>511</v>
      </c>
      <c r="D1532" s="33"/>
      <c r="E1532" s="33" t="n">
        <v>55</v>
      </c>
      <c r="F1532" s="33" t="s">
        <v>2160</v>
      </c>
      <c r="G1532" s="33" t="s">
        <v>505</v>
      </c>
      <c r="H1532" s="33" t="n">
        <v>1</v>
      </c>
      <c r="I1532" s="33" t="n">
        <v>1</v>
      </c>
      <c r="J1532" s="33" t="n">
        <v>1</v>
      </c>
      <c r="K1532" s="32" t="n">
        <v>75</v>
      </c>
      <c r="L1532" s="33" t="str">
        <f aca="false">IF($B1532="","",IFERROR(INDEX('Code Mapping'!$D$5:$D$1753,MATCH($B1532,'Code Mapping'!$A$5:$A$1753,0)),"Unmapped"))</f>
        <v>Unmapped</v>
      </c>
      <c r="M1532" s="33" t="str">
        <f aca="false">IF($B1532="","",IFERROR(INDEX('Code Mapping'!$E$5:$E$1753,MATCH($B1532,'Code Mapping'!$A$5:$A$1753,0)),"Unmapped"))</f>
        <v>Unmapped</v>
      </c>
      <c r="N1532" s="33" t="str">
        <f aca="false">IF($F1532="","",$F1532)</f>
        <v>InflataCity</v>
      </c>
    </row>
    <row r="1533" customFormat="false" ht="15" hidden="false" customHeight="false" outlineLevel="0" collapsed="false">
      <c r="A1533" s="33" t="n">
        <v>1743</v>
      </c>
      <c r="B1533" s="33" t="s">
        <v>562</v>
      </c>
      <c r="C1533" s="33" t="s">
        <v>511</v>
      </c>
      <c r="D1533" s="33"/>
      <c r="E1533" s="33" t="n">
        <v>55</v>
      </c>
      <c r="F1533" s="33" t="s">
        <v>2160</v>
      </c>
      <c r="G1533" s="33" t="s">
        <v>505</v>
      </c>
      <c r="H1533" s="33" t="n">
        <v>1</v>
      </c>
      <c r="I1533" s="33" t="n">
        <v>1</v>
      </c>
      <c r="J1533" s="33" t="n">
        <v>1</v>
      </c>
      <c r="K1533" s="32" t="n">
        <v>75</v>
      </c>
      <c r="L1533" s="33" t="str">
        <f aca="false">IF($B1533="","",IFERROR(INDEX('Code Mapping'!$D$5:$D$1753,MATCH($B1533,'Code Mapping'!$A$5:$A$1753,0)),"Unmapped"))</f>
        <v>Unmapped</v>
      </c>
      <c r="M1533" s="33" t="str">
        <f aca="false">IF($B1533="","",IFERROR(INDEX('Code Mapping'!$E$5:$E$1753,MATCH($B1533,'Code Mapping'!$A$5:$A$1753,0)),"Unmapped"))</f>
        <v>Unmapped</v>
      </c>
      <c r="N1533" s="33" t="str">
        <f aca="false">IF($F1533="","",$F1533)</f>
        <v>InflataCity</v>
      </c>
    </row>
    <row r="1534" customFormat="false" ht="15" hidden="false" customHeight="false" outlineLevel="0" collapsed="false">
      <c r="A1534" s="33" t="n">
        <v>1559</v>
      </c>
      <c r="B1534" s="33" t="s">
        <v>560</v>
      </c>
      <c r="C1534" s="33" t="s">
        <v>513</v>
      </c>
      <c r="D1534" s="33"/>
      <c r="E1534" s="33" t="n">
        <v>55</v>
      </c>
      <c r="F1534" s="33" t="s">
        <v>2160</v>
      </c>
      <c r="G1534" s="33" t="s">
        <v>505</v>
      </c>
      <c r="H1534" s="33" t="n">
        <v>1</v>
      </c>
      <c r="I1534" s="33" t="n">
        <v>1</v>
      </c>
      <c r="J1534" s="33" t="n">
        <v>1</v>
      </c>
      <c r="K1534" s="32" t="n">
        <v>300</v>
      </c>
      <c r="L1534" s="33" t="str">
        <f aca="false">IF($B1534="","",IFERROR(INDEX('Code Mapping'!$D$5:$D$1753,MATCH($B1534,'Code Mapping'!$A$5:$A$1753,0)),"Unmapped"))</f>
        <v>Unmapped</v>
      </c>
      <c r="M1534" s="33" t="str">
        <f aca="false">IF($B1534="","",IFERROR(INDEX('Code Mapping'!$E$5:$E$1753,MATCH($B1534,'Code Mapping'!$A$5:$A$1753,0)),"Unmapped"))</f>
        <v>Unmapped</v>
      </c>
      <c r="N1534" s="33" t="str">
        <f aca="false">IF($F1534="","",$F1534)</f>
        <v>InflataCity</v>
      </c>
    </row>
    <row r="1535" customFormat="false" ht="15" hidden="false" customHeight="false" outlineLevel="0" collapsed="false">
      <c r="A1535" s="33" t="n">
        <v>1951</v>
      </c>
      <c r="B1535" s="33" t="s">
        <v>557</v>
      </c>
      <c r="C1535" s="33" t="s">
        <v>511</v>
      </c>
      <c r="D1535" s="33"/>
      <c r="E1535" s="33" t="n">
        <v>55</v>
      </c>
      <c r="F1535" s="33" t="s">
        <v>2160</v>
      </c>
      <c r="G1535" s="33" t="s">
        <v>505</v>
      </c>
      <c r="H1535" s="33" t="n">
        <v>1</v>
      </c>
      <c r="I1535" s="33" t="n">
        <v>1</v>
      </c>
      <c r="J1535" s="33" t="n">
        <v>1</v>
      </c>
      <c r="K1535" s="32" t="n">
        <v>75</v>
      </c>
      <c r="L1535" s="33" t="str">
        <f aca="false">IF($B1535="","",IFERROR(INDEX('Code Mapping'!$D$5:$D$1753,MATCH($B1535,'Code Mapping'!$A$5:$A$1753,0)),"Unmapped"))</f>
        <v>Unmapped</v>
      </c>
      <c r="M1535" s="33" t="str">
        <f aca="false">IF($B1535="","",IFERROR(INDEX('Code Mapping'!$E$5:$E$1753,MATCH($B1535,'Code Mapping'!$A$5:$A$1753,0)),"Unmapped"))</f>
        <v>Unmapped</v>
      </c>
      <c r="N1535" s="33" t="str">
        <f aca="false">IF($F1535="","",$F1535)</f>
        <v>InflataCity</v>
      </c>
    </row>
    <row r="1536" customFormat="false" ht="15" hidden="false" customHeight="false" outlineLevel="0" collapsed="false">
      <c r="A1536" s="33" t="n">
        <v>1884</v>
      </c>
      <c r="B1536" s="33" t="s">
        <v>554</v>
      </c>
      <c r="C1536" s="33" t="s">
        <v>511</v>
      </c>
      <c r="D1536" s="33"/>
      <c r="E1536" s="33" t="n">
        <v>55</v>
      </c>
      <c r="F1536" s="33" t="s">
        <v>2160</v>
      </c>
      <c r="G1536" s="33" t="s">
        <v>505</v>
      </c>
      <c r="H1536" s="33" t="n">
        <v>1</v>
      </c>
      <c r="I1536" s="33" t="n">
        <v>1</v>
      </c>
      <c r="J1536" s="33" t="n">
        <v>1</v>
      </c>
      <c r="K1536" s="32" t="n">
        <v>75</v>
      </c>
      <c r="L1536" s="33" t="str">
        <f aca="false">IF($B1536="","",IFERROR(INDEX('Code Mapping'!$D$5:$D$1753,MATCH($B1536,'Code Mapping'!$A$5:$A$1753,0)),"Unmapped"))</f>
        <v>Unmapped</v>
      </c>
      <c r="M1536" s="33" t="str">
        <f aca="false">IF($B1536="","",IFERROR(INDEX('Code Mapping'!$E$5:$E$1753,MATCH($B1536,'Code Mapping'!$A$5:$A$1753,0)),"Unmapped"))</f>
        <v>Unmapped</v>
      </c>
      <c r="N1536" s="33" t="str">
        <f aca="false">IF($F1536="","",$F1536)</f>
        <v>InflataCity</v>
      </c>
    </row>
    <row r="1537" customFormat="false" ht="15" hidden="false" customHeight="false" outlineLevel="0" collapsed="false">
      <c r="A1537" s="33" t="n">
        <v>1985</v>
      </c>
      <c r="B1537" s="33" t="s">
        <v>650</v>
      </c>
      <c r="C1537" s="33" t="s">
        <v>511</v>
      </c>
      <c r="D1537" s="33"/>
      <c r="E1537" s="33" t="n">
        <v>55</v>
      </c>
      <c r="F1537" s="33" t="s">
        <v>2160</v>
      </c>
      <c r="G1537" s="33" t="s">
        <v>505</v>
      </c>
      <c r="H1537" s="33" t="n">
        <v>1</v>
      </c>
      <c r="I1537" s="33" t="n">
        <v>1</v>
      </c>
      <c r="J1537" s="33" t="n">
        <v>1</v>
      </c>
      <c r="K1537" s="32" t="n">
        <v>75</v>
      </c>
      <c r="L1537" s="33" t="str">
        <f aca="false">IF($B1537="","",IFERROR(INDEX('Code Mapping'!$D$5:$D$1753,MATCH($B1537,'Code Mapping'!$A$5:$A$1753,0)),"Unmapped"))</f>
        <v>Unmapped</v>
      </c>
      <c r="M1537" s="33" t="str">
        <f aca="false">IF($B1537="","",IFERROR(INDEX('Code Mapping'!$E$5:$E$1753,MATCH($B1537,'Code Mapping'!$A$5:$A$1753,0)),"Unmapped"))</f>
        <v>Unmapped</v>
      </c>
      <c r="N1537" s="33" t="str">
        <f aca="false">IF($F1537="","",$F1537)</f>
        <v>InflataCity</v>
      </c>
    </row>
    <row r="1538" customFormat="false" ht="15" hidden="false" customHeight="false" outlineLevel="0" collapsed="false">
      <c r="A1538" s="33" t="n">
        <v>1891</v>
      </c>
      <c r="B1538" s="33" t="s">
        <v>586</v>
      </c>
      <c r="C1538" s="33" t="s">
        <v>511</v>
      </c>
      <c r="D1538" s="33"/>
      <c r="E1538" s="33" t="n">
        <v>55</v>
      </c>
      <c r="F1538" s="33" t="s">
        <v>2160</v>
      </c>
      <c r="G1538" s="33" t="s">
        <v>505</v>
      </c>
      <c r="H1538" s="33" t="n">
        <v>1</v>
      </c>
      <c r="I1538" s="33" t="n">
        <v>1</v>
      </c>
      <c r="J1538" s="33" t="n">
        <v>1</v>
      </c>
      <c r="K1538" s="32" t="n">
        <v>75</v>
      </c>
      <c r="L1538" s="33" t="str">
        <f aca="false">IF($B1538="","",IFERROR(INDEX('Code Mapping'!$D$5:$D$1753,MATCH($B1538,'Code Mapping'!$A$5:$A$1753,0)),"Unmapped"))</f>
        <v>Unmapped</v>
      </c>
      <c r="M1538" s="33" t="str">
        <f aca="false">IF($B1538="","",IFERROR(INDEX('Code Mapping'!$E$5:$E$1753,MATCH($B1538,'Code Mapping'!$A$5:$A$1753,0)),"Unmapped"))</f>
        <v>Unmapped</v>
      </c>
      <c r="N1538" s="33" t="str">
        <f aca="false">IF($F1538="","",$F1538)</f>
        <v>InflataCity</v>
      </c>
    </row>
    <row r="1539" customFormat="false" ht="15" hidden="false" customHeight="false" outlineLevel="0" collapsed="false">
      <c r="A1539" s="33" t="n">
        <v>1576</v>
      </c>
      <c r="B1539" s="33" t="s">
        <v>653</v>
      </c>
      <c r="C1539" s="33" t="s">
        <v>513</v>
      </c>
      <c r="D1539" s="33"/>
      <c r="E1539" s="33" t="n">
        <v>55</v>
      </c>
      <c r="F1539" s="33" t="s">
        <v>2160</v>
      </c>
      <c r="G1539" s="33" t="s">
        <v>505</v>
      </c>
      <c r="H1539" s="33" t="n">
        <v>1</v>
      </c>
      <c r="I1539" s="33" t="n">
        <v>1</v>
      </c>
      <c r="J1539" s="33" t="n">
        <v>1</v>
      </c>
      <c r="K1539" s="32" t="n">
        <v>300</v>
      </c>
      <c r="L1539" s="33" t="str">
        <f aca="false">IF($B1539="","",IFERROR(INDEX('Code Mapping'!$D$5:$D$1753,MATCH($B1539,'Code Mapping'!$A$5:$A$1753,0)),"Unmapped"))</f>
        <v>Unmapped</v>
      </c>
      <c r="M1539" s="33" t="str">
        <f aca="false">IF($B1539="","",IFERROR(INDEX('Code Mapping'!$E$5:$E$1753,MATCH($B1539,'Code Mapping'!$A$5:$A$1753,0)),"Unmapped"))</f>
        <v>Unmapped</v>
      </c>
      <c r="N1539" s="33" t="str">
        <f aca="false">IF($F1539="","",$F1539)</f>
        <v>InflataCity</v>
      </c>
    </row>
    <row r="1540" customFormat="false" ht="15" hidden="false" customHeight="false" outlineLevel="0" collapsed="false">
      <c r="A1540" s="33" t="n">
        <v>1545</v>
      </c>
      <c r="B1540" s="33" t="s">
        <v>744</v>
      </c>
      <c r="C1540" s="33" t="s">
        <v>513</v>
      </c>
      <c r="D1540" s="33"/>
      <c r="E1540" s="33" t="n">
        <v>55</v>
      </c>
      <c r="F1540" s="33" t="s">
        <v>2160</v>
      </c>
      <c r="G1540" s="33" t="s">
        <v>505</v>
      </c>
      <c r="H1540" s="33" t="n">
        <v>1</v>
      </c>
      <c r="I1540" s="33" t="n">
        <v>1</v>
      </c>
      <c r="J1540" s="33" t="n">
        <v>1</v>
      </c>
      <c r="K1540" s="32" t="n">
        <v>300</v>
      </c>
      <c r="L1540" s="33" t="str">
        <f aca="false">IF($B1540="","",IFERROR(INDEX('Code Mapping'!$D$5:$D$1753,MATCH($B1540,'Code Mapping'!$A$5:$A$1753,0)),"Unmapped"))</f>
        <v>Unmapped</v>
      </c>
      <c r="M1540" s="33" t="str">
        <f aca="false">IF($B1540="","",IFERROR(INDEX('Code Mapping'!$E$5:$E$1753,MATCH($B1540,'Code Mapping'!$A$5:$A$1753,0)),"Unmapped"))</f>
        <v>Unmapped</v>
      </c>
      <c r="N1540" s="33" t="str">
        <f aca="false">IF($F1540="","",$F1540)</f>
        <v>InflataCity</v>
      </c>
    </row>
    <row r="1541" customFormat="false" ht="15" hidden="false" customHeight="false" outlineLevel="0" collapsed="false">
      <c r="A1541" s="33" t="n">
        <v>1989</v>
      </c>
      <c r="B1541" s="33" t="s">
        <v>762</v>
      </c>
      <c r="C1541" s="33" t="s">
        <v>511</v>
      </c>
      <c r="D1541" s="33"/>
      <c r="E1541" s="33" t="n">
        <v>55</v>
      </c>
      <c r="F1541" s="33" t="s">
        <v>2160</v>
      </c>
      <c r="G1541" s="33" t="s">
        <v>505</v>
      </c>
      <c r="H1541" s="33" t="n">
        <v>1</v>
      </c>
      <c r="I1541" s="33" t="n">
        <v>1</v>
      </c>
      <c r="J1541" s="33" t="n">
        <v>1</v>
      </c>
      <c r="K1541" s="32" t="n">
        <v>75</v>
      </c>
      <c r="L1541" s="33" t="str">
        <f aca="false">IF($B1541="","",IFERROR(INDEX('Code Mapping'!$D$5:$D$1753,MATCH($B1541,'Code Mapping'!$A$5:$A$1753,0)),"Unmapped"))</f>
        <v>Unmapped</v>
      </c>
      <c r="M1541" s="33" t="str">
        <f aca="false">IF($B1541="","",IFERROR(INDEX('Code Mapping'!$E$5:$E$1753,MATCH($B1541,'Code Mapping'!$A$5:$A$1753,0)),"Unmapped"))</f>
        <v>Unmapped</v>
      </c>
      <c r="N1541" s="33" t="str">
        <f aca="false">IF($F1541="","",$F1541)</f>
        <v>InflataCity</v>
      </c>
    </row>
    <row r="1542" customFormat="false" ht="15" hidden="false" customHeight="false" outlineLevel="0" collapsed="false">
      <c r="A1542" s="33" t="n">
        <v>1987</v>
      </c>
      <c r="B1542" s="33" t="s">
        <v>756</v>
      </c>
      <c r="C1542" s="33" t="s">
        <v>511</v>
      </c>
      <c r="D1542" s="33"/>
      <c r="E1542" s="33" t="n">
        <v>55</v>
      </c>
      <c r="F1542" s="33" t="s">
        <v>2160</v>
      </c>
      <c r="G1542" s="33" t="s">
        <v>505</v>
      </c>
      <c r="H1542" s="33" t="n">
        <v>1</v>
      </c>
      <c r="I1542" s="33" t="n">
        <v>1</v>
      </c>
      <c r="J1542" s="33" t="n">
        <v>1</v>
      </c>
      <c r="K1542" s="32" t="n">
        <v>75</v>
      </c>
      <c r="L1542" s="33" t="str">
        <f aca="false">IF($B1542="","",IFERROR(INDEX('Code Mapping'!$D$5:$D$1753,MATCH($B1542,'Code Mapping'!$A$5:$A$1753,0)),"Unmapped"))</f>
        <v>Unmapped</v>
      </c>
      <c r="M1542" s="33" t="str">
        <f aca="false">IF($B1542="","",IFERROR(INDEX('Code Mapping'!$E$5:$E$1753,MATCH($B1542,'Code Mapping'!$A$5:$A$1753,0)),"Unmapped"))</f>
        <v>Unmapped</v>
      </c>
      <c r="N1542" s="33" t="str">
        <f aca="false">IF($F1542="","",$F1542)</f>
        <v>InflataCity</v>
      </c>
    </row>
    <row r="1543" customFormat="false" ht="15" hidden="false" customHeight="false" outlineLevel="0" collapsed="false">
      <c r="A1543" s="33" t="n">
        <v>1755</v>
      </c>
      <c r="B1543" s="33" t="s">
        <v>753</v>
      </c>
      <c r="C1543" s="33" t="s">
        <v>511</v>
      </c>
      <c r="D1543" s="33"/>
      <c r="E1543" s="33" t="n">
        <v>55</v>
      </c>
      <c r="F1543" s="33" t="s">
        <v>2160</v>
      </c>
      <c r="G1543" s="33" t="s">
        <v>505</v>
      </c>
      <c r="H1543" s="33" t="n">
        <v>1</v>
      </c>
      <c r="I1543" s="33" t="n">
        <v>1</v>
      </c>
      <c r="J1543" s="33" t="n">
        <v>1</v>
      </c>
      <c r="K1543" s="32" t="n">
        <v>75</v>
      </c>
      <c r="L1543" s="33" t="str">
        <f aca="false">IF($B1543="","",IFERROR(INDEX('Code Mapping'!$D$5:$D$1753,MATCH($B1543,'Code Mapping'!$A$5:$A$1753,0)),"Unmapped"))</f>
        <v>Unmapped</v>
      </c>
      <c r="M1543" s="33" t="str">
        <f aca="false">IF($B1543="","",IFERROR(INDEX('Code Mapping'!$E$5:$E$1753,MATCH($B1543,'Code Mapping'!$A$5:$A$1753,0)),"Unmapped"))</f>
        <v>Unmapped</v>
      </c>
      <c r="N1543" s="33" t="str">
        <f aca="false">IF($F1543="","",$F1543)</f>
        <v>InflataCity</v>
      </c>
    </row>
    <row r="1544" customFormat="false" ht="15" hidden="false" customHeight="false" outlineLevel="0" collapsed="false">
      <c r="A1544" s="33" t="n">
        <v>1478</v>
      </c>
      <c r="B1544" s="33" t="s">
        <v>752</v>
      </c>
      <c r="C1544" s="33" t="s">
        <v>513</v>
      </c>
      <c r="D1544" s="33"/>
      <c r="E1544" s="33" t="n">
        <v>55</v>
      </c>
      <c r="F1544" s="33" t="s">
        <v>2160</v>
      </c>
      <c r="G1544" s="33" t="s">
        <v>505</v>
      </c>
      <c r="H1544" s="33" t="n">
        <v>1</v>
      </c>
      <c r="I1544" s="33" t="n">
        <v>1</v>
      </c>
      <c r="J1544" s="33" t="n">
        <v>1</v>
      </c>
      <c r="K1544" s="32" t="n">
        <v>300</v>
      </c>
      <c r="L1544" s="33" t="str">
        <f aca="false">IF($B1544="","",IFERROR(INDEX('Code Mapping'!$D$5:$D$1753,MATCH($B1544,'Code Mapping'!$A$5:$A$1753,0)),"Unmapped"))</f>
        <v>Unmapped</v>
      </c>
      <c r="M1544" s="33" t="str">
        <f aca="false">IF($B1544="","",IFERROR(INDEX('Code Mapping'!$E$5:$E$1753,MATCH($B1544,'Code Mapping'!$A$5:$A$1753,0)),"Unmapped"))</f>
        <v>Unmapped</v>
      </c>
      <c r="N1544" s="33" t="str">
        <f aca="false">IF($F1544="","",$F1544)</f>
        <v>InflataCity</v>
      </c>
    </row>
    <row r="1545" customFormat="false" ht="15" hidden="false" customHeight="false" outlineLevel="0" collapsed="false">
      <c r="A1545" s="33" t="n">
        <v>1546</v>
      </c>
      <c r="B1545" s="33" t="s">
        <v>750</v>
      </c>
      <c r="C1545" s="33" t="s">
        <v>513</v>
      </c>
      <c r="D1545" s="33"/>
      <c r="E1545" s="33" t="n">
        <v>55</v>
      </c>
      <c r="F1545" s="33" t="s">
        <v>2160</v>
      </c>
      <c r="G1545" s="33" t="s">
        <v>505</v>
      </c>
      <c r="H1545" s="33" t="n">
        <v>1</v>
      </c>
      <c r="I1545" s="33" t="n">
        <v>1</v>
      </c>
      <c r="J1545" s="33" t="n">
        <v>1</v>
      </c>
      <c r="K1545" s="32" t="n">
        <v>300</v>
      </c>
      <c r="L1545" s="33" t="str">
        <f aca="false">IF($B1545="","",IFERROR(INDEX('Code Mapping'!$D$5:$D$1753,MATCH($B1545,'Code Mapping'!$A$5:$A$1753,0)),"Unmapped"))</f>
        <v>Unmapped</v>
      </c>
      <c r="M1545" s="33" t="str">
        <f aca="false">IF($B1545="","",IFERROR(INDEX('Code Mapping'!$E$5:$E$1753,MATCH($B1545,'Code Mapping'!$A$5:$A$1753,0)),"Unmapped"))</f>
        <v>Unmapped</v>
      </c>
      <c r="N1545" s="33" t="str">
        <f aca="false">IF($F1545="","",$F1545)</f>
        <v>InflataCity</v>
      </c>
    </row>
    <row r="1546" customFormat="false" ht="15" hidden="false" customHeight="false" outlineLevel="0" collapsed="false">
      <c r="A1546" s="33" t="n">
        <v>1144</v>
      </c>
      <c r="B1546" s="33" t="s">
        <v>747</v>
      </c>
      <c r="C1546" s="33" t="s">
        <v>569</v>
      </c>
      <c r="D1546" s="33"/>
      <c r="E1546" s="33" t="n">
        <v>55</v>
      </c>
      <c r="F1546" s="33" t="s">
        <v>2160</v>
      </c>
      <c r="G1546" s="33" t="s">
        <v>505</v>
      </c>
      <c r="H1546" s="33" t="n">
        <v>1</v>
      </c>
      <c r="I1546" s="33" t="n">
        <v>1</v>
      </c>
      <c r="J1546" s="33" t="n">
        <v>1</v>
      </c>
      <c r="K1546" s="32" t="n">
        <v>250</v>
      </c>
      <c r="L1546" s="33" t="str">
        <f aca="false">IF($B1546="","",IFERROR(INDEX('Code Mapping'!$D$5:$D$1753,MATCH($B1546,'Code Mapping'!$A$5:$A$1753,0)),"Unmapped"))</f>
        <v>Unmapped</v>
      </c>
      <c r="M1546" s="33" t="str">
        <f aca="false">IF($B1546="","",IFERROR(INDEX('Code Mapping'!$E$5:$E$1753,MATCH($B1546,'Code Mapping'!$A$5:$A$1753,0)),"Unmapped"))</f>
        <v>Unmapped</v>
      </c>
      <c r="N1546" s="33" t="str">
        <f aca="false">IF($F1546="","",$F1546)</f>
        <v>InflataCity</v>
      </c>
    </row>
    <row r="1547" customFormat="false" ht="15" hidden="false" customHeight="false" outlineLevel="0" collapsed="false">
      <c r="A1547" s="33" t="n">
        <v>1522</v>
      </c>
      <c r="B1547" s="33" t="s">
        <v>746</v>
      </c>
      <c r="C1547" s="33" t="s">
        <v>513</v>
      </c>
      <c r="D1547" s="33"/>
      <c r="E1547" s="33" t="n">
        <v>55</v>
      </c>
      <c r="F1547" s="33" t="s">
        <v>2160</v>
      </c>
      <c r="G1547" s="33" t="s">
        <v>505</v>
      </c>
      <c r="H1547" s="33" t="n">
        <v>1</v>
      </c>
      <c r="I1547" s="33" t="n">
        <v>1</v>
      </c>
      <c r="J1547" s="33" t="n">
        <v>1</v>
      </c>
      <c r="K1547" s="32" t="n">
        <v>300</v>
      </c>
      <c r="L1547" s="33" t="str">
        <f aca="false">IF($B1547="","",IFERROR(INDEX('Code Mapping'!$D$5:$D$1753,MATCH($B1547,'Code Mapping'!$A$5:$A$1753,0)),"Unmapped"))</f>
        <v>Unmapped</v>
      </c>
      <c r="M1547" s="33" t="str">
        <f aca="false">IF($B1547="","",IFERROR(INDEX('Code Mapping'!$E$5:$E$1753,MATCH($B1547,'Code Mapping'!$A$5:$A$1753,0)),"Unmapped"))</f>
        <v>Unmapped</v>
      </c>
      <c r="N1547" s="33" t="str">
        <f aca="false">IF($F1547="","",$F1547)</f>
        <v>InflataCity</v>
      </c>
    </row>
    <row r="1548" customFormat="false" ht="15" hidden="false" customHeight="false" outlineLevel="0" collapsed="false">
      <c r="A1548" s="33" t="n">
        <v>2004</v>
      </c>
      <c r="B1548" s="33" t="s">
        <v>745</v>
      </c>
      <c r="C1548" s="33" t="s">
        <v>511</v>
      </c>
      <c r="D1548" s="33"/>
      <c r="E1548" s="33" t="n">
        <v>55</v>
      </c>
      <c r="F1548" s="33" t="s">
        <v>2160</v>
      </c>
      <c r="G1548" s="33" t="s">
        <v>505</v>
      </c>
      <c r="H1548" s="33" t="n">
        <v>1</v>
      </c>
      <c r="I1548" s="33" t="n">
        <v>1</v>
      </c>
      <c r="J1548" s="33" t="n">
        <v>1</v>
      </c>
      <c r="K1548" s="32" t="n">
        <v>75</v>
      </c>
      <c r="L1548" s="33" t="str">
        <f aca="false">IF($B1548="","",IFERROR(INDEX('Code Mapping'!$D$5:$D$1753,MATCH($B1548,'Code Mapping'!$A$5:$A$1753,0)),"Unmapped"))</f>
        <v>Unmapped</v>
      </c>
      <c r="M1548" s="33" t="str">
        <f aca="false">IF($B1548="","",IFERROR(INDEX('Code Mapping'!$E$5:$E$1753,MATCH($B1548,'Code Mapping'!$A$5:$A$1753,0)),"Unmapped"))</f>
        <v>Unmapped</v>
      </c>
      <c r="N1548" s="33" t="str">
        <f aca="false">IF($F1548="","",$F1548)</f>
        <v>InflataCity</v>
      </c>
    </row>
    <row r="1549" customFormat="false" ht="15" hidden="false" customHeight="false" outlineLevel="0" collapsed="false">
      <c r="A1549" s="33" t="n">
        <v>1897</v>
      </c>
      <c r="B1549" s="33" t="s">
        <v>742</v>
      </c>
      <c r="C1549" s="33" t="s">
        <v>511</v>
      </c>
      <c r="D1549" s="33"/>
      <c r="E1549" s="33" t="n">
        <v>55</v>
      </c>
      <c r="F1549" s="33" t="s">
        <v>2160</v>
      </c>
      <c r="G1549" s="33" t="s">
        <v>505</v>
      </c>
      <c r="H1549" s="33" t="n">
        <v>1</v>
      </c>
      <c r="I1549" s="33" t="n">
        <v>1</v>
      </c>
      <c r="J1549" s="33" t="n">
        <v>1</v>
      </c>
      <c r="K1549" s="32" t="n">
        <v>75</v>
      </c>
      <c r="L1549" s="33" t="str">
        <f aca="false">IF($B1549="","",IFERROR(INDEX('Code Mapping'!$D$5:$D$1753,MATCH($B1549,'Code Mapping'!$A$5:$A$1753,0)),"Unmapped"))</f>
        <v>Unmapped</v>
      </c>
      <c r="M1549" s="33" t="str">
        <f aca="false">IF($B1549="","",IFERROR(INDEX('Code Mapping'!$E$5:$E$1753,MATCH($B1549,'Code Mapping'!$A$5:$A$1753,0)),"Unmapped"))</f>
        <v>Unmapped</v>
      </c>
      <c r="N1549" s="33" t="str">
        <f aca="false">IF($F1549="","",$F1549)</f>
        <v>InflataCity</v>
      </c>
    </row>
    <row r="1550" customFormat="false" ht="15" hidden="false" customHeight="false" outlineLevel="0" collapsed="false">
      <c r="A1550" s="33" t="n">
        <v>1992</v>
      </c>
      <c r="B1550" s="33" t="s">
        <v>768</v>
      </c>
      <c r="C1550" s="33" t="s">
        <v>511</v>
      </c>
      <c r="D1550" s="33"/>
      <c r="E1550" s="33" t="n">
        <v>55</v>
      </c>
      <c r="F1550" s="33" t="s">
        <v>2160</v>
      </c>
      <c r="G1550" s="33" t="s">
        <v>505</v>
      </c>
      <c r="H1550" s="33" t="n">
        <v>1</v>
      </c>
      <c r="I1550" s="33" t="n">
        <v>1</v>
      </c>
      <c r="J1550" s="33" t="n">
        <v>1</v>
      </c>
      <c r="K1550" s="32" t="n">
        <v>75</v>
      </c>
      <c r="L1550" s="33" t="str">
        <f aca="false">IF($B1550="","",IFERROR(INDEX('Code Mapping'!$D$5:$D$1753,MATCH($B1550,'Code Mapping'!$A$5:$A$1753,0)),"Unmapped"))</f>
        <v>Unmapped</v>
      </c>
      <c r="M1550" s="33" t="str">
        <f aca="false">IF($B1550="","",IFERROR(INDEX('Code Mapping'!$E$5:$E$1753,MATCH($B1550,'Code Mapping'!$A$5:$A$1753,0)),"Unmapped"))</f>
        <v>Unmapped</v>
      </c>
      <c r="N1550" s="33" t="str">
        <f aca="false">IF($F1550="","",$F1550)</f>
        <v>InflataCity</v>
      </c>
    </row>
    <row r="1551" customFormat="false" ht="15" hidden="false" customHeight="false" outlineLevel="0" collapsed="false">
      <c r="A1551" s="33" t="n">
        <v>1588</v>
      </c>
      <c r="B1551" s="33" t="s">
        <v>741</v>
      </c>
      <c r="C1551" s="33" t="s">
        <v>513</v>
      </c>
      <c r="D1551" s="33"/>
      <c r="E1551" s="33" t="n">
        <v>55</v>
      </c>
      <c r="F1551" s="33" t="s">
        <v>2160</v>
      </c>
      <c r="G1551" s="33" t="s">
        <v>505</v>
      </c>
      <c r="H1551" s="33" t="n">
        <v>1</v>
      </c>
      <c r="I1551" s="33" t="n">
        <v>1</v>
      </c>
      <c r="J1551" s="33" t="n">
        <v>1</v>
      </c>
      <c r="K1551" s="32" t="n">
        <v>300</v>
      </c>
      <c r="L1551" s="33" t="str">
        <f aca="false">IF($B1551="","",IFERROR(INDEX('Code Mapping'!$D$5:$D$1753,MATCH($B1551,'Code Mapping'!$A$5:$A$1753,0)),"Unmapped"))</f>
        <v>Unmapped</v>
      </c>
      <c r="M1551" s="33" t="str">
        <f aca="false">IF($B1551="","",IFERROR(INDEX('Code Mapping'!$E$5:$E$1753,MATCH($B1551,'Code Mapping'!$A$5:$A$1753,0)),"Unmapped"))</f>
        <v>Unmapped</v>
      </c>
      <c r="N1551" s="33" t="str">
        <f aca="false">IF($F1551="","",$F1551)</f>
        <v>InflataCity</v>
      </c>
    </row>
    <row r="1552" customFormat="false" ht="15" hidden="false" customHeight="false" outlineLevel="0" collapsed="false">
      <c r="A1552" s="33" t="n">
        <v>1512</v>
      </c>
      <c r="B1552" s="33" t="s">
        <v>739</v>
      </c>
      <c r="C1552" s="33" t="s">
        <v>513</v>
      </c>
      <c r="D1552" s="33"/>
      <c r="E1552" s="33" t="n">
        <v>55</v>
      </c>
      <c r="F1552" s="33" t="s">
        <v>2160</v>
      </c>
      <c r="G1552" s="33" t="s">
        <v>505</v>
      </c>
      <c r="H1552" s="33" t="n">
        <v>1</v>
      </c>
      <c r="I1552" s="33" t="n">
        <v>1</v>
      </c>
      <c r="J1552" s="33" t="n">
        <v>1</v>
      </c>
      <c r="K1552" s="32" t="n">
        <v>300</v>
      </c>
      <c r="L1552" s="33" t="str">
        <f aca="false">IF($B1552="","",IFERROR(INDEX('Code Mapping'!$D$5:$D$1753,MATCH($B1552,'Code Mapping'!$A$5:$A$1753,0)),"Unmapped"))</f>
        <v>Unmapped</v>
      </c>
      <c r="M1552" s="33" t="str">
        <f aca="false">IF($B1552="","",IFERROR(INDEX('Code Mapping'!$E$5:$E$1753,MATCH($B1552,'Code Mapping'!$A$5:$A$1753,0)),"Unmapped"))</f>
        <v>Unmapped</v>
      </c>
      <c r="N1552" s="33" t="str">
        <f aca="false">IF($F1552="","",$F1552)</f>
        <v>InflataCity</v>
      </c>
    </row>
    <row r="1553" customFormat="false" ht="15" hidden="false" customHeight="false" outlineLevel="0" collapsed="false">
      <c r="A1553" s="33" t="n">
        <v>1876</v>
      </c>
      <c r="B1553" s="33" t="s">
        <v>736</v>
      </c>
      <c r="C1553" s="33" t="s">
        <v>511</v>
      </c>
      <c r="D1553" s="33"/>
      <c r="E1553" s="33" t="n">
        <v>55</v>
      </c>
      <c r="F1553" s="33" t="s">
        <v>2160</v>
      </c>
      <c r="G1553" s="33" t="s">
        <v>505</v>
      </c>
      <c r="H1553" s="33" t="n">
        <v>1</v>
      </c>
      <c r="I1553" s="33" t="n">
        <v>1</v>
      </c>
      <c r="J1553" s="33" t="n">
        <v>1</v>
      </c>
      <c r="K1553" s="32" t="n">
        <v>75</v>
      </c>
      <c r="L1553" s="33" t="str">
        <f aca="false">IF($B1553="","",IFERROR(INDEX('Code Mapping'!$D$5:$D$1753,MATCH($B1553,'Code Mapping'!$A$5:$A$1753,0)),"Unmapped"))</f>
        <v>Unmapped</v>
      </c>
      <c r="M1553" s="33" t="str">
        <f aca="false">IF($B1553="","",IFERROR(INDEX('Code Mapping'!$E$5:$E$1753,MATCH($B1553,'Code Mapping'!$A$5:$A$1753,0)),"Unmapped"))</f>
        <v>Unmapped</v>
      </c>
      <c r="N1553" s="33" t="str">
        <f aca="false">IF($F1553="","",$F1553)</f>
        <v>InflataCity</v>
      </c>
    </row>
    <row r="1554" customFormat="false" ht="15" hidden="false" customHeight="false" outlineLevel="0" collapsed="false">
      <c r="A1554" s="33" t="n">
        <v>1826</v>
      </c>
      <c r="B1554" s="33" t="s">
        <v>734</v>
      </c>
      <c r="C1554" s="33" t="s">
        <v>511</v>
      </c>
      <c r="D1554" s="33"/>
      <c r="E1554" s="33" t="n">
        <v>55</v>
      </c>
      <c r="F1554" s="33" t="s">
        <v>2160</v>
      </c>
      <c r="G1554" s="33" t="s">
        <v>505</v>
      </c>
      <c r="H1554" s="33" t="n">
        <v>1</v>
      </c>
      <c r="I1554" s="33" t="n">
        <v>1</v>
      </c>
      <c r="J1554" s="33" t="n">
        <v>1</v>
      </c>
      <c r="K1554" s="32" t="n">
        <v>75</v>
      </c>
      <c r="L1554" s="33" t="str">
        <f aca="false">IF($B1554="","",IFERROR(INDEX('Code Mapping'!$D$5:$D$1753,MATCH($B1554,'Code Mapping'!$A$5:$A$1753,0)),"Unmapped"))</f>
        <v>Unmapped</v>
      </c>
      <c r="M1554" s="33" t="str">
        <f aca="false">IF($B1554="","",IFERROR(INDEX('Code Mapping'!$E$5:$E$1753,MATCH($B1554,'Code Mapping'!$A$5:$A$1753,0)),"Unmapped"))</f>
        <v>Unmapped</v>
      </c>
      <c r="N1554" s="33" t="str">
        <f aca="false">IF($F1554="","",$F1554)</f>
        <v>InflataCity</v>
      </c>
    </row>
    <row r="1555" customFormat="false" ht="15" hidden="false" customHeight="false" outlineLevel="0" collapsed="false">
      <c r="A1555" s="33" t="n">
        <v>1765</v>
      </c>
      <c r="B1555" s="33" t="s">
        <v>733</v>
      </c>
      <c r="C1555" s="33" t="s">
        <v>511</v>
      </c>
      <c r="D1555" s="33"/>
      <c r="E1555" s="33" t="n">
        <v>55</v>
      </c>
      <c r="F1555" s="33" t="s">
        <v>2160</v>
      </c>
      <c r="G1555" s="33" t="s">
        <v>505</v>
      </c>
      <c r="H1555" s="33" t="n">
        <v>1</v>
      </c>
      <c r="I1555" s="33" t="n">
        <v>1</v>
      </c>
      <c r="J1555" s="33" t="n">
        <v>1</v>
      </c>
      <c r="K1555" s="32" t="n">
        <v>75</v>
      </c>
      <c r="L1555" s="33" t="str">
        <f aca="false">IF($B1555="","",IFERROR(INDEX('Code Mapping'!$D$5:$D$1753,MATCH($B1555,'Code Mapping'!$A$5:$A$1753,0)),"Unmapped"))</f>
        <v>Unmapped</v>
      </c>
      <c r="M1555" s="33" t="str">
        <f aca="false">IF($B1555="","",IFERROR(INDEX('Code Mapping'!$E$5:$E$1753,MATCH($B1555,'Code Mapping'!$A$5:$A$1753,0)),"Unmapped"))</f>
        <v>Unmapped</v>
      </c>
      <c r="N1555" s="33" t="str">
        <f aca="false">IF($F1555="","",$F1555)</f>
        <v>InflataCity</v>
      </c>
    </row>
    <row r="1556" customFormat="false" ht="15" hidden="false" customHeight="false" outlineLevel="0" collapsed="false">
      <c r="A1556" s="33" t="n">
        <v>2000</v>
      </c>
      <c r="B1556" s="33" t="s">
        <v>732</v>
      </c>
      <c r="C1556" s="33" t="s">
        <v>511</v>
      </c>
      <c r="D1556" s="33"/>
      <c r="E1556" s="33" t="n">
        <v>55</v>
      </c>
      <c r="F1556" s="33" t="s">
        <v>2160</v>
      </c>
      <c r="G1556" s="33" t="s">
        <v>505</v>
      </c>
      <c r="H1556" s="33" t="n">
        <v>1</v>
      </c>
      <c r="I1556" s="33" t="n">
        <v>1</v>
      </c>
      <c r="J1556" s="33" t="n">
        <v>1</v>
      </c>
      <c r="K1556" s="32" t="n">
        <v>75</v>
      </c>
      <c r="L1556" s="33" t="str">
        <f aca="false">IF($B1556="","",IFERROR(INDEX('Code Mapping'!$D$5:$D$1753,MATCH($B1556,'Code Mapping'!$A$5:$A$1753,0)),"Unmapped"))</f>
        <v>Unmapped</v>
      </c>
      <c r="M1556" s="33" t="str">
        <f aca="false">IF($B1556="","",IFERROR(INDEX('Code Mapping'!$E$5:$E$1753,MATCH($B1556,'Code Mapping'!$A$5:$A$1753,0)),"Unmapped"))</f>
        <v>Unmapped</v>
      </c>
      <c r="N1556" s="33" t="str">
        <f aca="false">IF($F1556="","",$F1556)</f>
        <v>InflataCity</v>
      </c>
    </row>
    <row r="1557" customFormat="false" ht="15" hidden="false" customHeight="false" outlineLevel="0" collapsed="false">
      <c r="A1557" s="33" t="n">
        <v>1143</v>
      </c>
      <c r="B1557" s="33" t="s">
        <v>729</v>
      </c>
      <c r="C1557" s="33" t="s">
        <v>569</v>
      </c>
      <c r="D1557" s="33"/>
      <c r="E1557" s="33" t="n">
        <v>55</v>
      </c>
      <c r="F1557" s="33" t="s">
        <v>2160</v>
      </c>
      <c r="G1557" s="33" t="s">
        <v>505</v>
      </c>
      <c r="H1557" s="33" t="n">
        <v>1</v>
      </c>
      <c r="I1557" s="33" t="n">
        <v>1</v>
      </c>
      <c r="J1557" s="33" t="n">
        <v>1</v>
      </c>
      <c r="K1557" s="32" t="n">
        <v>250</v>
      </c>
      <c r="L1557" s="33" t="str">
        <f aca="false">IF($B1557="","",IFERROR(INDEX('Code Mapping'!$D$5:$D$1753,MATCH($B1557,'Code Mapping'!$A$5:$A$1753,0)),"Unmapped"))</f>
        <v>Unmapped</v>
      </c>
      <c r="M1557" s="33" t="str">
        <f aca="false">IF($B1557="","",IFERROR(INDEX('Code Mapping'!$E$5:$E$1753,MATCH($B1557,'Code Mapping'!$A$5:$A$1753,0)),"Unmapped"))</f>
        <v>Unmapped</v>
      </c>
      <c r="N1557" s="33" t="str">
        <f aca="false">IF($F1557="","",$F1557)</f>
        <v>InflataCity</v>
      </c>
    </row>
    <row r="1558" customFormat="false" ht="15" hidden="false" customHeight="false" outlineLevel="0" collapsed="false">
      <c r="A1558" s="33" t="n">
        <v>1877</v>
      </c>
      <c r="B1558" s="33" t="s">
        <v>728</v>
      </c>
      <c r="C1558" s="33" t="s">
        <v>511</v>
      </c>
      <c r="D1558" s="33"/>
      <c r="E1558" s="33" t="n">
        <v>55</v>
      </c>
      <c r="F1558" s="33" t="s">
        <v>2160</v>
      </c>
      <c r="G1558" s="33" t="s">
        <v>505</v>
      </c>
      <c r="H1558" s="33" t="n">
        <v>1</v>
      </c>
      <c r="I1558" s="33" t="n">
        <v>1</v>
      </c>
      <c r="J1558" s="33" t="n">
        <v>1</v>
      </c>
      <c r="K1558" s="32" t="n">
        <v>75</v>
      </c>
      <c r="L1558" s="33" t="str">
        <f aca="false">IF($B1558="","",IFERROR(INDEX('Code Mapping'!$D$5:$D$1753,MATCH($B1558,'Code Mapping'!$A$5:$A$1753,0)),"Unmapped"))</f>
        <v>Unmapped</v>
      </c>
      <c r="M1558" s="33" t="str">
        <f aca="false">IF($B1558="","",IFERROR(INDEX('Code Mapping'!$E$5:$E$1753,MATCH($B1558,'Code Mapping'!$A$5:$A$1753,0)),"Unmapped"))</f>
        <v>Unmapped</v>
      </c>
      <c r="N1558" s="33" t="str">
        <f aca="false">IF($F1558="","",$F1558)</f>
        <v>InflataCity</v>
      </c>
    </row>
    <row r="1559" customFormat="false" ht="15" hidden="false" customHeight="false" outlineLevel="0" collapsed="false">
      <c r="A1559" s="33" t="n">
        <v>1748</v>
      </c>
      <c r="B1559" s="33" t="s">
        <v>765</v>
      </c>
      <c r="C1559" s="33" t="s">
        <v>511</v>
      </c>
      <c r="D1559" s="33"/>
      <c r="E1559" s="33" t="n">
        <v>55</v>
      </c>
      <c r="F1559" s="33" t="s">
        <v>2160</v>
      </c>
      <c r="G1559" s="33" t="s">
        <v>505</v>
      </c>
      <c r="H1559" s="33" t="n">
        <v>1</v>
      </c>
      <c r="I1559" s="33" t="n">
        <v>1</v>
      </c>
      <c r="J1559" s="33" t="n">
        <v>1</v>
      </c>
      <c r="K1559" s="32" t="n">
        <v>75</v>
      </c>
      <c r="L1559" s="33" t="str">
        <f aca="false">IF($B1559="","",IFERROR(INDEX('Code Mapping'!$D$5:$D$1753,MATCH($B1559,'Code Mapping'!$A$5:$A$1753,0)),"Unmapped"))</f>
        <v>Unmapped</v>
      </c>
      <c r="M1559" s="33" t="str">
        <f aca="false">IF($B1559="","",IFERROR(INDEX('Code Mapping'!$E$5:$E$1753,MATCH($B1559,'Code Mapping'!$A$5:$A$1753,0)),"Unmapped"))</f>
        <v>Unmapped</v>
      </c>
      <c r="N1559" s="33" t="str">
        <f aca="false">IF($F1559="","",$F1559)</f>
        <v>InflataCity</v>
      </c>
    </row>
    <row r="1560" customFormat="false" ht="15" hidden="false" customHeight="false" outlineLevel="0" collapsed="false">
      <c r="A1560" s="33" t="n">
        <v>1867</v>
      </c>
      <c r="B1560" s="33" t="s">
        <v>770</v>
      </c>
      <c r="C1560" s="33" t="s">
        <v>511</v>
      </c>
      <c r="D1560" s="33"/>
      <c r="E1560" s="33" t="n">
        <v>55</v>
      </c>
      <c r="F1560" s="33" t="s">
        <v>2160</v>
      </c>
      <c r="G1560" s="33" t="s">
        <v>505</v>
      </c>
      <c r="H1560" s="33" t="n">
        <v>1</v>
      </c>
      <c r="I1560" s="33" t="n">
        <v>1</v>
      </c>
      <c r="J1560" s="33" t="n">
        <v>1</v>
      </c>
      <c r="K1560" s="32" t="n">
        <v>75</v>
      </c>
      <c r="L1560" s="33" t="str">
        <f aca="false">IF($B1560="","",IFERROR(INDEX('Code Mapping'!$D$5:$D$1753,MATCH($B1560,'Code Mapping'!$A$5:$A$1753,0)),"Unmapped"))</f>
        <v>Unmapped</v>
      </c>
      <c r="M1560" s="33" t="str">
        <f aca="false">IF($B1560="","",IFERROR(INDEX('Code Mapping'!$E$5:$E$1753,MATCH($B1560,'Code Mapping'!$A$5:$A$1753,0)),"Unmapped"))</f>
        <v>Unmapped</v>
      </c>
      <c r="N1560" s="33" t="str">
        <f aca="false">IF($F1560="","",$F1560)</f>
        <v>InflataCity</v>
      </c>
    </row>
    <row r="1561" customFormat="false" ht="15" hidden="false" customHeight="false" outlineLevel="0" collapsed="false">
      <c r="A1561" s="33" t="n">
        <v>1970</v>
      </c>
      <c r="B1561" s="33" t="s">
        <v>725</v>
      </c>
      <c r="C1561" s="33" t="s">
        <v>511</v>
      </c>
      <c r="D1561" s="33"/>
      <c r="E1561" s="33" t="n">
        <v>55</v>
      </c>
      <c r="F1561" s="33" t="s">
        <v>2160</v>
      </c>
      <c r="G1561" s="33" t="s">
        <v>505</v>
      </c>
      <c r="H1561" s="33" t="n">
        <v>1</v>
      </c>
      <c r="I1561" s="33" t="n">
        <v>1</v>
      </c>
      <c r="J1561" s="33" t="n">
        <v>1</v>
      </c>
      <c r="K1561" s="32" t="n">
        <v>75</v>
      </c>
      <c r="L1561" s="33" t="str">
        <f aca="false">IF($B1561="","",IFERROR(INDEX('Code Mapping'!$D$5:$D$1753,MATCH($B1561,'Code Mapping'!$A$5:$A$1753,0)),"Unmapped"))</f>
        <v>Unmapped</v>
      </c>
      <c r="M1561" s="33" t="str">
        <f aca="false">IF($B1561="","",IFERROR(INDEX('Code Mapping'!$E$5:$E$1753,MATCH($B1561,'Code Mapping'!$A$5:$A$1753,0)),"Unmapped"))</f>
        <v>Unmapped</v>
      </c>
      <c r="N1561" s="33" t="str">
        <f aca="false">IF($F1561="","",$F1561)</f>
        <v>InflataCity</v>
      </c>
    </row>
    <row r="1562" customFormat="false" ht="15" hidden="false" customHeight="false" outlineLevel="0" collapsed="false">
      <c r="A1562" s="33" t="n">
        <v>1971</v>
      </c>
      <c r="B1562" s="33" t="s">
        <v>789</v>
      </c>
      <c r="C1562" s="33" t="s">
        <v>511</v>
      </c>
      <c r="D1562" s="33"/>
      <c r="E1562" s="33" t="n">
        <v>55</v>
      </c>
      <c r="F1562" s="33" t="s">
        <v>2160</v>
      </c>
      <c r="G1562" s="33" t="s">
        <v>505</v>
      </c>
      <c r="H1562" s="33" t="n">
        <v>1</v>
      </c>
      <c r="I1562" s="33" t="n">
        <v>1</v>
      </c>
      <c r="J1562" s="33" t="n">
        <v>1</v>
      </c>
      <c r="K1562" s="32" t="n">
        <v>75</v>
      </c>
      <c r="L1562" s="33" t="str">
        <f aca="false">IF($B1562="","",IFERROR(INDEX('Code Mapping'!$D$5:$D$1753,MATCH($B1562,'Code Mapping'!$A$5:$A$1753,0)),"Unmapped"))</f>
        <v>Unmapped</v>
      </c>
      <c r="M1562" s="33" t="str">
        <f aca="false">IF($B1562="","",IFERROR(INDEX('Code Mapping'!$E$5:$E$1753,MATCH($B1562,'Code Mapping'!$A$5:$A$1753,0)),"Unmapped"))</f>
        <v>Unmapped</v>
      </c>
      <c r="N1562" s="33" t="str">
        <f aca="false">IF($F1562="","",$F1562)</f>
        <v>InflataCity</v>
      </c>
    </row>
    <row r="1563" customFormat="false" ht="15" hidden="false" customHeight="false" outlineLevel="0" collapsed="false">
      <c r="A1563" s="33" t="n">
        <v>1753</v>
      </c>
      <c r="B1563" s="33" t="s">
        <v>801</v>
      </c>
      <c r="C1563" s="33" t="s">
        <v>511</v>
      </c>
      <c r="D1563" s="33"/>
      <c r="E1563" s="33" t="n">
        <v>55</v>
      </c>
      <c r="F1563" s="33" t="s">
        <v>2160</v>
      </c>
      <c r="G1563" s="33" t="s">
        <v>505</v>
      </c>
      <c r="H1563" s="33" t="n">
        <v>1</v>
      </c>
      <c r="I1563" s="33" t="n">
        <v>1</v>
      </c>
      <c r="J1563" s="33" t="n">
        <v>1</v>
      </c>
      <c r="K1563" s="32" t="n">
        <v>75</v>
      </c>
      <c r="L1563" s="33" t="str">
        <f aca="false">IF($B1563="","",IFERROR(INDEX('Code Mapping'!$D$5:$D$1753,MATCH($B1563,'Code Mapping'!$A$5:$A$1753,0)),"Unmapped"))</f>
        <v>Unmapped</v>
      </c>
      <c r="M1563" s="33" t="str">
        <f aca="false">IF($B1563="","",IFERROR(INDEX('Code Mapping'!$E$5:$E$1753,MATCH($B1563,'Code Mapping'!$A$5:$A$1753,0)),"Unmapped"))</f>
        <v>Unmapped</v>
      </c>
      <c r="N1563" s="33" t="str">
        <f aca="false">IF($F1563="","",$F1563)</f>
        <v>InflataCity</v>
      </c>
    </row>
    <row r="1564" customFormat="false" ht="15" hidden="false" customHeight="false" outlineLevel="0" collapsed="false">
      <c r="A1564" s="33" t="n">
        <v>1575</v>
      </c>
      <c r="B1564" s="33" t="s">
        <v>654</v>
      </c>
      <c r="C1564" s="33" t="s">
        <v>513</v>
      </c>
      <c r="D1564" s="33"/>
      <c r="E1564" s="33" t="n">
        <v>55</v>
      </c>
      <c r="F1564" s="33" t="s">
        <v>2160</v>
      </c>
      <c r="G1564" s="33" t="s">
        <v>505</v>
      </c>
      <c r="H1564" s="33" t="n">
        <v>1</v>
      </c>
      <c r="I1564" s="33" t="n">
        <v>1</v>
      </c>
      <c r="J1564" s="33" t="n">
        <v>1</v>
      </c>
      <c r="K1564" s="32" t="n">
        <v>300</v>
      </c>
      <c r="L1564" s="33" t="str">
        <f aca="false">IF($B1564="","",IFERROR(INDEX('Code Mapping'!$D$5:$D$1753,MATCH($B1564,'Code Mapping'!$A$5:$A$1753,0)),"Unmapped"))</f>
        <v>Unmapped</v>
      </c>
      <c r="M1564" s="33" t="str">
        <f aca="false">IF($B1564="","",IFERROR(INDEX('Code Mapping'!$E$5:$E$1753,MATCH($B1564,'Code Mapping'!$A$5:$A$1753,0)),"Unmapped"))</f>
        <v>Unmapped</v>
      </c>
      <c r="N1564" s="33" t="str">
        <f aca="false">IF($F1564="","",$F1564)</f>
        <v>InflataCity</v>
      </c>
    </row>
    <row r="1565" customFormat="false" ht="15" hidden="false" customHeight="false" outlineLevel="0" collapsed="false">
      <c r="A1565" s="33" t="n">
        <v>1965</v>
      </c>
      <c r="B1565" s="33" t="s">
        <v>800</v>
      </c>
      <c r="C1565" s="33" t="s">
        <v>511</v>
      </c>
      <c r="D1565" s="33"/>
      <c r="E1565" s="33" t="n">
        <v>55</v>
      </c>
      <c r="F1565" s="33" t="s">
        <v>2160</v>
      </c>
      <c r="G1565" s="33" t="s">
        <v>505</v>
      </c>
      <c r="H1565" s="33" t="n">
        <v>1</v>
      </c>
      <c r="I1565" s="33" t="n">
        <v>1</v>
      </c>
      <c r="J1565" s="33" t="n">
        <v>1</v>
      </c>
      <c r="K1565" s="32" t="n">
        <v>75</v>
      </c>
      <c r="L1565" s="33" t="str">
        <f aca="false">IF($B1565="","",IFERROR(INDEX('Code Mapping'!$D$5:$D$1753,MATCH($B1565,'Code Mapping'!$A$5:$A$1753,0)),"Unmapped"))</f>
        <v>Unmapped</v>
      </c>
      <c r="M1565" s="33" t="str">
        <f aca="false">IF($B1565="","",IFERROR(INDEX('Code Mapping'!$E$5:$E$1753,MATCH($B1565,'Code Mapping'!$A$5:$A$1753,0)),"Unmapped"))</f>
        <v>Unmapped</v>
      </c>
      <c r="N1565" s="33" t="str">
        <f aca="false">IF($F1565="","",$F1565)</f>
        <v>InflataCity</v>
      </c>
    </row>
    <row r="1566" customFormat="false" ht="15" hidden="false" customHeight="false" outlineLevel="0" collapsed="false">
      <c r="A1566" s="33" t="n">
        <v>1520</v>
      </c>
      <c r="B1566" s="33" t="s">
        <v>798</v>
      </c>
      <c r="C1566" s="33" t="s">
        <v>513</v>
      </c>
      <c r="D1566" s="33"/>
      <c r="E1566" s="33" t="n">
        <v>55</v>
      </c>
      <c r="F1566" s="33" t="s">
        <v>2160</v>
      </c>
      <c r="G1566" s="33" t="s">
        <v>505</v>
      </c>
      <c r="H1566" s="33" t="n">
        <v>1</v>
      </c>
      <c r="I1566" s="33" t="n">
        <v>1</v>
      </c>
      <c r="J1566" s="33" t="n">
        <v>1</v>
      </c>
      <c r="K1566" s="32" t="n">
        <v>300</v>
      </c>
      <c r="L1566" s="33" t="str">
        <f aca="false">IF($B1566="","",IFERROR(INDEX('Code Mapping'!$D$5:$D$1753,MATCH($B1566,'Code Mapping'!$A$5:$A$1753,0)),"Unmapped"))</f>
        <v>Unmapped</v>
      </c>
      <c r="M1566" s="33" t="str">
        <f aca="false">IF($B1566="","",IFERROR(INDEX('Code Mapping'!$E$5:$E$1753,MATCH($B1566,'Code Mapping'!$A$5:$A$1753,0)),"Unmapped"))</f>
        <v>Unmapped</v>
      </c>
      <c r="N1566" s="33" t="str">
        <f aca="false">IF($F1566="","",$F1566)</f>
        <v>InflataCity</v>
      </c>
    </row>
    <row r="1567" customFormat="false" ht="15" hidden="false" customHeight="false" outlineLevel="0" collapsed="false">
      <c r="A1567" s="33" t="n">
        <v>1944</v>
      </c>
      <c r="B1567" s="33" t="s">
        <v>797</v>
      </c>
      <c r="C1567" s="33" t="s">
        <v>511</v>
      </c>
      <c r="D1567" s="33"/>
      <c r="E1567" s="33" t="n">
        <v>55</v>
      </c>
      <c r="F1567" s="33" t="s">
        <v>2160</v>
      </c>
      <c r="G1567" s="33" t="s">
        <v>505</v>
      </c>
      <c r="H1567" s="33" t="n">
        <v>1</v>
      </c>
      <c r="I1567" s="33" t="n">
        <v>1</v>
      </c>
      <c r="J1567" s="33" t="n">
        <v>1</v>
      </c>
      <c r="K1567" s="32" t="n">
        <v>75</v>
      </c>
      <c r="L1567" s="33" t="str">
        <f aca="false">IF($B1567="","",IFERROR(INDEX('Code Mapping'!$D$5:$D$1753,MATCH($B1567,'Code Mapping'!$A$5:$A$1753,0)),"Unmapped"))</f>
        <v>Unmapped</v>
      </c>
      <c r="M1567" s="33" t="str">
        <f aca="false">IF($B1567="","",IFERROR(INDEX('Code Mapping'!$E$5:$E$1753,MATCH($B1567,'Code Mapping'!$A$5:$A$1753,0)),"Unmapped"))</f>
        <v>Unmapped</v>
      </c>
      <c r="N1567" s="33" t="str">
        <f aca="false">IF($F1567="","",$F1567)</f>
        <v>InflataCity</v>
      </c>
    </row>
    <row r="1568" customFormat="false" ht="15" hidden="false" customHeight="false" outlineLevel="0" collapsed="false">
      <c r="A1568" s="33" t="n">
        <v>1477</v>
      </c>
      <c r="B1568" s="33" t="s">
        <v>793</v>
      </c>
      <c r="C1568" s="33" t="s">
        <v>513</v>
      </c>
      <c r="D1568" s="33"/>
      <c r="E1568" s="33" t="n">
        <v>55</v>
      </c>
      <c r="F1568" s="33" t="s">
        <v>2160</v>
      </c>
      <c r="G1568" s="33" t="s">
        <v>505</v>
      </c>
      <c r="H1568" s="33" t="n">
        <v>1</v>
      </c>
      <c r="I1568" s="33" t="n">
        <v>1</v>
      </c>
      <c r="J1568" s="33" t="n">
        <v>1</v>
      </c>
      <c r="K1568" s="32" t="n">
        <v>300</v>
      </c>
      <c r="L1568" s="33" t="str">
        <f aca="false">IF($B1568="","",IFERROR(INDEX('Code Mapping'!$D$5:$D$1753,MATCH($B1568,'Code Mapping'!$A$5:$A$1753,0)),"Unmapped"))</f>
        <v>Unmapped</v>
      </c>
      <c r="M1568" s="33" t="str">
        <f aca="false">IF($B1568="","",IFERROR(INDEX('Code Mapping'!$E$5:$E$1753,MATCH($B1568,'Code Mapping'!$A$5:$A$1753,0)),"Unmapped"))</f>
        <v>Unmapped</v>
      </c>
      <c r="N1568" s="33" t="str">
        <f aca="false">IF($F1568="","",$F1568)</f>
        <v>InflataCity</v>
      </c>
    </row>
    <row r="1569" customFormat="false" ht="15" hidden="false" customHeight="false" outlineLevel="0" collapsed="false">
      <c r="A1569" s="33" t="n">
        <v>1764</v>
      </c>
      <c r="B1569" s="33" t="s">
        <v>792</v>
      </c>
      <c r="C1569" s="33" t="s">
        <v>511</v>
      </c>
      <c r="D1569" s="33"/>
      <c r="E1569" s="33" t="n">
        <v>55</v>
      </c>
      <c r="F1569" s="33" t="s">
        <v>2160</v>
      </c>
      <c r="G1569" s="33" t="s">
        <v>505</v>
      </c>
      <c r="H1569" s="33" t="n">
        <v>1</v>
      </c>
      <c r="I1569" s="33" t="n">
        <v>1</v>
      </c>
      <c r="J1569" s="33" t="n">
        <v>1</v>
      </c>
      <c r="K1569" s="32" t="n">
        <v>75</v>
      </c>
      <c r="L1569" s="33" t="str">
        <f aca="false">IF($B1569="","",IFERROR(INDEX('Code Mapping'!$D$5:$D$1753,MATCH($B1569,'Code Mapping'!$A$5:$A$1753,0)),"Unmapped"))</f>
        <v>Unmapped</v>
      </c>
      <c r="M1569" s="33" t="str">
        <f aca="false">IF($B1569="","",IFERROR(INDEX('Code Mapping'!$E$5:$E$1753,MATCH($B1569,'Code Mapping'!$A$5:$A$1753,0)),"Unmapped"))</f>
        <v>Unmapped</v>
      </c>
      <c r="N1569" s="33" t="str">
        <f aca="false">IF($F1569="","",$F1569)</f>
        <v>InflataCity</v>
      </c>
    </row>
    <row r="1570" customFormat="false" ht="15" hidden="false" customHeight="false" outlineLevel="0" collapsed="false">
      <c r="A1570" s="33" t="n">
        <v>1766</v>
      </c>
      <c r="B1570" s="33" t="s">
        <v>791</v>
      </c>
      <c r="C1570" s="33" t="s">
        <v>511</v>
      </c>
      <c r="D1570" s="33"/>
      <c r="E1570" s="33" t="n">
        <v>55</v>
      </c>
      <c r="F1570" s="33" t="s">
        <v>2160</v>
      </c>
      <c r="G1570" s="33" t="s">
        <v>505</v>
      </c>
      <c r="H1570" s="33" t="n">
        <v>1</v>
      </c>
      <c r="I1570" s="33" t="n">
        <v>1</v>
      </c>
      <c r="J1570" s="33" t="n">
        <v>1</v>
      </c>
      <c r="K1570" s="32" t="n">
        <v>75</v>
      </c>
      <c r="L1570" s="33" t="str">
        <f aca="false">IF($B1570="","",IFERROR(INDEX('Code Mapping'!$D$5:$D$1753,MATCH($B1570,'Code Mapping'!$A$5:$A$1753,0)),"Unmapped"))</f>
        <v>Unmapped</v>
      </c>
      <c r="M1570" s="33" t="str">
        <f aca="false">IF($B1570="","",IFERROR(INDEX('Code Mapping'!$E$5:$E$1753,MATCH($B1570,'Code Mapping'!$A$5:$A$1753,0)),"Unmapped"))</f>
        <v>Unmapped</v>
      </c>
      <c r="N1570" s="33" t="str">
        <f aca="false">IF($F1570="","",$F1570)</f>
        <v>InflataCity</v>
      </c>
    </row>
    <row r="1571" customFormat="false" ht="15" hidden="false" customHeight="false" outlineLevel="0" collapsed="false">
      <c r="A1571" s="33" t="n">
        <v>1774</v>
      </c>
      <c r="B1571" s="33" t="s">
        <v>787</v>
      </c>
      <c r="C1571" s="33" t="s">
        <v>511</v>
      </c>
      <c r="D1571" s="33"/>
      <c r="E1571" s="33" t="n">
        <v>55</v>
      </c>
      <c r="F1571" s="33" t="s">
        <v>2160</v>
      </c>
      <c r="G1571" s="33" t="s">
        <v>505</v>
      </c>
      <c r="H1571" s="33" t="n">
        <v>1</v>
      </c>
      <c r="I1571" s="33" t="n">
        <v>1</v>
      </c>
      <c r="J1571" s="33" t="n">
        <v>1</v>
      </c>
      <c r="K1571" s="32" t="n">
        <v>75</v>
      </c>
      <c r="L1571" s="33" t="str">
        <f aca="false">IF($B1571="","",IFERROR(INDEX('Code Mapping'!$D$5:$D$1753,MATCH($B1571,'Code Mapping'!$A$5:$A$1753,0)),"Unmapped"))</f>
        <v>Unmapped</v>
      </c>
      <c r="M1571" s="33" t="str">
        <f aca="false">IF($B1571="","",IFERROR(INDEX('Code Mapping'!$E$5:$E$1753,MATCH($B1571,'Code Mapping'!$A$5:$A$1753,0)),"Unmapped"))</f>
        <v>Unmapped</v>
      </c>
      <c r="N1571" s="33" t="str">
        <f aca="false">IF($F1571="","",$F1571)</f>
        <v>InflataCity</v>
      </c>
    </row>
    <row r="1572" customFormat="false" ht="15" hidden="false" customHeight="false" outlineLevel="0" collapsed="false">
      <c r="A1572" s="33" t="n">
        <v>1464</v>
      </c>
      <c r="B1572" s="33" t="s">
        <v>772</v>
      </c>
      <c r="C1572" s="33" t="s">
        <v>513</v>
      </c>
      <c r="D1572" s="33"/>
      <c r="E1572" s="33" t="n">
        <v>55</v>
      </c>
      <c r="F1572" s="33" t="s">
        <v>2160</v>
      </c>
      <c r="G1572" s="33" t="s">
        <v>505</v>
      </c>
      <c r="H1572" s="33" t="n">
        <v>1</v>
      </c>
      <c r="I1572" s="33" t="n">
        <v>1</v>
      </c>
      <c r="J1572" s="33" t="n">
        <v>1</v>
      </c>
      <c r="K1572" s="32" t="n">
        <v>300</v>
      </c>
      <c r="L1572" s="33" t="str">
        <f aca="false">IF($B1572="","",IFERROR(INDEX('Code Mapping'!$D$5:$D$1753,MATCH($B1572,'Code Mapping'!$A$5:$A$1753,0)),"Unmapped"))</f>
        <v>Unmapped</v>
      </c>
      <c r="M1572" s="33" t="str">
        <f aca="false">IF($B1572="","",IFERROR(INDEX('Code Mapping'!$E$5:$E$1753,MATCH($B1572,'Code Mapping'!$A$5:$A$1753,0)),"Unmapped"))</f>
        <v>Unmapped</v>
      </c>
      <c r="N1572" s="33" t="str">
        <f aca="false">IF($F1572="","",$F1572)</f>
        <v>InflataCity</v>
      </c>
    </row>
    <row r="1573" customFormat="false" ht="15" hidden="false" customHeight="false" outlineLevel="0" collapsed="false">
      <c r="A1573" s="33" t="n">
        <v>1772</v>
      </c>
      <c r="B1573" s="33" t="s">
        <v>786</v>
      </c>
      <c r="C1573" s="33" t="s">
        <v>511</v>
      </c>
      <c r="D1573" s="33"/>
      <c r="E1573" s="33" t="n">
        <v>55</v>
      </c>
      <c r="F1573" s="33" t="s">
        <v>2160</v>
      </c>
      <c r="G1573" s="33" t="s">
        <v>505</v>
      </c>
      <c r="H1573" s="33" t="n">
        <v>1</v>
      </c>
      <c r="I1573" s="33" t="n">
        <v>1</v>
      </c>
      <c r="J1573" s="33" t="n">
        <v>1</v>
      </c>
      <c r="K1573" s="32" t="n">
        <v>75</v>
      </c>
      <c r="L1573" s="33" t="str">
        <f aca="false">IF($B1573="","",IFERROR(INDEX('Code Mapping'!$D$5:$D$1753,MATCH($B1573,'Code Mapping'!$A$5:$A$1753,0)),"Unmapped"))</f>
        <v>Unmapped</v>
      </c>
      <c r="M1573" s="33" t="str">
        <f aca="false">IF($B1573="","",IFERROR(INDEX('Code Mapping'!$E$5:$E$1753,MATCH($B1573,'Code Mapping'!$A$5:$A$1753,0)),"Unmapped"))</f>
        <v>Unmapped</v>
      </c>
      <c r="N1573" s="33" t="str">
        <f aca="false">IF($F1573="","",$F1573)</f>
        <v>InflataCity</v>
      </c>
    </row>
    <row r="1574" customFormat="false" ht="15" hidden="false" customHeight="false" outlineLevel="0" collapsed="false">
      <c r="A1574" s="33" t="n">
        <v>1959</v>
      </c>
      <c r="B1574" s="33" t="s">
        <v>784</v>
      </c>
      <c r="C1574" s="33" t="s">
        <v>511</v>
      </c>
      <c r="D1574" s="33"/>
      <c r="E1574" s="33" t="n">
        <v>55</v>
      </c>
      <c r="F1574" s="33" t="s">
        <v>2160</v>
      </c>
      <c r="G1574" s="33" t="s">
        <v>505</v>
      </c>
      <c r="H1574" s="33" t="n">
        <v>1</v>
      </c>
      <c r="I1574" s="33" t="n">
        <v>1</v>
      </c>
      <c r="J1574" s="33" t="n">
        <v>1</v>
      </c>
      <c r="K1574" s="32" t="n">
        <v>75</v>
      </c>
      <c r="L1574" s="33" t="str">
        <f aca="false">IF($B1574="","",IFERROR(INDEX('Code Mapping'!$D$5:$D$1753,MATCH($B1574,'Code Mapping'!$A$5:$A$1753,0)),"Unmapped"))</f>
        <v>Unmapped</v>
      </c>
      <c r="M1574" s="33" t="str">
        <f aca="false">IF($B1574="","",IFERROR(INDEX('Code Mapping'!$E$5:$E$1753,MATCH($B1574,'Code Mapping'!$A$5:$A$1753,0)),"Unmapped"))</f>
        <v>Unmapped</v>
      </c>
      <c r="N1574" s="33" t="str">
        <f aca="false">IF($F1574="","",$F1574)</f>
        <v>InflataCity</v>
      </c>
    </row>
    <row r="1575" customFormat="false" ht="15" hidden="false" customHeight="false" outlineLevel="0" collapsed="false">
      <c r="A1575" s="33" t="n">
        <v>1754</v>
      </c>
      <c r="B1575" s="33" t="s">
        <v>783</v>
      </c>
      <c r="C1575" s="33" t="s">
        <v>511</v>
      </c>
      <c r="D1575" s="33"/>
      <c r="E1575" s="33" t="n">
        <v>55</v>
      </c>
      <c r="F1575" s="33" t="s">
        <v>2160</v>
      </c>
      <c r="G1575" s="33" t="s">
        <v>505</v>
      </c>
      <c r="H1575" s="33" t="n">
        <v>1</v>
      </c>
      <c r="I1575" s="33" t="n">
        <v>1</v>
      </c>
      <c r="J1575" s="33" t="n">
        <v>1</v>
      </c>
      <c r="K1575" s="32" t="n">
        <v>75</v>
      </c>
      <c r="L1575" s="33" t="str">
        <f aca="false">IF($B1575="","",IFERROR(INDEX('Code Mapping'!$D$5:$D$1753,MATCH($B1575,'Code Mapping'!$A$5:$A$1753,0)),"Unmapped"))</f>
        <v>Unmapped</v>
      </c>
      <c r="M1575" s="33" t="str">
        <f aca="false">IF($B1575="","",IFERROR(INDEX('Code Mapping'!$E$5:$E$1753,MATCH($B1575,'Code Mapping'!$A$5:$A$1753,0)),"Unmapped"))</f>
        <v>Unmapped</v>
      </c>
      <c r="N1575" s="33" t="str">
        <f aca="false">IF($F1575="","",$F1575)</f>
        <v>InflataCity</v>
      </c>
    </row>
    <row r="1576" customFormat="false" ht="15" hidden="false" customHeight="false" outlineLevel="0" collapsed="false">
      <c r="A1576" s="33" t="n">
        <v>1993</v>
      </c>
      <c r="B1576" s="33" t="s">
        <v>782</v>
      </c>
      <c r="C1576" s="33" t="s">
        <v>511</v>
      </c>
      <c r="D1576" s="33"/>
      <c r="E1576" s="33" t="n">
        <v>55</v>
      </c>
      <c r="F1576" s="33" t="s">
        <v>2160</v>
      </c>
      <c r="G1576" s="33" t="s">
        <v>505</v>
      </c>
      <c r="H1576" s="33" t="n">
        <v>1</v>
      </c>
      <c r="I1576" s="33" t="n">
        <v>1</v>
      </c>
      <c r="J1576" s="33" t="n">
        <v>1</v>
      </c>
      <c r="K1576" s="32" t="n">
        <v>75</v>
      </c>
      <c r="L1576" s="33" t="str">
        <f aca="false">IF($B1576="","",IFERROR(INDEX('Code Mapping'!$D$5:$D$1753,MATCH($B1576,'Code Mapping'!$A$5:$A$1753,0)),"Unmapped"))</f>
        <v>Unmapped</v>
      </c>
      <c r="M1576" s="33" t="str">
        <f aca="false">IF($B1576="","",IFERROR(INDEX('Code Mapping'!$E$5:$E$1753,MATCH($B1576,'Code Mapping'!$A$5:$A$1753,0)),"Unmapped"))</f>
        <v>Unmapped</v>
      </c>
      <c r="N1576" s="33" t="str">
        <f aca="false">IF($F1576="","",$F1576)</f>
        <v>InflataCity</v>
      </c>
    </row>
    <row r="1577" customFormat="false" ht="15" hidden="false" customHeight="false" outlineLevel="0" collapsed="false">
      <c r="A1577" s="33" t="n">
        <v>1880</v>
      </c>
      <c r="B1577" s="33" t="s">
        <v>781</v>
      </c>
      <c r="C1577" s="33" t="s">
        <v>511</v>
      </c>
      <c r="D1577" s="33"/>
      <c r="E1577" s="33" t="n">
        <v>55</v>
      </c>
      <c r="F1577" s="33" t="s">
        <v>2160</v>
      </c>
      <c r="G1577" s="33" t="s">
        <v>505</v>
      </c>
      <c r="H1577" s="33" t="n">
        <v>1</v>
      </c>
      <c r="I1577" s="33" t="n">
        <v>1</v>
      </c>
      <c r="J1577" s="33" t="n">
        <v>1</v>
      </c>
      <c r="K1577" s="32" t="n">
        <v>75</v>
      </c>
      <c r="L1577" s="33" t="str">
        <f aca="false">IF($B1577="","",IFERROR(INDEX('Code Mapping'!$D$5:$D$1753,MATCH($B1577,'Code Mapping'!$A$5:$A$1753,0)),"Unmapped"))</f>
        <v>Unmapped</v>
      </c>
      <c r="M1577" s="33" t="str">
        <f aca="false">IF($B1577="","",IFERROR(INDEX('Code Mapping'!$E$5:$E$1753,MATCH($B1577,'Code Mapping'!$A$5:$A$1753,0)),"Unmapped"))</f>
        <v>Unmapped</v>
      </c>
      <c r="N1577" s="33" t="str">
        <f aca="false">IF($F1577="","",$F1577)</f>
        <v>InflataCity</v>
      </c>
    </row>
    <row r="1578" customFormat="false" ht="15" hidden="false" customHeight="false" outlineLevel="0" collapsed="false">
      <c r="A1578" s="33" t="n">
        <v>2008</v>
      </c>
      <c r="B1578" s="33" t="s">
        <v>780</v>
      </c>
      <c r="C1578" s="33" t="s">
        <v>511</v>
      </c>
      <c r="D1578" s="33"/>
      <c r="E1578" s="33" t="n">
        <v>55</v>
      </c>
      <c r="F1578" s="33" t="s">
        <v>2160</v>
      </c>
      <c r="G1578" s="33" t="s">
        <v>505</v>
      </c>
      <c r="H1578" s="33" t="n">
        <v>1</v>
      </c>
      <c r="I1578" s="33" t="n">
        <v>1</v>
      </c>
      <c r="J1578" s="33" t="n">
        <v>1</v>
      </c>
      <c r="K1578" s="32" t="n">
        <v>75</v>
      </c>
      <c r="L1578" s="33" t="str">
        <f aca="false">IF($B1578="","",IFERROR(INDEX('Code Mapping'!$D$5:$D$1753,MATCH($B1578,'Code Mapping'!$A$5:$A$1753,0)),"Unmapped"))</f>
        <v>Unmapped</v>
      </c>
      <c r="M1578" s="33" t="str">
        <f aca="false">IF($B1578="","",IFERROR(INDEX('Code Mapping'!$E$5:$E$1753,MATCH($B1578,'Code Mapping'!$A$5:$A$1753,0)),"Unmapped"))</f>
        <v>Unmapped</v>
      </c>
      <c r="N1578" s="33" t="str">
        <f aca="false">IF($F1578="","",$F1578)</f>
        <v>InflataCity</v>
      </c>
    </row>
    <row r="1579" customFormat="false" ht="15" hidden="false" customHeight="false" outlineLevel="0" collapsed="false">
      <c r="A1579" s="33" t="n">
        <v>1890</v>
      </c>
      <c r="B1579" s="33" t="s">
        <v>777</v>
      </c>
      <c r="C1579" s="33" t="s">
        <v>511</v>
      </c>
      <c r="D1579" s="33"/>
      <c r="E1579" s="33" t="n">
        <v>55</v>
      </c>
      <c r="F1579" s="33" t="s">
        <v>2160</v>
      </c>
      <c r="G1579" s="33" t="s">
        <v>505</v>
      </c>
      <c r="H1579" s="33" t="n">
        <v>1</v>
      </c>
      <c r="I1579" s="33" t="n">
        <v>1</v>
      </c>
      <c r="J1579" s="33" t="n">
        <v>1</v>
      </c>
      <c r="K1579" s="32" t="n">
        <v>75</v>
      </c>
      <c r="L1579" s="33" t="str">
        <f aca="false">IF($B1579="","",IFERROR(INDEX('Code Mapping'!$D$5:$D$1753,MATCH($B1579,'Code Mapping'!$A$5:$A$1753,0)),"Unmapped"))</f>
        <v>Unmapped</v>
      </c>
      <c r="M1579" s="33" t="str">
        <f aca="false">IF($B1579="","",IFERROR(INDEX('Code Mapping'!$E$5:$E$1753,MATCH($B1579,'Code Mapping'!$A$5:$A$1753,0)),"Unmapped"))</f>
        <v>Unmapped</v>
      </c>
      <c r="N1579" s="33" t="str">
        <f aca="false">IF($F1579="","",$F1579)</f>
        <v>InflataCity</v>
      </c>
    </row>
    <row r="1580" customFormat="false" ht="15" hidden="false" customHeight="false" outlineLevel="0" collapsed="false">
      <c r="A1580" s="33" t="n">
        <v>1524</v>
      </c>
      <c r="B1580" s="33" t="s">
        <v>776</v>
      </c>
      <c r="C1580" s="33" t="s">
        <v>513</v>
      </c>
      <c r="D1580" s="33"/>
      <c r="E1580" s="33" t="n">
        <v>55</v>
      </c>
      <c r="F1580" s="33" t="s">
        <v>2160</v>
      </c>
      <c r="G1580" s="33" t="s">
        <v>505</v>
      </c>
      <c r="H1580" s="33" t="n">
        <v>1</v>
      </c>
      <c r="I1580" s="33" t="n">
        <v>1</v>
      </c>
      <c r="J1580" s="33" t="n">
        <v>1</v>
      </c>
      <c r="K1580" s="32" t="n">
        <v>300</v>
      </c>
      <c r="L1580" s="33" t="str">
        <f aca="false">IF($B1580="","",IFERROR(INDEX('Code Mapping'!$D$5:$D$1753,MATCH($B1580,'Code Mapping'!$A$5:$A$1753,0)),"Unmapped"))</f>
        <v>Unmapped</v>
      </c>
      <c r="M1580" s="33" t="str">
        <f aca="false">IF($B1580="","",IFERROR(INDEX('Code Mapping'!$E$5:$E$1753,MATCH($B1580,'Code Mapping'!$A$5:$A$1753,0)),"Unmapped"))</f>
        <v>Unmapped</v>
      </c>
      <c r="N1580" s="33" t="str">
        <f aca="false">IF($F1580="","",$F1580)</f>
        <v>InflataCity</v>
      </c>
    </row>
    <row r="1581" customFormat="false" ht="15" hidden="false" customHeight="false" outlineLevel="0" collapsed="false">
      <c r="A1581" s="33" t="n">
        <v>1574</v>
      </c>
      <c r="B1581" s="33" t="s">
        <v>727</v>
      </c>
      <c r="C1581" s="33" t="s">
        <v>513</v>
      </c>
      <c r="D1581" s="33"/>
      <c r="E1581" s="33" t="n">
        <v>55</v>
      </c>
      <c r="F1581" s="33" t="s">
        <v>2160</v>
      </c>
      <c r="G1581" s="33" t="s">
        <v>505</v>
      </c>
      <c r="H1581" s="33" t="n">
        <v>1</v>
      </c>
      <c r="I1581" s="33" t="n">
        <v>1</v>
      </c>
      <c r="J1581" s="33" t="n">
        <v>1</v>
      </c>
      <c r="K1581" s="32" t="n">
        <v>300</v>
      </c>
      <c r="L1581" s="33" t="str">
        <f aca="false">IF($B1581="","",IFERROR(INDEX('Code Mapping'!$D$5:$D$1753,MATCH($B1581,'Code Mapping'!$A$5:$A$1753,0)),"Unmapped"))</f>
        <v>Unmapped</v>
      </c>
      <c r="M1581" s="33" t="str">
        <f aca="false">IF($B1581="","",IFERROR(INDEX('Code Mapping'!$E$5:$E$1753,MATCH($B1581,'Code Mapping'!$A$5:$A$1753,0)),"Unmapped"))</f>
        <v>Unmapped</v>
      </c>
      <c r="N1581" s="33" t="str">
        <f aca="false">IF($F1581="","",$F1581)</f>
        <v>InflataCity</v>
      </c>
    </row>
    <row r="1582" customFormat="false" ht="15" hidden="false" customHeight="false" outlineLevel="0" collapsed="false">
      <c r="A1582" s="33" t="n">
        <v>1476</v>
      </c>
      <c r="B1582" s="33" t="s">
        <v>763</v>
      </c>
      <c r="C1582" s="33" t="s">
        <v>513</v>
      </c>
      <c r="D1582" s="33"/>
      <c r="E1582" s="33" t="n">
        <v>55</v>
      </c>
      <c r="F1582" s="33" t="s">
        <v>2160</v>
      </c>
      <c r="G1582" s="33" t="s">
        <v>505</v>
      </c>
      <c r="H1582" s="33" t="n">
        <v>1</v>
      </c>
      <c r="I1582" s="33" t="n">
        <v>1</v>
      </c>
      <c r="J1582" s="33" t="n">
        <v>1</v>
      </c>
      <c r="K1582" s="32" t="n">
        <v>300</v>
      </c>
      <c r="L1582" s="33" t="str">
        <f aca="false">IF($B1582="","",IFERROR(INDEX('Code Mapping'!$D$5:$D$1753,MATCH($B1582,'Code Mapping'!$A$5:$A$1753,0)),"Unmapped"))</f>
        <v>Unmapped</v>
      </c>
      <c r="M1582" s="33" t="str">
        <f aca="false">IF($B1582="","",IFERROR(INDEX('Code Mapping'!$E$5:$E$1753,MATCH($B1582,'Code Mapping'!$A$5:$A$1753,0)),"Unmapped"))</f>
        <v>Unmapped</v>
      </c>
      <c r="N1582" s="33" t="str">
        <f aca="false">IF($F1582="","",$F1582)</f>
        <v>InflataCity</v>
      </c>
    </row>
    <row r="1583" customFormat="false" ht="15" hidden="false" customHeight="false" outlineLevel="0" collapsed="false">
      <c r="A1583" s="33" t="n">
        <v>2018</v>
      </c>
      <c r="B1583" s="33" t="s">
        <v>724</v>
      </c>
      <c r="C1583" s="33" t="s">
        <v>511</v>
      </c>
      <c r="D1583" s="33"/>
      <c r="E1583" s="33" t="n">
        <v>55</v>
      </c>
      <c r="F1583" s="33" t="s">
        <v>2160</v>
      </c>
      <c r="G1583" s="33" t="s">
        <v>505</v>
      </c>
      <c r="H1583" s="33" t="n">
        <v>1</v>
      </c>
      <c r="I1583" s="33" t="n">
        <v>1</v>
      </c>
      <c r="J1583" s="33" t="n">
        <v>1</v>
      </c>
      <c r="K1583" s="32" t="n">
        <v>75</v>
      </c>
      <c r="L1583" s="33" t="str">
        <f aca="false">IF($B1583="","",IFERROR(INDEX('Code Mapping'!$D$5:$D$1753,MATCH($B1583,'Code Mapping'!$A$5:$A$1753,0)),"Unmapped"))</f>
        <v>Unmapped</v>
      </c>
      <c r="M1583" s="33" t="str">
        <f aca="false">IF($B1583="","",IFERROR(INDEX('Code Mapping'!$E$5:$E$1753,MATCH($B1583,'Code Mapping'!$A$5:$A$1753,0)),"Unmapped"))</f>
        <v>Unmapped</v>
      </c>
      <c r="N1583" s="33" t="str">
        <f aca="false">IF($F1583="","",$F1583)</f>
        <v>InflataCity</v>
      </c>
    </row>
    <row r="1584" customFormat="false" ht="15" hidden="false" customHeight="false" outlineLevel="0" collapsed="false">
      <c r="A1584" s="33" t="n">
        <v>1751</v>
      </c>
      <c r="B1584" s="33" t="s">
        <v>670</v>
      </c>
      <c r="C1584" s="33" t="s">
        <v>511</v>
      </c>
      <c r="D1584" s="33"/>
      <c r="E1584" s="33" t="n">
        <v>55</v>
      </c>
      <c r="F1584" s="33" t="s">
        <v>2160</v>
      </c>
      <c r="G1584" s="33" t="s">
        <v>505</v>
      </c>
      <c r="H1584" s="33" t="n">
        <v>1</v>
      </c>
      <c r="I1584" s="33" t="n">
        <v>1</v>
      </c>
      <c r="J1584" s="33" t="n">
        <v>1</v>
      </c>
      <c r="K1584" s="32" t="n">
        <v>75</v>
      </c>
      <c r="L1584" s="33" t="str">
        <f aca="false">IF($B1584="","",IFERROR(INDEX('Code Mapping'!$D$5:$D$1753,MATCH($B1584,'Code Mapping'!$A$5:$A$1753,0)),"Unmapped"))</f>
        <v>Unmapped</v>
      </c>
      <c r="M1584" s="33" t="str">
        <f aca="false">IF($B1584="","",IFERROR(INDEX('Code Mapping'!$E$5:$E$1753,MATCH($B1584,'Code Mapping'!$A$5:$A$1753,0)),"Unmapped"))</f>
        <v>Unmapped</v>
      </c>
      <c r="N1584" s="33" t="str">
        <f aca="false">IF($F1584="","",$F1584)</f>
        <v>InflataCity</v>
      </c>
    </row>
    <row r="1585" customFormat="false" ht="15" hidden="false" customHeight="false" outlineLevel="0" collapsed="false">
      <c r="A1585" s="33" t="n">
        <v>1878</v>
      </c>
      <c r="B1585" s="33" t="s">
        <v>682</v>
      </c>
      <c r="C1585" s="33" t="s">
        <v>511</v>
      </c>
      <c r="D1585" s="33"/>
      <c r="E1585" s="33" t="n">
        <v>55</v>
      </c>
      <c r="F1585" s="33" t="s">
        <v>2160</v>
      </c>
      <c r="G1585" s="33" t="s">
        <v>505</v>
      </c>
      <c r="H1585" s="33" t="n">
        <v>1</v>
      </c>
      <c r="I1585" s="33" t="n">
        <v>1</v>
      </c>
      <c r="J1585" s="33" t="n">
        <v>1</v>
      </c>
      <c r="K1585" s="32" t="n">
        <v>75</v>
      </c>
      <c r="L1585" s="33" t="str">
        <f aca="false">IF($B1585="","",IFERROR(INDEX('Code Mapping'!$D$5:$D$1753,MATCH($B1585,'Code Mapping'!$A$5:$A$1753,0)),"Unmapped"))</f>
        <v>Unmapped</v>
      </c>
      <c r="M1585" s="33" t="str">
        <f aca="false">IF($B1585="","",IFERROR(INDEX('Code Mapping'!$E$5:$E$1753,MATCH($B1585,'Code Mapping'!$A$5:$A$1753,0)),"Unmapped"))</f>
        <v>Unmapped</v>
      </c>
      <c r="N1585" s="33" t="str">
        <f aca="false">IF($F1585="","",$F1585)</f>
        <v>InflataCity</v>
      </c>
    </row>
    <row r="1586" customFormat="false" ht="15" hidden="false" customHeight="false" outlineLevel="0" collapsed="false">
      <c r="A1586" s="33" t="n">
        <v>1756</v>
      </c>
      <c r="B1586" s="33" t="s">
        <v>680</v>
      </c>
      <c r="C1586" s="33" t="s">
        <v>511</v>
      </c>
      <c r="D1586" s="33"/>
      <c r="E1586" s="33" t="n">
        <v>55</v>
      </c>
      <c r="F1586" s="33" t="s">
        <v>2160</v>
      </c>
      <c r="G1586" s="33" t="s">
        <v>505</v>
      </c>
      <c r="H1586" s="33" t="n">
        <v>1</v>
      </c>
      <c r="I1586" s="33" t="n">
        <v>1</v>
      </c>
      <c r="J1586" s="33" t="n">
        <v>1</v>
      </c>
      <c r="K1586" s="32" t="n">
        <v>75</v>
      </c>
      <c r="L1586" s="33" t="str">
        <f aca="false">IF($B1586="","",IFERROR(INDEX('Code Mapping'!$D$5:$D$1753,MATCH($B1586,'Code Mapping'!$A$5:$A$1753,0)),"Unmapped"))</f>
        <v>Unmapped</v>
      </c>
      <c r="M1586" s="33" t="str">
        <f aca="false">IF($B1586="","",IFERROR(INDEX('Code Mapping'!$E$5:$E$1753,MATCH($B1586,'Code Mapping'!$A$5:$A$1753,0)),"Unmapped"))</f>
        <v>Unmapped</v>
      </c>
      <c r="N1586" s="33" t="str">
        <f aca="false">IF($F1586="","",$F1586)</f>
        <v>InflataCity</v>
      </c>
    </row>
    <row r="1587" customFormat="false" ht="15" hidden="false" customHeight="false" outlineLevel="0" collapsed="false">
      <c r="A1587" s="33" t="n">
        <v>1960</v>
      </c>
      <c r="B1587" s="33" t="s">
        <v>679</v>
      </c>
      <c r="C1587" s="33" t="s">
        <v>511</v>
      </c>
      <c r="D1587" s="33"/>
      <c r="E1587" s="33" t="n">
        <v>55</v>
      </c>
      <c r="F1587" s="33" t="s">
        <v>2160</v>
      </c>
      <c r="G1587" s="33" t="s">
        <v>505</v>
      </c>
      <c r="H1587" s="33" t="n">
        <v>1</v>
      </c>
      <c r="I1587" s="33" t="n">
        <v>1</v>
      </c>
      <c r="J1587" s="33" t="n">
        <v>1</v>
      </c>
      <c r="K1587" s="32" t="n">
        <v>75</v>
      </c>
      <c r="L1587" s="33" t="str">
        <f aca="false">IF($B1587="","",IFERROR(INDEX('Code Mapping'!$D$5:$D$1753,MATCH($B1587,'Code Mapping'!$A$5:$A$1753,0)),"Unmapped"))</f>
        <v>Unmapped</v>
      </c>
      <c r="M1587" s="33" t="str">
        <f aca="false">IF($B1587="","",IFERROR(INDEX('Code Mapping'!$E$5:$E$1753,MATCH($B1587,'Code Mapping'!$A$5:$A$1753,0)),"Unmapped"))</f>
        <v>Unmapped</v>
      </c>
      <c r="N1587" s="33" t="str">
        <f aca="false">IF($F1587="","",$F1587)</f>
        <v>InflataCity</v>
      </c>
    </row>
    <row r="1588" customFormat="false" ht="15" hidden="false" customHeight="false" outlineLevel="0" collapsed="false">
      <c r="A1588" s="33" t="n">
        <v>1906</v>
      </c>
      <c r="B1588" s="33" t="s">
        <v>677</v>
      </c>
      <c r="C1588" s="33" t="s">
        <v>511</v>
      </c>
      <c r="D1588" s="33"/>
      <c r="E1588" s="33" t="n">
        <v>55</v>
      </c>
      <c r="F1588" s="33" t="s">
        <v>2160</v>
      </c>
      <c r="G1588" s="33" t="s">
        <v>505</v>
      </c>
      <c r="H1588" s="33" t="n">
        <v>1</v>
      </c>
      <c r="I1588" s="33" t="n">
        <v>1</v>
      </c>
      <c r="J1588" s="33" t="n">
        <v>1</v>
      </c>
      <c r="K1588" s="32" t="n">
        <v>75</v>
      </c>
      <c r="L1588" s="33" t="str">
        <f aca="false">IF($B1588="","",IFERROR(INDEX('Code Mapping'!$D$5:$D$1753,MATCH($B1588,'Code Mapping'!$A$5:$A$1753,0)),"Unmapped"))</f>
        <v>Unmapped</v>
      </c>
      <c r="M1588" s="33" t="str">
        <f aca="false">IF($B1588="","",IFERROR(INDEX('Code Mapping'!$E$5:$E$1753,MATCH($B1588,'Code Mapping'!$A$5:$A$1753,0)),"Unmapped"))</f>
        <v>Unmapped</v>
      </c>
      <c r="N1588" s="33" t="str">
        <f aca="false">IF($F1588="","",$F1588)</f>
        <v>InflataCity</v>
      </c>
    </row>
    <row r="1589" customFormat="false" ht="15" hidden="false" customHeight="false" outlineLevel="0" collapsed="false">
      <c r="A1589" s="33" t="n">
        <v>2025</v>
      </c>
      <c r="B1589" s="33" t="s">
        <v>676</v>
      </c>
      <c r="C1589" s="33" t="s">
        <v>511</v>
      </c>
      <c r="D1589" s="33"/>
      <c r="E1589" s="33" t="n">
        <v>55</v>
      </c>
      <c r="F1589" s="33" t="s">
        <v>2160</v>
      </c>
      <c r="G1589" s="33" t="s">
        <v>505</v>
      </c>
      <c r="H1589" s="33" t="n">
        <v>1</v>
      </c>
      <c r="I1589" s="33" t="n">
        <v>1</v>
      </c>
      <c r="J1589" s="33" t="n">
        <v>1</v>
      </c>
      <c r="K1589" s="32" t="n">
        <v>75</v>
      </c>
      <c r="L1589" s="33" t="str">
        <f aca="false">IF($B1589="","",IFERROR(INDEX('Code Mapping'!$D$5:$D$1753,MATCH($B1589,'Code Mapping'!$A$5:$A$1753,0)),"Unmapped"))</f>
        <v>Unmapped</v>
      </c>
      <c r="M1589" s="33" t="str">
        <f aca="false">IF($B1589="","",IFERROR(INDEX('Code Mapping'!$E$5:$E$1753,MATCH($B1589,'Code Mapping'!$A$5:$A$1753,0)),"Unmapped"))</f>
        <v>Unmapped</v>
      </c>
      <c r="N1589" s="33" t="str">
        <f aca="false">IF($F1589="","",$F1589)</f>
        <v>InflataCity</v>
      </c>
    </row>
    <row r="1590" customFormat="false" ht="15" hidden="false" customHeight="false" outlineLevel="0" collapsed="false">
      <c r="A1590" s="33" t="n">
        <v>1994</v>
      </c>
      <c r="B1590" s="33" t="s">
        <v>675</v>
      </c>
      <c r="C1590" s="33" t="s">
        <v>511</v>
      </c>
      <c r="D1590" s="33"/>
      <c r="E1590" s="33" t="n">
        <v>55</v>
      </c>
      <c r="F1590" s="33" t="s">
        <v>2160</v>
      </c>
      <c r="G1590" s="33" t="s">
        <v>505</v>
      </c>
      <c r="H1590" s="33" t="n">
        <v>1</v>
      </c>
      <c r="I1590" s="33" t="n">
        <v>1</v>
      </c>
      <c r="J1590" s="33" t="n">
        <v>1</v>
      </c>
      <c r="K1590" s="32" t="n">
        <v>75</v>
      </c>
      <c r="L1590" s="33" t="str">
        <f aca="false">IF($B1590="","",IFERROR(INDEX('Code Mapping'!$D$5:$D$1753,MATCH($B1590,'Code Mapping'!$A$5:$A$1753,0)),"Unmapped"))</f>
        <v>Unmapped</v>
      </c>
      <c r="M1590" s="33" t="str">
        <f aca="false">IF($B1590="","",IFERROR(INDEX('Code Mapping'!$E$5:$E$1753,MATCH($B1590,'Code Mapping'!$A$5:$A$1753,0)),"Unmapped"))</f>
        <v>Unmapped</v>
      </c>
      <c r="N1590" s="33" t="str">
        <f aca="false">IF($F1590="","",$F1590)</f>
        <v>InflataCity</v>
      </c>
    </row>
    <row r="1591" customFormat="false" ht="15" hidden="false" customHeight="false" outlineLevel="0" collapsed="false">
      <c r="A1591" s="33" t="n">
        <v>1980</v>
      </c>
      <c r="B1591" s="33" t="s">
        <v>674</v>
      </c>
      <c r="C1591" s="33" t="s">
        <v>511</v>
      </c>
      <c r="D1591" s="33"/>
      <c r="E1591" s="33" t="n">
        <v>55</v>
      </c>
      <c r="F1591" s="33" t="s">
        <v>2160</v>
      </c>
      <c r="G1591" s="33" t="s">
        <v>505</v>
      </c>
      <c r="H1591" s="33" t="n">
        <v>1</v>
      </c>
      <c r="I1591" s="33" t="n">
        <v>1</v>
      </c>
      <c r="J1591" s="33" t="n">
        <v>1</v>
      </c>
      <c r="K1591" s="32" t="n">
        <v>75</v>
      </c>
      <c r="L1591" s="33" t="str">
        <f aca="false">IF($B1591="","",IFERROR(INDEX('Code Mapping'!$D$5:$D$1753,MATCH($B1591,'Code Mapping'!$A$5:$A$1753,0)),"Unmapped"))</f>
        <v>Unmapped</v>
      </c>
      <c r="M1591" s="33" t="str">
        <f aca="false">IF($B1591="","",IFERROR(INDEX('Code Mapping'!$E$5:$E$1753,MATCH($B1591,'Code Mapping'!$A$5:$A$1753,0)),"Unmapped"))</f>
        <v>Unmapped</v>
      </c>
      <c r="N1591" s="33" t="str">
        <f aca="false">IF($F1591="","",$F1591)</f>
        <v>InflataCity</v>
      </c>
    </row>
    <row r="1592" customFormat="false" ht="15" hidden="false" customHeight="false" outlineLevel="0" collapsed="false">
      <c r="A1592" s="33" t="n">
        <v>1974</v>
      </c>
      <c r="B1592" s="33" t="s">
        <v>671</v>
      </c>
      <c r="C1592" s="33" t="s">
        <v>511</v>
      </c>
      <c r="D1592" s="33"/>
      <c r="E1592" s="33" t="n">
        <v>55</v>
      </c>
      <c r="F1592" s="33" t="s">
        <v>2160</v>
      </c>
      <c r="G1592" s="33" t="s">
        <v>505</v>
      </c>
      <c r="H1592" s="33" t="n">
        <v>1</v>
      </c>
      <c r="I1592" s="33" t="n">
        <v>1</v>
      </c>
      <c r="J1592" s="33" t="n">
        <v>1</v>
      </c>
      <c r="K1592" s="32" t="n">
        <v>75</v>
      </c>
      <c r="L1592" s="33" t="str">
        <f aca="false">IF($B1592="","",IFERROR(INDEX('Code Mapping'!$D$5:$D$1753,MATCH($B1592,'Code Mapping'!$A$5:$A$1753,0)),"Unmapped"))</f>
        <v>Unmapped</v>
      </c>
      <c r="M1592" s="33" t="str">
        <f aca="false">IF($B1592="","",IFERROR(INDEX('Code Mapping'!$E$5:$E$1753,MATCH($B1592,'Code Mapping'!$A$5:$A$1753,0)),"Unmapped"))</f>
        <v>Unmapped</v>
      </c>
      <c r="N1592" s="33" t="str">
        <f aca="false">IF($F1592="","",$F1592)</f>
        <v>InflataCity</v>
      </c>
    </row>
    <row r="1593" customFormat="false" ht="15" hidden="false" customHeight="false" outlineLevel="0" collapsed="false">
      <c r="A1593" s="33" t="n">
        <v>1521</v>
      </c>
      <c r="B1593" s="33" t="s">
        <v>669</v>
      </c>
      <c r="C1593" s="33" t="s">
        <v>513</v>
      </c>
      <c r="D1593" s="33"/>
      <c r="E1593" s="33" t="n">
        <v>55</v>
      </c>
      <c r="F1593" s="33" t="s">
        <v>2160</v>
      </c>
      <c r="G1593" s="33" t="s">
        <v>505</v>
      </c>
      <c r="H1593" s="33" t="n">
        <v>1</v>
      </c>
      <c r="I1593" s="33" t="n">
        <v>1</v>
      </c>
      <c r="J1593" s="33" t="n">
        <v>1</v>
      </c>
      <c r="K1593" s="32" t="n">
        <v>300</v>
      </c>
      <c r="L1593" s="33" t="str">
        <f aca="false">IF($B1593="","",IFERROR(INDEX('Code Mapping'!$D$5:$D$1753,MATCH($B1593,'Code Mapping'!$A$5:$A$1753,0)),"Unmapped"))</f>
        <v>Unmapped</v>
      </c>
      <c r="M1593" s="33" t="str">
        <f aca="false">IF($B1593="","",IFERROR(INDEX('Code Mapping'!$E$5:$E$1753,MATCH($B1593,'Code Mapping'!$A$5:$A$1753,0)),"Unmapped"))</f>
        <v>Unmapped</v>
      </c>
      <c r="N1593" s="33" t="str">
        <f aca="false">IF($F1593="","",$F1593)</f>
        <v>InflataCity</v>
      </c>
    </row>
    <row r="1594" customFormat="false" ht="15" hidden="false" customHeight="false" outlineLevel="0" collapsed="false">
      <c r="A1594" s="33" t="n">
        <v>1973</v>
      </c>
      <c r="B1594" s="33" t="s">
        <v>685</v>
      </c>
      <c r="C1594" s="33" t="s">
        <v>511</v>
      </c>
      <c r="D1594" s="33"/>
      <c r="E1594" s="33" t="n">
        <v>55</v>
      </c>
      <c r="F1594" s="33" t="s">
        <v>2160</v>
      </c>
      <c r="G1594" s="33" t="s">
        <v>505</v>
      </c>
      <c r="H1594" s="33" t="n">
        <v>1</v>
      </c>
      <c r="I1594" s="33" t="n">
        <v>1</v>
      </c>
      <c r="J1594" s="33" t="n">
        <v>1</v>
      </c>
      <c r="K1594" s="32" t="n">
        <v>75</v>
      </c>
      <c r="L1594" s="33" t="str">
        <f aca="false">IF($B1594="","",IFERROR(INDEX('Code Mapping'!$D$5:$D$1753,MATCH($B1594,'Code Mapping'!$A$5:$A$1753,0)),"Unmapped"))</f>
        <v>Unmapped</v>
      </c>
      <c r="M1594" s="33" t="str">
        <f aca="false">IF($B1594="","",IFERROR(INDEX('Code Mapping'!$E$5:$E$1753,MATCH($B1594,'Code Mapping'!$A$5:$A$1753,0)),"Unmapped"))</f>
        <v>Unmapped</v>
      </c>
      <c r="N1594" s="33" t="str">
        <f aca="false">IF($F1594="","",$F1594)</f>
        <v>InflataCity</v>
      </c>
    </row>
    <row r="1595" customFormat="false" ht="15" hidden="false" customHeight="false" outlineLevel="0" collapsed="false">
      <c r="A1595" s="33" t="n">
        <v>1889</v>
      </c>
      <c r="B1595" s="33" t="s">
        <v>667</v>
      </c>
      <c r="C1595" s="33" t="s">
        <v>511</v>
      </c>
      <c r="D1595" s="33"/>
      <c r="E1595" s="33" t="n">
        <v>55</v>
      </c>
      <c r="F1595" s="33" t="s">
        <v>2160</v>
      </c>
      <c r="G1595" s="33" t="s">
        <v>505</v>
      </c>
      <c r="H1595" s="33" t="n">
        <v>1</v>
      </c>
      <c r="I1595" s="33" t="n">
        <v>1</v>
      </c>
      <c r="J1595" s="33" t="n">
        <v>1</v>
      </c>
      <c r="K1595" s="32" t="n">
        <v>75</v>
      </c>
      <c r="L1595" s="33" t="str">
        <f aca="false">IF($B1595="","",IFERROR(INDEX('Code Mapping'!$D$5:$D$1753,MATCH($B1595,'Code Mapping'!$A$5:$A$1753,0)),"Unmapped"))</f>
        <v>Unmapped</v>
      </c>
      <c r="M1595" s="33" t="str">
        <f aca="false">IF($B1595="","",IFERROR(INDEX('Code Mapping'!$E$5:$E$1753,MATCH($B1595,'Code Mapping'!$A$5:$A$1753,0)),"Unmapped"))</f>
        <v>Unmapped</v>
      </c>
      <c r="N1595" s="33" t="str">
        <f aca="false">IF($F1595="","",$F1595)</f>
        <v>InflataCity</v>
      </c>
    </row>
    <row r="1596" customFormat="false" ht="15" hidden="false" customHeight="false" outlineLevel="0" collapsed="false">
      <c r="A1596" s="33" t="n">
        <v>2007</v>
      </c>
      <c r="B1596" s="33" t="s">
        <v>665</v>
      </c>
      <c r="C1596" s="33" t="s">
        <v>511</v>
      </c>
      <c r="D1596" s="33"/>
      <c r="E1596" s="33" t="n">
        <v>55</v>
      </c>
      <c r="F1596" s="33" t="s">
        <v>2160</v>
      </c>
      <c r="G1596" s="33" t="s">
        <v>505</v>
      </c>
      <c r="H1596" s="33" t="n">
        <v>1</v>
      </c>
      <c r="I1596" s="33" t="n">
        <v>1</v>
      </c>
      <c r="J1596" s="33" t="n">
        <v>1</v>
      </c>
      <c r="K1596" s="32" t="n">
        <v>75</v>
      </c>
      <c r="L1596" s="33" t="str">
        <f aca="false">IF($B1596="","",IFERROR(INDEX('Code Mapping'!$D$5:$D$1753,MATCH($B1596,'Code Mapping'!$A$5:$A$1753,0)),"Unmapped"))</f>
        <v>Unmapped</v>
      </c>
      <c r="M1596" s="33" t="str">
        <f aca="false">IF($B1596="","",IFERROR(INDEX('Code Mapping'!$E$5:$E$1753,MATCH($B1596,'Code Mapping'!$A$5:$A$1753,0)),"Unmapped"))</f>
        <v>Unmapped</v>
      </c>
      <c r="N1596" s="33" t="str">
        <f aca="false">IF($F1596="","",$F1596)</f>
        <v>InflataCity</v>
      </c>
    </row>
    <row r="1597" customFormat="false" ht="15" hidden="false" customHeight="false" outlineLevel="0" collapsed="false">
      <c r="A1597" s="33" t="n">
        <v>1761</v>
      </c>
      <c r="B1597" s="33" t="s">
        <v>663</v>
      </c>
      <c r="C1597" s="33" t="s">
        <v>511</v>
      </c>
      <c r="D1597" s="33"/>
      <c r="E1597" s="33" t="n">
        <v>55</v>
      </c>
      <c r="F1597" s="33" t="s">
        <v>2160</v>
      </c>
      <c r="G1597" s="33" t="s">
        <v>505</v>
      </c>
      <c r="H1597" s="33" t="n">
        <v>1</v>
      </c>
      <c r="I1597" s="33" t="n">
        <v>1</v>
      </c>
      <c r="J1597" s="33" t="n">
        <v>1</v>
      </c>
      <c r="K1597" s="32" t="n">
        <v>75</v>
      </c>
      <c r="L1597" s="33" t="str">
        <f aca="false">IF($B1597="","",IFERROR(INDEX('Code Mapping'!$D$5:$D$1753,MATCH($B1597,'Code Mapping'!$A$5:$A$1753,0)),"Unmapped"))</f>
        <v>Unmapped</v>
      </c>
      <c r="M1597" s="33" t="str">
        <f aca="false">IF($B1597="","",IFERROR(INDEX('Code Mapping'!$E$5:$E$1753,MATCH($B1597,'Code Mapping'!$A$5:$A$1753,0)),"Unmapped"))</f>
        <v>Unmapped</v>
      </c>
      <c r="N1597" s="33" t="str">
        <f aca="false">IF($F1597="","",$F1597)</f>
        <v>InflataCity</v>
      </c>
    </row>
    <row r="1598" customFormat="false" ht="15" hidden="false" customHeight="false" outlineLevel="0" collapsed="false">
      <c r="A1598" s="33" t="n">
        <v>1991</v>
      </c>
      <c r="B1598" s="33" t="s">
        <v>662</v>
      </c>
      <c r="C1598" s="33" t="s">
        <v>511</v>
      </c>
      <c r="D1598" s="33"/>
      <c r="E1598" s="33" t="n">
        <v>55</v>
      </c>
      <c r="F1598" s="33" t="s">
        <v>2160</v>
      </c>
      <c r="G1598" s="33" t="s">
        <v>505</v>
      </c>
      <c r="H1598" s="33" t="n">
        <v>1</v>
      </c>
      <c r="I1598" s="33" t="n">
        <v>1</v>
      </c>
      <c r="J1598" s="33" t="n">
        <v>1</v>
      </c>
      <c r="K1598" s="32" t="n">
        <v>75</v>
      </c>
      <c r="L1598" s="33" t="str">
        <f aca="false">IF($B1598="","",IFERROR(INDEX('Code Mapping'!$D$5:$D$1753,MATCH($B1598,'Code Mapping'!$A$5:$A$1753,0)),"Unmapped"))</f>
        <v>Unmapped</v>
      </c>
      <c r="M1598" s="33" t="str">
        <f aca="false">IF($B1598="","",IFERROR(INDEX('Code Mapping'!$E$5:$E$1753,MATCH($B1598,'Code Mapping'!$A$5:$A$1753,0)),"Unmapped"))</f>
        <v>Unmapped</v>
      </c>
      <c r="N1598" s="33" t="str">
        <f aca="false">IF($F1598="","",$F1598)</f>
        <v>InflataCity</v>
      </c>
    </row>
    <row r="1599" customFormat="false" ht="15" hidden="false" customHeight="false" outlineLevel="0" collapsed="false">
      <c r="A1599" s="33" t="n">
        <v>1926</v>
      </c>
      <c r="B1599" s="33" t="s">
        <v>659</v>
      </c>
      <c r="C1599" s="33" t="s">
        <v>511</v>
      </c>
      <c r="D1599" s="33"/>
      <c r="E1599" s="33" t="n">
        <v>55</v>
      </c>
      <c r="F1599" s="33" t="s">
        <v>2160</v>
      </c>
      <c r="G1599" s="33" t="s">
        <v>505</v>
      </c>
      <c r="H1599" s="33" t="n">
        <v>1</v>
      </c>
      <c r="I1599" s="33" t="n">
        <v>1</v>
      </c>
      <c r="J1599" s="33" t="n">
        <v>1</v>
      </c>
      <c r="K1599" s="32" t="n">
        <v>75</v>
      </c>
      <c r="L1599" s="33" t="str">
        <f aca="false">IF($B1599="","",IFERROR(INDEX('Code Mapping'!$D$5:$D$1753,MATCH($B1599,'Code Mapping'!$A$5:$A$1753,0)),"Unmapped"))</f>
        <v>Unmapped</v>
      </c>
      <c r="M1599" s="33" t="str">
        <f aca="false">IF($B1599="","",IFERROR(INDEX('Code Mapping'!$E$5:$E$1753,MATCH($B1599,'Code Mapping'!$A$5:$A$1753,0)),"Unmapped"))</f>
        <v>Unmapped</v>
      </c>
      <c r="N1599" s="33" t="str">
        <f aca="false">IF($F1599="","",$F1599)</f>
        <v>InflataCity</v>
      </c>
    </row>
    <row r="1600" customFormat="false" ht="15" hidden="false" customHeight="false" outlineLevel="0" collapsed="false">
      <c r="A1600" s="33" t="n">
        <v>2031</v>
      </c>
      <c r="B1600" s="33" t="s">
        <v>658</v>
      </c>
      <c r="C1600" s="33" t="s">
        <v>511</v>
      </c>
      <c r="D1600" s="33"/>
      <c r="E1600" s="33" t="n">
        <v>55</v>
      </c>
      <c r="F1600" s="33" t="s">
        <v>2160</v>
      </c>
      <c r="G1600" s="33" t="s">
        <v>505</v>
      </c>
      <c r="H1600" s="33" t="n">
        <v>1</v>
      </c>
      <c r="I1600" s="33" t="n">
        <v>1</v>
      </c>
      <c r="J1600" s="33" t="n">
        <v>1</v>
      </c>
      <c r="K1600" s="32" t="n">
        <v>75</v>
      </c>
      <c r="L1600" s="33" t="str">
        <f aca="false">IF($B1600="","",IFERROR(INDEX('Code Mapping'!$D$5:$D$1753,MATCH($B1600,'Code Mapping'!$A$5:$A$1753,0)),"Unmapped"))</f>
        <v>Unmapped</v>
      </c>
      <c r="M1600" s="33" t="str">
        <f aca="false">IF($B1600="","",IFERROR(INDEX('Code Mapping'!$E$5:$E$1753,MATCH($B1600,'Code Mapping'!$A$5:$A$1753,0)),"Unmapped"))</f>
        <v>Unmapped</v>
      </c>
      <c r="N1600" s="33" t="str">
        <f aca="false">IF($F1600="","",$F1600)</f>
        <v>InflataCity</v>
      </c>
    </row>
    <row r="1601" customFormat="false" ht="15" hidden="false" customHeight="false" outlineLevel="0" collapsed="false">
      <c r="A1601" s="33" t="n">
        <v>1589</v>
      </c>
      <c r="B1601" s="33" t="s">
        <v>657</v>
      </c>
      <c r="C1601" s="33" t="s">
        <v>513</v>
      </c>
      <c r="D1601" s="33"/>
      <c r="E1601" s="33" t="n">
        <v>55</v>
      </c>
      <c r="F1601" s="33" t="s">
        <v>2160</v>
      </c>
      <c r="G1601" s="33" t="s">
        <v>505</v>
      </c>
      <c r="H1601" s="33" t="n">
        <v>1</v>
      </c>
      <c r="I1601" s="33" t="n">
        <v>1</v>
      </c>
      <c r="J1601" s="33" t="n">
        <v>1</v>
      </c>
      <c r="K1601" s="32" t="n">
        <v>300</v>
      </c>
      <c r="L1601" s="33" t="str">
        <f aca="false">IF($B1601="","",IFERROR(INDEX('Code Mapping'!$D$5:$D$1753,MATCH($B1601,'Code Mapping'!$A$5:$A$1753,0)),"Unmapped"))</f>
        <v>Unmapped</v>
      </c>
      <c r="M1601" s="33" t="str">
        <f aca="false">IF($B1601="","",IFERROR(INDEX('Code Mapping'!$E$5:$E$1753,MATCH($B1601,'Code Mapping'!$A$5:$A$1753,0)),"Unmapped"))</f>
        <v>Unmapped</v>
      </c>
      <c r="N1601" s="33" t="str">
        <f aca="false">IF($F1601="","",$F1601)</f>
        <v>InflataCity</v>
      </c>
    </row>
    <row r="1602" customFormat="false" ht="15" hidden="false" customHeight="false" outlineLevel="0" collapsed="false">
      <c r="A1602" s="33" t="n">
        <v>2021</v>
      </c>
      <c r="B1602" s="33" t="s">
        <v>656</v>
      </c>
      <c r="C1602" s="33" t="s">
        <v>511</v>
      </c>
      <c r="D1602" s="33"/>
      <c r="E1602" s="33" t="n">
        <v>55</v>
      </c>
      <c r="F1602" s="33" t="s">
        <v>2160</v>
      </c>
      <c r="G1602" s="33" t="s">
        <v>505</v>
      </c>
      <c r="H1602" s="33" t="n">
        <v>1</v>
      </c>
      <c r="I1602" s="33" t="n">
        <v>1</v>
      </c>
      <c r="J1602" s="33" t="n">
        <v>1</v>
      </c>
      <c r="K1602" s="32" t="n">
        <v>75</v>
      </c>
      <c r="L1602" s="33" t="str">
        <f aca="false">IF($B1602="","",IFERROR(INDEX('Code Mapping'!$D$5:$D$1753,MATCH($B1602,'Code Mapping'!$A$5:$A$1753,0)),"Unmapped"))</f>
        <v>Unmapped</v>
      </c>
      <c r="M1602" s="33" t="str">
        <f aca="false">IF($B1602="","",IFERROR(INDEX('Code Mapping'!$E$5:$E$1753,MATCH($B1602,'Code Mapping'!$A$5:$A$1753,0)),"Unmapped"))</f>
        <v>Unmapped</v>
      </c>
      <c r="N1602" s="33" t="str">
        <f aca="false">IF($F1602="","",$F1602)</f>
        <v>InflataCity</v>
      </c>
    </row>
    <row r="1603" customFormat="false" ht="15" hidden="false" customHeight="false" outlineLevel="0" collapsed="false">
      <c r="A1603" s="33" t="n">
        <v>1839</v>
      </c>
      <c r="B1603" s="33" t="s">
        <v>683</v>
      </c>
      <c r="C1603" s="33" t="s">
        <v>511</v>
      </c>
      <c r="D1603" s="33"/>
      <c r="E1603" s="33" t="n">
        <v>55</v>
      </c>
      <c r="F1603" s="33" t="s">
        <v>2160</v>
      </c>
      <c r="G1603" s="33" t="s">
        <v>505</v>
      </c>
      <c r="H1603" s="33" t="n">
        <v>1</v>
      </c>
      <c r="I1603" s="33" t="n">
        <v>1</v>
      </c>
      <c r="J1603" s="33" t="n">
        <v>1</v>
      </c>
      <c r="K1603" s="32" t="n">
        <v>75</v>
      </c>
      <c r="L1603" s="33" t="str">
        <f aca="false">IF($B1603="","",IFERROR(INDEX('Code Mapping'!$D$5:$D$1753,MATCH($B1603,'Code Mapping'!$A$5:$A$1753,0)),"Unmapped"))</f>
        <v>Unmapped</v>
      </c>
      <c r="M1603" s="33" t="str">
        <f aca="false">IF($B1603="","",IFERROR(INDEX('Code Mapping'!$E$5:$E$1753,MATCH($B1603,'Code Mapping'!$A$5:$A$1753,0)),"Unmapped"))</f>
        <v>Unmapped</v>
      </c>
      <c r="N1603" s="33" t="str">
        <f aca="false">IF($F1603="","",$F1603)</f>
        <v>InflataCity</v>
      </c>
    </row>
    <row r="1604" customFormat="false" ht="15" hidden="false" customHeight="false" outlineLevel="0" collapsed="false">
      <c r="A1604" s="33" t="n">
        <v>1490</v>
      </c>
      <c r="B1604" s="33" t="s">
        <v>673</v>
      </c>
      <c r="C1604" s="33" t="s">
        <v>513</v>
      </c>
      <c r="D1604" s="33"/>
      <c r="E1604" s="33" t="n">
        <v>55</v>
      </c>
      <c r="F1604" s="33" t="s">
        <v>2160</v>
      </c>
      <c r="G1604" s="33" t="s">
        <v>505</v>
      </c>
      <c r="H1604" s="33" t="n">
        <v>1</v>
      </c>
      <c r="I1604" s="33" t="n">
        <v>1</v>
      </c>
      <c r="J1604" s="33" t="n">
        <v>1</v>
      </c>
      <c r="K1604" s="32" t="n">
        <v>300</v>
      </c>
      <c r="L1604" s="33" t="str">
        <f aca="false">IF($B1604="","",IFERROR(INDEX('Code Mapping'!$D$5:$D$1753,MATCH($B1604,'Code Mapping'!$A$5:$A$1753,0)),"Unmapped"))</f>
        <v>Unmapped</v>
      </c>
      <c r="M1604" s="33" t="str">
        <f aca="false">IF($B1604="","",IFERROR(INDEX('Code Mapping'!$E$5:$E$1753,MATCH($B1604,'Code Mapping'!$A$5:$A$1753,0)),"Unmapped"))</f>
        <v>Unmapped</v>
      </c>
      <c r="N1604" s="33" t="str">
        <f aca="false">IF($F1604="","",$F1604)</f>
        <v>InflataCity</v>
      </c>
    </row>
    <row r="1605" customFormat="false" ht="15" hidden="false" customHeight="false" outlineLevel="0" collapsed="false">
      <c r="A1605" s="33" t="n">
        <v>1745</v>
      </c>
      <c r="B1605" s="33" t="s">
        <v>686</v>
      </c>
      <c r="C1605" s="33" t="s">
        <v>511</v>
      </c>
      <c r="D1605" s="33"/>
      <c r="E1605" s="33" t="n">
        <v>55</v>
      </c>
      <c r="F1605" s="33" t="s">
        <v>2160</v>
      </c>
      <c r="G1605" s="33" t="s">
        <v>505</v>
      </c>
      <c r="H1605" s="33" t="n">
        <v>1</v>
      </c>
      <c r="I1605" s="33" t="n">
        <v>1</v>
      </c>
      <c r="J1605" s="33" t="n">
        <v>1</v>
      </c>
      <c r="K1605" s="32" t="n">
        <v>75</v>
      </c>
      <c r="L1605" s="33" t="str">
        <f aca="false">IF($B1605="","",IFERROR(INDEX('Code Mapping'!$D$5:$D$1753,MATCH($B1605,'Code Mapping'!$A$5:$A$1753,0)),"Unmapped"))</f>
        <v>Unmapped</v>
      </c>
      <c r="M1605" s="33" t="str">
        <f aca="false">IF($B1605="","",IFERROR(INDEX('Code Mapping'!$E$5:$E$1753,MATCH($B1605,'Code Mapping'!$A$5:$A$1753,0)),"Unmapped"))</f>
        <v>Unmapped</v>
      </c>
      <c r="N1605" s="33" t="str">
        <f aca="false">IF($F1605="","",$F1605)</f>
        <v>InflataCity</v>
      </c>
    </row>
    <row r="1606" customFormat="false" ht="15" hidden="false" customHeight="false" outlineLevel="0" collapsed="false">
      <c r="A1606" s="33" t="n">
        <v>1976</v>
      </c>
      <c r="B1606" s="33" t="s">
        <v>704</v>
      </c>
      <c r="C1606" s="33" t="s">
        <v>511</v>
      </c>
      <c r="D1606" s="33"/>
      <c r="E1606" s="33" t="n">
        <v>55</v>
      </c>
      <c r="F1606" s="33" t="s">
        <v>2160</v>
      </c>
      <c r="G1606" s="33" t="s">
        <v>505</v>
      </c>
      <c r="H1606" s="33" t="n">
        <v>1</v>
      </c>
      <c r="I1606" s="33" t="n">
        <v>1</v>
      </c>
      <c r="J1606" s="33" t="n">
        <v>1</v>
      </c>
      <c r="K1606" s="32" t="n">
        <v>75</v>
      </c>
      <c r="L1606" s="33" t="str">
        <f aca="false">IF($B1606="","",IFERROR(INDEX('Code Mapping'!$D$5:$D$1753,MATCH($B1606,'Code Mapping'!$A$5:$A$1753,0)),"Unmapped"))</f>
        <v>Unmapped</v>
      </c>
      <c r="M1606" s="33" t="str">
        <f aca="false">IF($B1606="","",IFERROR(INDEX('Code Mapping'!$E$5:$E$1753,MATCH($B1606,'Code Mapping'!$A$5:$A$1753,0)),"Unmapped"))</f>
        <v>Unmapped</v>
      </c>
      <c r="N1606" s="33" t="str">
        <f aca="false">IF($F1606="","",$F1606)</f>
        <v>InflataCity</v>
      </c>
    </row>
    <row r="1607" customFormat="false" ht="15" hidden="false" customHeight="false" outlineLevel="0" collapsed="false">
      <c r="A1607" s="33" t="n">
        <v>1536</v>
      </c>
      <c r="B1607" s="33" t="s">
        <v>723</v>
      </c>
      <c r="C1607" s="33" t="s">
        <v>513</v>
      </c>
      <c r="D1607" s="33"/>
      <c r="E1607" s="33" t="n">
        <v>55</v>
      </c>
      <c r="F1607" s="33" t="s">
        <v>2160</v>
      </c>
      <c r="G1607" s="33" t="s">
        <v>505</v>
      </c>
      <c r="H1607" s="33" t="n">
        <v>1</v>
      </c>
      <c r="I1607" s="33" t="n">
        <v>1</v>
      </c>
      <c r="J1607" s="33" t="n">
        <v>1</v>
      </c>
      <c r="K1607" s="32" t="n">
        <v>300</v>
      </c>
      <c r="L1607" s="33" t="str">
        <f aca="false">IF($B1607="","",IFERROR(INDEX('Code Mapping'!$D$5:$D$1753,MATCH($B1607,'Code Mapping'!$A$5:$A$1753,0)),"Unmapped"))</f>
        <v>Unmapped</v>
      </c>
      <c r="M1607" s="33" t="str">
        <f aca="false">IF($B1607="","",IFERROR(INDEX('Code Mapping'!$E$5:$E$1753,MATCH($B1607,'Code Mapping'!$A$5:$A$1753,0)),"Unmapped"))</f>
        <v>Unmapped</v>
      </c>
      <c r="N1607" s="33" t="str">
        <f aca="false">IF($F1607="","",$F1607)</f>
        <v>InflataCity</v>
      </c>
    </row>
    <row r="1608" customFormat="false" ht="15" hidden="false" customHeight="false" outlineLevel="0" collapsed="false">
      <c r="A1608" s="33" t="n">
        <v>1506</v>
      </c>
      <c r="B1608" s="33" t="s">
        <v>720</v>
      </c>
      <c r="C1608" s="33" t="s">
        <v>513</v>
      </c>
      <c r="D1608" s="33"/>
      <c r="E1608" s="33" t="n">
        <v>55</v>
      </c>
      <c r="F1608" s="33" t="s">
        <v>2160</v>
      </c>
      <c r="G1608" s="33" t="s">
        <v>505</v>
      </c>
      <c r="H1608" s="33" t="n">
        <v>1</v>
      </c>
      <c r="I1608" s="33" t="n">
        <v>1</v>
      </c>
      <c r="J1608" s="33" t="n">
        <v>1</v>
      </c>
      <c r="K1608" s="32" t="n">
        <v>300</v>
      </c>
      <c r="L1608" s="33" t="str">
        <f aca="false">IF($B1608="","",IFERROR(INDEX('Code Mapping'!$D$5:$D$1753,MATCH($B1608,'Code Mapping'!$A$5:$A$1753,0)),"Unmapped"))</f>
        <v>Unmapped</v>
      </c>
      <c r="M1608" s="33" t="str">
        <f aca="false">IF($B1608="","",IFERROR(INDEX('Code Mapping'!$E$5:$E$1753,MATCH($B1608,'Code Mapping'!$A$5:$A$1753,0)),"Unmapped"))</f>
        <v>Unmapped</v>
      </c>
      <c r="N1608" s="33" t="str">
        <f aca="false">IF($F1608="","",$F1608)</f>
        <v>InflataCity</v>
      </c>
    </row>
    <row r="1609" customFormat="false" ht="15" hidden="false" customHeight="false" outlineLevel="0" collapsed="false">
      <c r="A1609" s="33" t="n">
        <v>1517</v>
      </c>
      <c r="B1609" s="33" t="s">
        <v>719</v>
      </c>
      <c r="C1609" s="33" t="s">
        <v>513</v>
      </c>
      <c r="D1609" s="33"/>
      <c r="E1609" s="33" t="n">
        <v>55</v>
      </c>
      <c r="F1609" s="33" t="s">
        <v>2160</v>
      </c>
      <c r="G1609" s="33" t="s">
        <v>505</v>
      </c>
      <c r="H1609" s="33" t="n">
        <v>1</v>
      </c>
      <c r="I1609" s="33" t="n">
        <v>1</v>
      </c>
      <c r="J1609" s="33" t="n">
        <v>1</v>
      </c>
      <c r="K1609" s="32" t="n">
        <v>300</v>
      </c>
      <c r="L1609" s="33" t="str">
        <f aca="false">IF($B1609="","",IFERROR(INDEX('Code Mapping'!$D$5:$D$1753,MATCH($B1609,'Code Mapping'!$A$5:$A$1753,0)),"Unmapped"))</f>
        <v>Unmapped</v>
      </c>
      <c r="M1609" s="33" t="str">
        <f aca="false">IF($B1609="","",IFERROR(INDEX('Code Mapping'!$E$5:$E$1753,MATCH($B1609,'Code Mapping'!$A$5:$A$1753,0)),"Unmapped"))</f>
        <v>Unmapped</v>
      </c>
      <c r="N1609" s="33" t="str">
        <f aca="false">IF($F1609="","",$F1609)</f>
        <v>InflataCity</v>
      </c>
    </row>
    <row r="1610" customFormat="false" ht="15" hidden="false" customHeight="false" outlineLevel="0" collapsed="false">
      <c r="A1610" s="33" t="n">
        <v>1523</v>
      </c>
      <c r="B1610" s="33" t="s">
        <v>716</v>
      </c>
      <c r="C1610" s="33" t="s">
        <v>513</v>
      </c>
      <c r="D1610" s="33"/>
      <c r="E1610" s="33" t="n">
        <v>55</v>
      </c>
      <c r="F1610" s="33" t="s">
        <v>2160</v>
      </c>
      <c r="G1610" s="33" t="s">
        <v>505</v>
      </c>
      <c r="H1610" s="33" t="n">
        <v>1</v>
      </c>
      <c r="I1610" s="33" t="n">
        <v>1</v>
      </c>
      <c r="J1610" s="33" t="n">
        <v>1</v>
      </c>
      <c r="K1610" s="32" t="n">
        <v>300</v>
      </c>
      <c r="L1610" s="33" t="str">
        <f aca="false">IF($B1610="","",IFERROR(INDEX('Code Mapping'!$D$5:$D$1753,MATCH($B1610,'Code Mapping'!$A$5:$A$1753,0)),"Unmapped"))</f>
        <v>Unmapped</v>
      </c>
      <c r="M1610" s="33" t="str">
        <f aca="false">IF($B1610="","",IFERROR(INDEX('Code Mapping'!$E$5:$E$1753,MATCH($B1610,'Code Mapping'!$A$5:$A$1753,0)),"Unmapped"))</f>
        <v>Unmapped</v>
      </c>
      <c r="N1610" s="33" t="str">
        <f aca="false">IF($F1610="","",$F1610)</f>
        <v>InflataCity</v>
      </c>
    </row>
    <row r="1611" customFormat="false" ht="15" hidden="false" customHeight="false" outlineLevel="0" collapsed="false">
      <c r="A1611" s="33" t="n">
        <v>1489</v>
      </c>
      <c r="B1611" s="33" t="s">
        <v>713</v>
      </c>
      <c r="C1611" s="33" t="s">
        <v>513</v>
      </c>
      <c r="D1611" s="33"/>
      <c r="E1611" s="33" t="n">
        <v>55</v>
      </c>
      <c r="F1611" s="33" t="s">
        <v>2160</v>
      </c>
      <c r="G1611" s="33" t="s">
        <v>505</v>
      </c>
      <c r="H1611" s="33" t="n">
        <v>1</v>
      </c>
      <c r="I1611" s="33" t="n">
        <v>1</v>
      </c>
      <c r="J1611" s="33" t="n">
        <v>1</v>
      </c>
      <c r="K1611" s="32" t="n">
        <v>300</v>
      </c>
      <c r="L1611" s="33" t="str">
        <f aca="false">IF($B1611="","",IFERROR(INDEX('Code Mapping'!$D$5:$D$1753,MATCH($B1611,'Code Mapping'!$A$5:$A$1753,0)),"Unmapped"))</f>
        <v>Unmapped</v>
      </c>
      <c r="M1611" s="33" t="str">
        <f aca="false">IF($B1611="","",IFERROR(INDEX('Code Mapping'!$E$5:$E$1753,MATCH($B1611,'Code Mapping'!$A$5:$A$1753,0)),"Unmapped"))</f>
        <v>Unmapped</v>
      </c>
      <c r="N1611" s="33" t="str">
        <f aca="false">IF($F1611="","",$F1611)</f>
        <v>InflataCity</v>
      </c>
    </row>
    <row r="1612" customFormat="false" ht="15" hidden="false" customHeight="false" outlineLevel="0" collapsed="false">
      <c r="A1612" s="33" t="n">
        <v>1759</v>
      </c>
      <c r="B1612" s="33" t="s">
        <v>711</v>
      </c>
      <c r="C1612" s="33" t="s">
        <v>511</v>
      </c>
      <c r="D1612" s="33"/>
      <c r="E1612" s="33" t="n">
        <v>55</v>
      </c>
      <c r="F1612" s="33" t="s">
        <v>2160</v>
      </c>
      <c r="G1612" s="33" t="s">
        <v>505</v>
      </c>
      <c r="H1612" s="33" t="n">
        <v>1</v>
      </c>
      <c r="I1612" s="33" t="n">
        <v>1</v>
      </c>
      <c r="J1612" s="33" t="n">
        <v>1</v>
      </c>
      <c r="K1612" s="32" t="n">
        <v>75</v>
      </c>
      <c r="L1612" s="33" t="str">
        <f aca="false">IF($B1612="","",IFERROR(INDEX('Code Mapping'!$D$5:$D$1753,MATCH($B1612,'Code Mapping'!$A$5:$A$1753,0)),"Unmapped"))</f>
        <v>Unmapped</v>
      </c>
      <c r="M1612" s="33" t="str">
        <f aca="false">IF($B1612="","",IFERROR(INDEX('Code Mapping'!$E$5:$E$1753,MATCH($B1612,'Code Mapping'!$A$5:$A$1753,0)),"Unmapped"))</f>
        <v>Unmapped</v>
      </c>
      <c r="N1612" s="33" t="str">
        <f aca="false">IF($F1612="","",$F1612)</f>
        <v>InflataCity</v>
      </c>
    </row>
    <row r="1613" customFormat="false" ht="15" hidden="false" customHeight="false" outlineLevel="0" collapsed="false">
      <c r="A1613" s="33" t="n">
        <v>1818</v>
      </c>
      <c r="B1613" s="33" t="s">
        <v>706</v>
      </c>
      <c r="C1613" s="33" t="s">
        <v>511</v>
      </c>
      <c r="D1613" s="33"/>
      <c r="E1613" s="33" t="n">
        <v>55</v>
      </c>
      <c r="F1613" s="33" t="s">
        <v>2160</v>
      </c>
      <c r="G1613" s="33" t="s">
        <v>505</v>
      </c>
      <c r="H1613" s="33" t="n">
        <v>1</v>
      </c>
      <c r="I1613" s="33" t="n">
        <v>1</v>
      </c>
      <c r="J1613" s="33" t="n">
        <v>1</v>
      </c>
      <c r="K1613" s="32" t="n">
        <v>75</v>
      </c>
      <c r="L1613" s="33" t="str">
        <f aca="false">IF($B1613="","",IFERROR(INDEX('Code Mapping'!$D$5:$D$1753,MATCH($B1613,'Code Mapping'!$A$5:$A$1753,0)),"Unmapped"))</f>
        <v>Unmapped</v>
      </c>
      <c r="M1613" s="33" t="str">
        <f aca="false">IF($B1613="","",IFERROR(INDEX('Code Mapping'!$E$5:$E$1753,MATCH($B1613,'Code Mapping'!$A$5:$A$1753,0)),"Unmapped"))</f>
        <v>Unmapped</v>
      </c>
      <c r="N1613" s="33" t="str">
        <f aca="false">IF($F1613="","",$F1613)</f>
        <v>InflataCity</v>
      </c>
    </row>
    <row r="1614" customFormat="false" ht="15" hidden="false" customHeight="false" outlineLevel="0" collapsed="false">
      <c r="A1614" s="33" t="n">
        <v>1982</v>
      </c>
      <c r="B1614" s="33" t="s">
        <v>705</v>
      </c>
      <c r="C1614" s="33" t="s">
        <v>511</v>
      </c>
      <c r="D1614" s="33"/>
      <c r="E1614" s="33" t="n">
        <v>55</v>
      </c>
      <c r="F1614" s="33" t="s">
        <v>2160</v>
      </c>
      <c r="G1614" s="33" t="s">
        <v>505</v>
      </c>
      <c r="H1614" s="33" t="n">
        <v>1</v>
      </c>
      <c r="I1614" s="33" t="n">
        <v>1</v>
      </c>
      <c r="J1614" s="33" t="n">
        <v>1</v>
      </c>
      <c r="K1614" s="32" t="n">
        <v>75</v>
      </c>
      <c r="L1614" s="33" t="str">
        <f aca="false">IF($B1614="","",IFERROR(INDEX('Code Mapping'!$D$5:$D$1753,MATCH($B1614,'Code Mapping'!$A$5:$A$1753,0)),"Unmapped"))</f>
        <v>Unmapped</v>
      </c>
      <c r="M1614" s="33" t="str">
        <f aca="false">IF($B1614="","",IFERROR(INDEX('Code Mapping'!$E$5:$E$1753,MATCH($B1614,'Code Mapping'!$A$5:$A$1753,0)),"Unmapped"))</f>
        <v>Unmapped</v>
      </c>
      <c r="N1614" s="33" t="str">
        <f aca="false">IF($F1614="","",$F1614)</f>
        <v>InflataCity</v>
      </c>
    </row>
    <row r="1615" customFormat="false" ht="15" hidden="false" customHeight="false" outlineLevel="0" collapsed="false">
      <c r="A1615" s="33" t="n">
        <v>2015</v>
      </c>
      <c r="B1615" s="33" t="s">
        <v>707</v>
      </c>
      <c r="C1615" s="33" t="s">
        <v>511</v>
      </c>
      <c r="D1615" s="33"/>
      <c r="E1615" s="33" t="n">
        <v>55</v>
      </c>
      <c r="F1615" s="33" t="s">
        <v>2160</v>
      </c>
      <c r="G1615" s="33" t="s">
        <v>505</v>
      </c>
      <c r="H1615" s="33" t="n">
        <v>1</v>
      </c>
      <c r="I1615" s="33" t="n">
        <v>1</v>
      </c>
      <c r="J1615" s="33" t="n">
        <v>1</v>
      </c>
      <c r="K1615" s="32" t="n">
        <v>75</v>
      </c>
      <c r="L1615" s="33" t="str">
        <f aca="false">IF($B1615="","",IFERROR(INDEX('Code Mapping'!$D$5:$D$1753,MATCH($B1615,'Code Mapping'!$A$5:$A$1753,0)),"Unmapped"))</f>
        <v>Unmapped</v>
      </c>
      <c r="M1615" s="33" t="str">
        <f aca="false">IF($B1615="","",IFERROR(INDEX('Code Mapping'!$E$5:$E$1753,MATCH($B1615,'Code Mapping'!$A$5:$A$1753,0)),"Unmapped"))</f>
        <v>Unmapped</v>
      </c>
      <c r="N1615" s="33" t="str">
        <f aca="false">IF($F1615="","",$F1615)</f>
        <v>InflataCity</v>
      </c>
    </row>
    <row r="1616" customFormat="false" ht="15" hidden="false" customHeight="false" outlineLevel="0" collapsed="false">
      <c r="A1616" s="33" t="n">
        <v>1750</v>
      </c>
      <c r="B1616" s="33" t="s">
        <v>703</v>
      </c>
      <c r="C1616" s="33" t="s">
        <v>511</v>
      </c>
      <c r="D1616" s="33"/>
      <c r="E1616" s="33" t="n">
        <v>55</v>
      </c>
      <c r="F1616" s="33" t="s">
        <v>2160</v>
      </c>
      <c r="G1616" s="33" t="s">
        <v>505</v>
      </c>
      <c r="H1616" s="33" t="n">
        <v>1</v>
      </c>
      <c r="I1616" s="33" t="n">
        <v>1</v>
      </c>
      <c r="J1616" s="33" t="n">
        <v>1</v>
      </c>
      <c r="K1616" s="32" t="n">
        <v>75</v>
      </c>
      <c r="L1616" s="33" t="str">
        <f aca="false">IF($B1616="","",IFERROR(INDEX('Code Mapping'!$D$5:$D$1753,MATCH($B1616,'Code Mapping'!$A$5:$A$1753,0)),"Unmapped"))</f>
        <v>Unmapped</v>
      </c>
      <c r="M1616" s="33" t="str">
        <f aca="false">IF($B1616="","",IFERROR(INDEX('Code Mapping'!$E$5:$E$1753,MATCH($B1616,'Code Mapping'!$A$5:$A$1753,0)),"Unmapped"))</f>
        <v>Unmapped</v>
      </c>
      <c r="N1616" s="33" t="str">
        <f aca="false">IF($F1616="","",$F1616)</f>
        <v>InflataCity</v>
      </c>
    </row>
    <row r="1617" customFormat="false" ht="15" hidden="false" customHeight="false" outlineLevel="0" collapsed="false">
      <c r="A1617" s="33" t="n">
        <v>1900</v>
      </c>
      <c r="B1617" s="33" t="s">
        <v>698</v>
      </c>
      <c r="C1617" s="33" t="s">
        <v>511</v>
      </c>
      <c r="D1617" s="33"/>
      <c r="E1617" s="33" t="n">
        <v>55</v>
      </c>
      <c r="F1617" s="33" t="s">
        <v>2160</v>
      </c>
      <c r="G1617" s="33" t="s">
        <v>505</v>
      </c>
      <c r="H1617" s="33" t="n">
        <v>1</v>
      </c>
      <c r="I1617" s="33" t="n">
        <v>1</v>
      </c>
      <c r="J1617" s="33" t="n">
        <v>1</v>
      </c>
      <c r="K1617" s="32" t="n">
        <v>75</v>
      </c>
      <c r="L1617" s="33" t="str">
        <f aca="false">IF($B1617="","",IFERROR(INDEX('Code Mapping'!$D$5:$D$1753,MATCH($B1617,'Code Mapping'!$A$5:$A$1753,0)),"Unmapped"))</f>
        <v>Unmapped</v>
      </c>
      <c r="M1617" s="33" t="str">
        <f aca="false">IF($B1617="","",IFERROR(INDEX('Code Mapping'!$E$5:$E$1753,MATCH($B1617,'Code Mapping'!$A$5:$A$1753,0)),"Unmapped"))</f>
        <v>Unmapped</v>
      </c>
      <c r="N1617" s="33" t="str">
        <f aca="false">IF($F1617="","",$F1617)</f>
        <v>InflataCity</v>
      </c>
    </row>
    <row r="1618" customFormat="false" ht="15" hidden="false" customHeight="false" outlineLevel="0" collapsed="false">
      <c r="A1618" s="33" t="n">
        <v>1981</v>
      </c>
      <c r="B1618" s="33" t="s">
        <v>696</v>
      </c>
      <c r="C1618" s="33" t="s">
        <v>511</v>
      </c>
      <c r="D1618" s="33"/>
      <c r="E1618" s="33" t="n">
        <v>55</v>
      </c>
      <c r="F1618" s="33" t="s">
        <v>2160</v>
      </c>
      <c r="G1618" s="33" t="s">
        <v>505</v>
      </c>
      <c r="H1618" s="33" t="n">
        <v>1</v>
      </c>
      <c r="I1618" s="33" t="n">
        <v>1</v>
      </c>
      <c r="J1618" s="33" t="n">
        <v>1</v>
      </c>
      <c r="K1618" s="32" t="n">
        <v>75</v>
      </c>
      <c r="L1618" s="33" t="str">
        <f aca="false">IF($B1618="","",IFERROR(INDEX('Code Mapping'!$D$5:$D$1753,MATCH($B1618,'Code Mapping'!$A$5:$A$1753,0)),"Unmapped"))</f>
        <v>Unmapped</v>
      </c>
      <c r="M1618" s="33" t="str">
        <f aca="false">IF($B1618="","",IFERROR(INDEX('Code Mapping'!$E$5:$E$1753,MATCH($B1618,'Code Mapping'!$A$5:$A$1753,0)),"Unmapped"))</f>
        <v>Unmapped</v>
      </c>
      <c r="N1618" s="33" t="str">
        <f aca="false">IF($F1618="","",$F1618)</f>
        <v>InflataCity</v>
      </c>
    </row>
    <row r="1619" customFormat="false" ht="15" hidden="false" customHeight="false" outlineLevel="0" collapsed="false">
      <c r="A1619" s="33" t="n">
        <v>1483</v>
      </c>
      <c r="B1619" s="33" t="s">
        <v>695</v>
      </c>
      <c r="C1619" s="33" t="s">
        <v>513</v>
      </c>
      <c r="D1619" s="33"/>
      <c r="E1619" s="33" t="n">
        <v>55</v>
      </c>
      <c r="F1619" s="33" t="s">
        <v>2160</v>
      </c>
      <c r="G1619" s="33" t="s">
        <v>505</v>
      </c>
      <c r="H1619" s="33" t="n">
        <v>1</v>
      </c>
      <c r="I1619" s="33" t="n">
        <v>1</v>
      </c>
      <c r="J1619" s="33" t="n">
        <v>1</v>
      </c>
      <c r="K1619" s="32" t="n">
        <v>300</v>
      </c>
      <c r="L1619" s="33" t="str">
        <f aca="false">IF($B1619="","",IFERROR(INDEX('Code Mapping'!$D$5:$D$1753,MATCH($B1619,'Code Mapping'!$A$5:$A$1753,0)),"Unmapped"))</f>
        <v>Unmapped</v>
      </c>
      <c r="M1619" s="33" t="str">
        <f aca="false">IF($B1619="","",IFERROR(INDEX('Code Mapping'!$E$5:$E$1753,MATCH($B1619,'Code Mapping'!$A$5:$A$1753,0)),"Unmapped"))</f>
        <v>Unmapped</v>
      </c>
      <c r="N1619" s="33" t="str">
        <f aca="false">IF($F1619="","",$F1619)</f>
        <v>InflataCity</v>
      </c>
    </row>
    <row r="1620" customFormat="false" ht="15" hidden="false" customHeight="false" outlineLevel="0" collapsed="false">
      <c r="A1620" s="33" t="n">
        <v>1822</v>
      </c>
      <c r="B1620" s="33" t="s">
        <v>694</v>
      </c>
      <c r="C1620" s="33" t="s">
        <v>511</v>
      </c>
      <c r="D1620" s="33"/>
      <c r="E1620" s="33" t="n">
        <v>55</v>
      </c>
      <c r="F1620" s="33" t="s">
        <v>2160</v>
      </c>
      <c r="G1620" s="33" t="s">
        <v>505</v>
      </c>
      <c r="H1620" s="33" t="n">
        <v>1</v>
      </c>
      <c r="I1620" s="33" t="n">
        <v>1</v>
      </c>
      <c r="J1620" s="33" t="n">
        <v>1</v>
      </c>
      <c r="K1620" s="32" t="n">
        <v>75</v>
      </c>
      <c r="L1620" s="33" t="str">
        <f aca="false">IF($B1620="","",IFERROR(INDEX('Code Mapping'!$D$5:$D$1753,MATCH($B1620,'Code Mapping'!$A$5:$A$1753,0)),"Unmapped"))</f>
        <v>Unmapped</v>
      </c>
      <c r="M1620" s="33" t="str">
        <f aca="false">IF($B1620="","",IFERROR(INDEX('Code Mapping'!$E$5:$E$1753,MATCH($B1620,'Code Mapping'!$A$5:$A$1753,0)),"Unmapped"))</f>
        <v>Unmapped</v>
      </c>
      <c r="N1620" s="33" t="str">
        <f aca="false">IF($F1620="","",$F1620)</f>
        <v>InflataCity</v>
      </c>
    </row>
    <row r="1621" customFormat="false" ht="15" hidden="false" customHeight="false" outlineLevel="0" collapsed="false">
      <c r="A1621" s="33" t="n">
        <v>1905</v>
      </c>
      <c r="B1621" s="33" t="s">
        <v>691</v>
      </c>
      <c r="C1621" s="33" t="s">
        <v>511</v>
      </c>
      <c r="D1621" s="33"/>
      <c r="E1621" s="33" t="n">
        <v>55</v>
      </c>
      <c r="F1621" s="33" t="s">
        <v>2160</v>
      </c>
      <c r="G1621" s="33" t="s">
        <v>505</v>
      </c>
      <c r="H1621" s="33" t="n">
        <v>1</v>
      </c>
      <c r="I1621" s="33" t="n">
        <v>1</v>
      </c>
      <c r="J1621" s="33" t="n">
        <v>1</v>
      </c>
      <c r="K1621" s="32" t="n">
        <v>75</v>
      </c>
      <c r="L1621" s="33" t="str">
        <f aca="false">IF($B1621="","",IFERROR(INDEX('Code Mapping'!$D$5:$D$1753,MATCH($B1621,'Code Mapping'!$A$5:$A$1753,0)),"Unmapped"))</f>
        <v>Unmapped</v>
      </c>
      <c r="M1621" s="33" t="str">
        <f aca="false">IF($B1621="","",IFERROR(INDEX('Code Mapping'!$E$5:$E$1753,MATCH($B1621,'Code Mapping'!$A$5:$A$1753,0)),"Unmapped"))</f>
        <v>Unmapped</v>
      </c>
      <c r="N1621" s="33" t="str">
        <f aca="false">IF($F1621="","",$F1621)</f>
        <v>InflataCity</v>
      </c>
    </row>
    <row r="1622" customFormat="false" ht="15" hidden="false" customHeight="false" outlineLevel="0" collapsed="false">
      <c r="A1622" s="33" t="n">
        <v>1487</v>
      </c>
      <c r="B1622" s="33" t="s">
        <v>690</v>
      </c>
      <c r="C1622" s="33" t="s">
        <v>513</v>
      </c>
      <c r="D1622" s="33"/>
      <c r="E1622" s="33" t="n">
        <v>55</v>
      </c>
      <c r="F1622" s="33" t="s">
        <v>2160</v>
      </c>
      <c r="G1622" s="33" t="s">
        <v>505</v>
      </c>
      <c r="H1622" s="33" t="n">
        <v>1</v>
      </c>
      <c r="I1622" s="33" t="n">
        <v>1</v>
      </c>
      <c r="J1622" s="33" t="n">
        <v>1</v>
      </c>
      <c r="K1622" s="32" t="n">
        <v>300</v>
      </c>
      <c r="L1622" s="33" t="str">
        <f aca="false">IF($B1622="","",IFERROR(INDEX('Code Mapping'!$D$5:$D$1753,MATCH($B1622,'Code Mapping'!$A$5:$A$1753,0)),"Unmapped"))</f>
        <v>Unmapped</v>
      </c>
      <c r="M1622" s="33" t="str">
        <f aca="false">IF($B1622="","",IFERROR(INDEX('Code Mapping'!$E$5:$E$1753,MATCH($B1622,'Code Mapping'!$A$5:$A$1753,0)),"Unmapped"))</f>
        <v>Unmapped</v>
      </c>
      <c r="N1622" s="33" t="str">
        <f aca="false">IF($F1622="","",$F1622)</f>
        <v>InflataCity</v>
      </c>
    </row>
    <row r="1623" customFormat="false" ht="15" hidden="false" customHeight="false" outlineLevel="0" collapsed="false">
      <c r="A1623" s="33" t="n">
        <v>1504</v>
      </c>
      <c r="B1623" s="33" t="s">
        <v>773</v>
      </c>
      <c r="C1623" s="33" t="s">
        <v>513</v>
      </c>
      <c r="D1623" s="33"/>
      <c r="E1623" s="33" t="n">
        <v>55</v>
      </c>
      <c r="F1623" s="33" t="s">
        <v>2160</v>
      </c>
      <c r="G1623" s="33" t="s">
        <v>514</v>
      </c>
      <c r="H1623" s="33" t="n">
        <v>1</v>
      </c>
      <c r="I1623" s="33" t="n">
        <v>1</v>
      </c>
      <c r="J1623" s="33" t="n">
        <v>1</v>
      </c>
      <c r="K1623" s="32" t="n">
        <v>300</v>
      </c>
      <c r="L1623" s="33" t="str">
        <f aca="false">IF($B1623="","",IFERROR(INDEX('Code Mapping'!$D$5:$D$1753,MATCH($B1623,'Code Mapping'!$A$5:$A$1753,0)),"Unmapped"))</f>
        <v>Unmapped</v>
      </c>
      <c r="M1623" s="33" t="str">
        <f aca="false">IF($B1623="","",IFERROR(INDEX('Code Mapping'!$E$5:$E$1753,MATCH($B1623,'Code Mapping'!$A$5:$A$1753,0)),"Unmapped"))</f>
        <v>Unmapped</v>
      </c>
      <c r="N1623" s="33" t="str">
        <f aca="false">IF($F1623="","",$F1623)</f>
        <v>InflataCity</v>
      </c>
    </row>
    <row r="1624" customFormat="false" ht="15" hidden="false" customHeight="false" outlineLevel="0" collapsed="false">
      <c r="A1624" s="33" t="n">
        <v>1947</v>
      </c>
      <c r="B1624" s="33" t="s">
        <v>794</v>
      </c>
      <c r="C1624" s="33" t="s">
        <v>511</v>
      </c>
      <c r="D1624" s="33"/>
      <c r="E1624" s="33" t="n">
        <v>55</v>
      </c>
      <c r="F1624" s="33" t="s">
        <v>2160</v>
      </c>
      <c r="G1624" s="33" t="s">
        <v>514</v>
      </c>
      <c r="H1624" s="33" t="n">
        <v>1</v>
      </c>
      <c r="I1624" s="33" t="n">
        <v>1</v>
      </c>
      <c r="J1624" s="33" t="n">
        <v>1</v>
      </c>
      <c r="K1624" s="32" t="n">
        <v>75</v>
      </c>
      <c r="L1624" s="33" t="str">
        <f aca="false">IF($B1624="","",IFERROR(INDEX('Code Mapping'!$D$5:$D$1753,MATCH($B1624,'Code Mapping'!$A$5:$A$1753,0)),"Unmapped"))</f>
        <v>Unmapped</v>
      </c>
      <c r="M1624" s="33" t="str">
        <f aca="false">IF($B1624="","",IFERROR(INDEX('Code Mapping'!$E$5:$E$1753,MATCH($B1624,'Code Mapping'!$A$5:$A$1753,0)),"Unmapped"))</f>
        <v>Unmapped</v>
      </c>
      <c r="N1624" s="33" t="str">
        <f aca="false">IF($F1624="","",$F1624)</f>
        <v>InflataCity</v>
      </c>
    </row>
    <row r="1625" customFormat="false" ht="15" hidden="false" customHeight="false" outlineLevel="0" collapsed="false">
      <c r="A1625" s="33" t="n">
        <v>1933</v>
      </c>
      <c r="B1625" s="33" t="s">
        <v>774</v>
      </c>
      <c r="C1625" s="33" t="s">
        <v>511</v>
      </c>
      <c r="D1625" s="33"/>
      <c r="E1625" s="33" t="n">
        <v>55</v>
      </c>
      <c r="F1625" s="33" t="s">
        <v>2160</v>
      </c>
      <c r="G1625" s="33" t="s">
        <v>514</v>
      </c>
      <c r="H1625" s="33" t="n">
        <v>1</v>
      </c>
      <c r="I1625" s="33" t="n">
        <v>1</v>
      </c>
      <c r="J1625" s="33" t="n">
        <v>1</v>
      </c>
      <c r="K1625" s="32" t="n">
        <v>75</v>
      </c>
      <c r="L1625" s="33" t="str">
        <f aca="false">IF($B1625="","",IFERROR(INDEX('Code Mapping'!$D$5:$D$1753,MATCH($B1625,'Code Mapping'!$A$5:$A$1753,0)),"Unmapped"))</f>
        <v>Unmapped</v>
      </c>
      <c r="M1625" s="33" t="str">
        <f aca="false">IF($B1625="","",IFERROR(INDEX('Code Mapping'!$E$5:$E$1753,MATCH($B1625,'Code Mapping'!$A$5:$A$1753,0)),"Unmapped"))</f>
        <v>Unmapped</v>
      </c>
      <c r="N1625" s="33" t="str">
        <f aca="false">IF($F1625="","",$F1625)</f>
        <v>InflataCity</v>
      </c>
    </row>
    <row r="1626" customFormat="false" ht="15" hidden="false" customHeight="false" outlineLevel="0" collapsed="false">
      <c r="A1626" s="33" t="n">
        <v>1957</v>
      </c>
      <c r="B1626" s="33" t="s">
        <v>775</v>
      </c>
      <c r="C1626" s="33" t="s">
        <v>511</v>
      </c>
      <c r="D1626" s="33"/>
      <c r="E1626" s="33" t="n">
        <v>55</v>
      </c>
      <c r="F1626" s="33" t="s">
        <v>2160</v>
      </c>
      <c r="G1626" s="33" t="s">
        <v>514</v>
      </c>
      <c r="H1626" s="33" t="n">
        <v>1</v>
      </c>
      <c r="I1626" s="33" t="n">
        <v>1</v>
      </c>
      <c r="J1626" s="33" t="n">
        <v>1</v>
      </c>
      <c r="K1626" s="32" t="n">
        <v>75</v>
      </c>
      <c r="L1626" s="33" t="str">
        <f aca="false">IF($B1626="","",IFERROR(INDEX('Code Mapping'!$D$5:$D$1753,MATCH($B1626,'Code Mapping'!$A$5:$A$1753,0)),"Unmapped"))</f>
        <v>Unmapped</v>
      </c>
      <c r="M1626" s="33" t="str">
        <f aca="false">IF($B1626="","",IFERROR(INDEX('Code Mapping'!$E$5:$E$1753,MATCH($B1626,'Code Mapping'!$A$5:$A$1753,0)),"Unmapped"))</f>
        <v>Unmapped</v>
      </c>
      <c r="N1626" s="33" t="str">
        <f aca="false">IF($F1626="","",$F1626)</f>
        <v>InflataCity</v>
      </c>
    </row>
    <row r="1627" customFormat="false" ht="15" hidden="false" customHeight="false" outlineLevel="0" collapsed="false">
      <c r="A1627" s="33" t="n">
        <v>1949</v>
      </c>
      <c r="B1627" s="33" t="s">
        <v>778</v>
      </c>
      <c r="C1627" s="33" t="s">
        <v>511</v>
      </c>
      <c r="D1627" s="33"/>
      <c r="E1627" s="33" t="n">
        <v>55</v>
      </c>
      <c r="F1627" s="33" t="s">
        <v>2160</v>
      </c>
      <c r="G1627" s="33" t="s">
        <v>514</v>
      </c>
      <c r="H1627" s="33" t="n">
        <v>1</v>
      </c>
      <c r="I1627" s="33" t="n">
        <v>1</v>
      </c>
      <c r="J1627" s="33" t="n">
        <v>1</v>
      </c>
      <c r="K1627" s="32" t="n">
        <v>75</v>
      </c>
      <c r="L1627" s="33" t="str">
        <f aca="false">IF($B1627="","",IFERROR(INDEX('Code Mapping'!$D$5:$D$1753,MATCH($B1627,'Code Mapping'!$A$5:$A$1753,0)),"Unmapped"))</f>
        <v>Unmapped</v>
      </c>
      <c r="M1627" s="33" t="str">
        <f aca="false">IF($B1627="","",IFERROR(INDEX('Code Mapping'!$E$5:$E$1753,MATCH($B1627,'Code Mapping'!$A$5:$A$1753,0)),"Unmapped"))</f>
        <v>Unmapped</v>
      </c>
      <c r="N1627" s="33" t="str">
        <f aca="false">IF($F1627="","",$F1627)</f>
        <v>InflataCity</v>
      </c>
    </row>
    <row r="1628" customFormat="false" ht="15" hidden="false" customHeight="false" outlineLevel="0" collapsed="false">
      <c r="A1628" s="33" t="n">
        <v>1961</v>
      </c>
      <c r="B1628" s="33" t="s">
        <v>779</v>
      </c>
      <c r="C1628" s="33" t="s">
        <v>511</v>
      </c>
      <c r="D1628" s="33"/>
      <c r="E1628" s="33" t="n">
        <v>55</v>
      </c>
      <c r="F1628" s="33" t="s">
        <v>2160</v>
      </c>
      <c r="G1628" s="33" t="s">
        <v>514</v>
      </c>
      <c r="H1628" s="33" t="n">
        <v>1</v>
      </c>
      <c r="I1628" s="33" t="n">
        <v>1</v>
      </c>
      <c r="J1628" s="33" t="n">
        <v>1</v>
      </c>
      <c r="K1628" s="32" t="n">
        <v>75</v>
      </c>
      <c r="L1628" s="33" t="str">
        <f aca="false">IF($B1628="","",IFERROR(INDEX('Code Mapping'!$D$5:$D$1753,MATCH($B1628,'Code Mapping'!$A$5:$A$1753,0)),"Unmapped"))</f>
        <v>Unmapped</v>
      </c>
      <c r="M1628" s="33" t="str">
        <f aca="false">IF($B1628="","",IFERROR(INDEX('Code Mapping'!$E$5:$E$1753,MATCH($B1628,'Code Mapping'!$A$5:$A$1753,0)),"Unmapped"))</f>
        <v>Unmapped</v>
      </c>
      <c r="N1628" s="33" t="str">
        <f aca="false">IF($F1628="","",$F1628)</f>
        <v>InflataCity</v>
      </c>
    </row>
    <row r="1629" customFormat="false" ht="15" hidden="false" customHeight="false" outlineLevel="0" collapsed="false">
      <c r="A1629" s="33" t="n">
        <v>1875</v>
      </c>
      <c r="B1629" s="33" t="s">
        <v>785</v>
      </c>
      <c r="C1629" s="33" t="s">
        <v>511</v>
      </c>
      <c r="D1629" s="33"/>
      <c r="E1629" s="33" t="n">
        <v>55</v>
      </c>
      <c r="F1629" s="33" t="s">
        <v>2160</v>
      </c>
      <c r="G1629" s="33" t="s">
        <v>514</v>
      </c>
      <c r="H1629" s="33" t="n">
        <v>1</v>
      </c>
      <c r="I1629" s="33" t="n">
        <v>1</v>
      </c>
      <c r="J1629" s="33" t="n">
        <v>1</v>
      </c>
      <c r="K1629" s="32" t="n">
        <v>75</v>
      </c>
      <c r="L1629" s="33" t="str">
        <f aca="false">IF($B1629="","",IFERROR(INDEX('Code Mapping'!$D$5:$D$1753,MATCH($B1629,'Code Mapping'!$A$5:$A$1753,0)),"Unmapped"))</f>
        <v>Unmapped</v>
      </c>
      <c r="M1629" s="33" t="str">
        <f aca="false">IF($B1629="","",IFERROR(INDEX('Code Mapping'!$E$5:$E$1753,MATCH($B1629,'Code Mapping'!$A$5:$A$1753,0)),"Unmapped"))</f>
        <v>Unmapped</v>
      </c>
      <c r="N1629" s="33" t="str">
        <f aca="false">IF($F1629="","",$F1629)</f>
        <v>InflataCity</v>
      </c>
    </row>
    <row r="1630" customFormat="false" ht="15" hidden="false" customHeight="false" outlineLevel="0" collapsed="false">
      <c r="A1630" s="33" t="n">
        <v>1827</v>
      </c>
      <c r="B1630" s="33" t="s">
        <v>788</v>
      </c>
      <c r="C1630" s="33" t="s">
        <v>511</v>
      </c>
      <c r="D1630" s="33"/>
      <c r="E1630" s="33" t="n">
        <v>55</v>
      </c>
      <c r="F1630" s="33" t="s">
        <v>2160</v>
      </c>
      <c r="G1630" s="33" t="s">
        <v>514</v>
      </c>
      <c r="H1630" s="33" t="n">
        <v>1</v>
      </c>
      <c r="I1630" s="33" t="n">
        <v>1</v>
      </c>
      <c r="J1630" s="33" t="n">
        <v>1</v>
      </c>
      <c r="K1630" s="32" t="n">
        <v>75</v>
      </c>
      <c r="L1630" s="33" t="str">
        <f aca="false">IF($B1630="","",IFERROR(INDEX('Code Mapping'!$D$5:$D$1753,MATCH($B1630,'Code Mapping'!$A$5:$A$1753,0)),"Unmapped"))</f>
        <v>Unmapped</v>
      </c>
      <c r="M1630" s="33" t="str">
        <f aca="false">IF($B1630="","",IFERROR(INDEX('Code Mapping'!$E$5:$E$1753,MATCH($B1630,'Code Mapping'!$A$5:$A$1753,0)),"Unmapped"))</f>
        <v>Unmapped</v>
      </c>
      <c r="N1630" s="33" t="str">
        <f aca="false">IF($F1630="","",$F1630)</f>
        <v>InflataCity</v>
      </c>
    </row>
    <row r="1631" customFormat="false" ht="15" hidden="false" customHeight="false" outlineLevel="0" collapsed="false">
      <c r="A1631" s="33" t="n">
        <v>1831</v>
      </c>
      <c r="B1631" s="33" t="s">
        <v>790</v>
      </c>
      <c r="C1631" s="33" t="s">
        <v>511</v>
      </c>
      <c r="D1631" s="33"/>
      <c r="E1631" s="33" t="n">
        <v>55</v>
      </c>
      <c r="F1631" s="33" t="s">
        <v>2160</v>
      </c>
      <c r="G1631" s="33" t="s">
        <v>514</v>
      </c>
      <c r="H1631" s="33" t="n">
        <v>1</v>
      </c>
      <c r="I1631" s="33" t="n">
        <v>1</v>
      </c>
      <c r="J1631" s="33" t="n">
        <v>1</v>
      </c>
      <c r="K1631" s="32" t="n">
        <v>75</v>
      </c>
      <c r="L1631" s="33" t="str">
        <f aca="false">IF($B1631="","",IFERROR(INDEX('Code Mapping'!$D$5:$D$1753,MATCH($B1631,'Code Mapping'!$A$5:$A$1753,0)),"Unmapped"))</f>
        <v>Unmapped</v>
      </c>
      <c r="M1631" s="33" t="str">
        <f aca="false">IF($B1631="","",IFERROR(INDEX('Code Mapping'!$E$5:$E$1753,MATCH($B1631,'Code Mapping'!$A$5:$A$1753,0)),"Unmapped"))</f>
        <v>Unmapped</v>
      </c>
      <c r="N1631" s="33" t="str">
        <f aca="false">IF($F1631="","",$F1631)</f>
        <v>InflataCity</v>
      </c>
    </row>
    <row r="1632" customFormat="false" ht="15" hidden="false" customHeight="false" outlineLevel="0" collapsed="false">
      <c r="A1632" s="33" t="n">
        <v>2357</v>
      </c>
      <c r="B1632" s="33" t="s">
        <v>836</v>
      </c>
      <c r="C1632" s="33" t="s">
        <v>823</v>
      </c>
      <c r="D1632" s="33"/>
      <c r="E1632" s="33" t="n">
        <v>55</v>
      </c>
      <c r="F1632" s="33" t="s">
        <v>2160</v>
      </c>
      <c r="G1632" s="33" t="s">
        <v>514</v>
      </c>
      <c r="H1632" s="33" t="n">
        <v>1</v>
      </c>
      <c r="I1632" s="33" t="n">
        <v>1</v>
      </c>
      <c r="J1632" s="33" t="n">
        <v>1</v>
      </c>
      <c r="K1632" s="32" t="n">
        <v>300</v>
      </c>
      <c r="L1632" s="33" t="str">
        <f aca="false">IF($B1632="","",IFERROR(INDEX('Code Mapping'!$D$5:$D$1753,MATCH($B1632,'Code Mapping'!$A$5:$A$1753,0)),"Unmapped"))</f>
        <v>Unmapped</v>
      </c>
      <c r="M1632" s="33" t="str">
        <f aca="false">IF($B1632="","",IFERROR(INDEX('Code Mapping'!$E$5:$E$1753,MATCH($B1632,'Code Mapping'!$A$5:$A$1753,0)),"Unmapped"))</f>
        <v>Unmapped</v>
      </c>
      <c r="N1632" s="33" t="str">
        <f aca="false">IF($F1632="","",$F1632)</f>
        <v>InflataCity</v>
      </c>
    </row>
    <row r="1633" customFormat="false" ht="15" hidden="false" customHeight="false" outlineLevel="0" collapsed="false">
      <c r="A1633" s="33" t="n">
        <v>1868</v>
      </c>
      <c r="B1633" s="33" t="s">
        <v>795</v>
      </c>
      <c r="C1633" s="33" t="s">
        <v>511</v>
      </c>
      <c r="D1633" s="33"/>
      <c r="E1633" s="33" t="n">
        <v>55</v>
      </c>
      <c r="F1633" s="33" t="s">
        <v>2160</v>
      </c>
      <c r="G1633" s="33" t="s">
        <v>514</v>
      </c>
      <c r="H1633" s="33" t="n">
        <v>1</v>
      </c>
      <c r="I1633" s="33" t="n">
        <v>1</v>
      </c>
      <c r="J1633" s="33" t="n">
        <v>1</v>
      </c>
      <c r="K1633" s="32" t="n">
        <v>75</v>
      </c>
      <c r="L1633" s="33" t="str">
        <f aca="false">IF($B1633="","",IFERROR(INDEX('Code Mapping'!$D$5:$D$1753,MATCH($B1633,'Code Mapping'!$A$5:$A$1753,0)),"Unmapped"))</f>
        <v>Unmapped</v>
      </c>
      <c r="M1633" s="33" t="str">
        <f aca="false">IF($B1633="","",IFERROR(INDEX('Code Mapping'!$E$5:$E$1753,MATCH($B1633,'Code Mapping'!$A$5:$A$1753,0)),"Unmapped"))</f>
        <v>Unmapped</v>
      </c>
      <c r="N1633" s="33" t="str">
        <f aca="false">IF($F1633="","",$F1633)</f>
        <v>InflataCity</v>
      </c>
    </row>
    <row r="1634" customFormat="false" ht="15" hidden="false" customHeight="false" outlineLevel="0" collapsed="false">
      <c r="A1634" s="33" t="n">
        <v>1495</v>
      </c>
      <c r="B1634" s="33" t="s">
        <v>796</v>
      </c>
      <c r="C1634" s="33" t="s">
        <v>513</v>
      </c>
      <c r="D1634" s="33"/>
      <c r="E1634" s="33" t="n">
        <v>55</v>
      </c>
      <c r="F1634" s="33" t="s">
        <v>2160</v>
      </c>
      <c r="G1634" s="33" t="s">
        <v>514</v>
      </c>
      <c r="H1634" s="33" t="n">
        <v>1</v>
      </c>
      <c r="I1634" s="33" t="n">
        <v>1</v>
      </c>
      <c r="J1634" s="33" t="n">
        <v>1</v>
      </c>
      <c r="K1634" s="32" t="n">
        <v>300</v>
      </c>
      <c r="L1634" s="33" t="str">
        <f aca="false">IF($B1634="","",IFERROR(INDEX('Code Mapping'!$D$5:$D$1753,MATCH($B1634,'Code Mapping'!$A$5:$A$1753,0)),"Unmapped"))</f>
        <v>Unmapped</v>
      </c>
      <c r="M1634" s="33" t="str">
        <f aca="false">IF($B1634="","",IFERROR(INDEX('Code Mapping'!$E$5:$E$1753,MATCH($B1634,'Code Mapping'!$A$5:$A$1753,0)),"Unmapped"))</f>
        <v>Unmapped</v>
      </c>
      <c r="N1634" s="33" t="str">
        <f aca="false">IF($F1634="","",$F1634)</f>
        <v>InflataCity</v>
      </c>
    </row>
    <row r="1635" customFormat="false" ht="15" hidden="false" customHeight="false" outlineLevel="0" collapsed="false">
      <c r="A1635" s="33" t="n">
        <v>1790</v>
      </c>
      <c r="B1635" s="33" t="s">
        <v>799</v>
      </c>
      <c r="C1635" s="33" t="s">
        <v>511</v>
      </c>
      <c r="D1635" s="33"/>
      <c r="E1635" s="33" t="n">
        <v>55</v>
      </c>
      <c r="F1635" s="33" t="s">
        <v>2160</v>
      </c>
      <c r="G1635" s="33" t="s">
        <v>514</v>
      </c>
      <c r="H1635" s="33" t="n">
        <v>1</v>
      </c>
      <c r="I1635" s="33" t="n">
        <v>1</v>
      </c>
      <c r="J1635" s="33" t="n">
        <v>1</v>
      </c>
      <c r="K1635" s="32" t="n">
        <v>75</v>
      </c>
      <c r="L1635" s="33" t="str">
        <f aca="false">IF($B1635="","",IFERROR(INDEX('Code Mapping'!$D$5:$D$1753,MATCH($B1635,'Code Mapping'!$A$5:$A$1753,0)),"Unmapped"))</f>
        <v>Unmapped</v>
      </c>
      <c r="M1635" s="33" t="str">
        <f aca="false">IF($B1635="","",IFERROR(INDEX('Code Mapping'!$E$5:$E$1753,MATCH($B1635,'Code Mapping'!$A$5:$A$1753,0)),"Unmapped"))</f>
        <v>Unmapped</v>
      </c>
      <c r="N1635" s="33" t="str">
        <f aca="false">IF($F1635="","",$F1635)</f>
        <v>InflataCity</v>
      </c>
    </row>
    <row r="1636" customFormat="false" ht="15" hidden="false" customHeight="false" outlineLevel="0" collapsed="false">
      <c r="A1636" s="33" t="n">
        <v>1467</v>
      </c>
      <c r="B1636" s="33" t="s">
        <v>804</v>
      </c>
      <c r="C1636" s="33" t="s">
        <v>513</v>
      </c>
      <c r="D1636" s="33"/>
      <c r="E1636" s="33" t="n">
        <v>55</v>
      </c>
      <c r="F1636" s="33" t="s">
        <v>2160</v>
      </c>
      <c r="G1636" s="33" t="s">
        <v>514</v>
      </c>
      <c r="H1636" s="33" t="n">
        <v>1</v>
      </c>
      <c r="I1636" s="33" t="n">
        <v>1</v>
      </c>
      <c r="J1636" s="33" t="n">
        <v>1</v>
      </c>
      <c r="K1636" s="32" t="n">
        <v>300</v>
      </c>
      <c r="L1636" s="33" t="str">
        <f aca="false">IF($B1636="","",IFERROR(INDEX('Code Mapping'!$D$5:$D$1753,MATCH($B1636,'Code Mapping'!$A$5:$A$1753,0)),"Unmapped"))</f>
        <v>Unmapped</v>
      </c>
      <c r="M1636" s="33" t="str">
        <f aca="false">IF($B1636="","",IFERROR(INDEX('Code Mapping'!$E$5:$E$1753,MATCH($B1636,'Code Mapping'!$A$5:$A$1753,0)),"Unmapped"))</f>
        <v>Unmapped</v>
      </c>
      <c r="N1636" s="33" t="str">
        <f aca="false">IF($F1636="","",$F1636)</f>
        <v>InflataCity</v>
      </c>
    </row>
    <row r="1637" customFormat="false" ht="15" hidden="false" customHeight="false" outlineLevel="0" collapsed="false">
      <c r="A1637" s="33" t="n">
        <v>1844</v>
      </c>
      <c r="B1637" s="33" t="s">
        <v>807</v>
      </c>
      <c r="C1637" s="33" t="s">
        <v>511</v>
      </c>
      <c r="D1637" s="33"/>
      <c r="E1637" s="33" t="n">
        <v>55</v>
      </c>
      <c r="F1637" s="33" t="s">
        <v>2160</v>
      </c>
      <c r="G1637" s="33" t="s">
        <v>514</v>
      </c>
      <c r="H1637" s="33" t="n">
        <v>1</v>
      </c>
      <c r="I1637" s="33" t="n">
        <v>1</v>
      </c>
      <c r="J1637" s="33" t="n">
        <v>1</v>
      </c>
      <c r="K1637" s="32" t="n">
        <v>75</v>
      </c>
      <c r="L1637" s="33" t="str">
        <f aca="false">IF($B1637="","",IFERROR(INDEX('Code Mapping'!$D$5:$D$1753,MATCH($B1637,'Code Mapping'!$A$5:$A$1753,0)),"Unmapped"))</f>
        <v>Unmapped</v>
      </c>
      <c r="M1637" s="33" t="str">
        <f aca="false">IF($B1637="","",IFERROR(INDEX('Code Mapping'!$E$5:$E$1753,MATCH($B1637,'Code Mapping'!$A$5:$A$1753,0)),"Unmapped"))</f>
        <v>Unmapped</v>
      </c>
      <c r="N1637" s="33" t="str">
        <f aca="false">IF($F1637="","",$F1637)</f>
        <v>InflataCity</v>
      </c>
    </row>
    <row r="1638" customFormat="false" ht="15" hidden="false" customHeight="false" outlineLevel="0" collapsed="false">
      <c r="A1638" s="33" t="n">
        <v>1455</v>
      </c>
      <c r="B1638" s="33" t="s">
        <v>808</v>
      </c>
      <c r="C1638" s="33" t="s">
        <v>513</v>
      </c>
      <c r="D1638" s="33"/>
      <c r="E1638" s="33" t="n">
        <v>55</v>
      </c>
      <c r="F1638" s="33" t="s">
        <v>2160</v>
      </c>
      <c r="G1638" s="33" t="s">
        <v>514</v>
      </c>
      <c r="H1638" s="33" t="n">
        <v>1</v>
      </c>
      <c r="I1638" s="33" t="n">
        <v>1</v>
      </c>
      <c r="J1638" s="33" t="n">
        <v>1</v>
      </c>
      <c r="K1638" s="32" t="n">
        <v>300</v>
      </c>
      <c r="L1638" s="33" t="str">
        <f aca="false">IF($B1638="","",IFERROR(INDEX('Code Mapping'!$D$5:$D$1753,MATCH($B1638,'Code Mapping'!$A$5:$A$1753,0)),"Unmapped"))</f>
        <v>Unmapped</v>
      </c>
      <c r="M1638" s="33" t="str">
        <f aca="false">IF($B1638="","",IFERROR(INDEX('Code Mapping'!$E$5:$E$1753,MATCH($B1638,'Code Mapping'!$A$5:$A$1753,0)),"Unmapped"))</f>
        <v>Unmapped</v>
      </c>
      <c r="N1638" s="33" t="str">
        <f aca="false">IF($F1638="","",$F1638)</f>
        <v>InflataCity</v>
      </c>
    </row>
    <row r="1639" customFormat="false" ht="15" hidden="false" customHeight="false" outlineLevel="0" collapsed="false">
      <c r="A1639" s="33" t="n">
        <v>2389</v>
      </c>
      <c r="B1639" s="33" t="s">
        <v>831</v>
      </c>
      <c r="C1639" s="33" t="s">
        <v>823</v>
      </c>
      <c r="D1639" s="33"/>
      <c r="E1639" s="33" t="n">
        <v>55</v>
      </c>
      <c r="F1639" s="33" t="s">
        <v>2160</v>
      </c>
      <c r="G1639" s="33" t="s">
        <v>514</v>
      </c>
      <c r="H1639" s="33" t="n">
        <v>1</v>
      </c>
      <c r="I1639" s="33" t="n">
        <v>1</v>
      </c>
      <c r="J1639" s="33" t="n">
        <v>1</v>
      </c>
      <c r="K1639" s="32" t="n">
        <v>300</v>
      </c>
      <c r="L1639" s="33" t="str">
        <f aca="false">IF($B1639="","",IFERROR(INDEX('Code Mapping'!$D$5:$D$1753,MATCH($B1639,'Code Mapping'!$A$5:$A$1753,0)),"Unmapped"))</f>
        <v>Unmapped</v>
      </c>
      <c r="M1639" s="33" t="str">
        <f aca="false">IF($B1639="","",IFERROR(INDEX('Code Mapping'!$E$5:$E$1753,MATCH($B1639,'Code Mapping'!$A$5:$A$1753,0)),"Unmapped"))</f>
        <v>Unmapped</v>
      </c>
      <c r="N1639" s="33" t="str">
        <f aca="false">IF($F1639="","",$F1639)</f>
        <v>InflataCity</v>
      </c>
    </row>
    <row r="1640" customFormat="false" ht="15" hidden="false" customHeight="false" outlineLevel="0" collapsed="false">
      <c r="A1640" s="33" t="n">
        <v>2374</v>
      </c>
      <c r="B1640" s="33" t="s">
        <v>841</v>
      </c>
      <c r="C1640" s="33" t="s">
        <v>823</v>
      </c>
      <c r="D1640" s="33"/>
      <c r="E1640" s="33" t="n">
        <v>55</v>
      </c>
      <c r="F1640" s="33" t="s">
        <v>2160</v>
      </c>
      <c r="G1640" s="33" t="s">
        <v>514</v>
      </c>
      <c r="H1640" s="33" t="n">
        <v>1</v>
      </c>
      <c r="I1640" s="33" t="n">
        <v>1</v>
      </c>
      <c r="J1640" s="33" t="n">
        <v>1</v>
      </c>
      <c r="K1640" s="32" t="n">
        <v>300</v>
      </c>
      <c r="L1640" s="33" t="str">
        <f aca="false">IF($B1640="","",IFERROR(INDEX('Code Mapping'!$D$5:$D$1753,MATCH($B1640,'Code Mapping'!$A$5:$A$1753,0)),"Unmapped"))</f>
        <v>Unmapped</v>
      </c>
      <c r="M1640" s="33" t="str">
        <f aca="false">IF($B1640="","",IFERROR(INDEX('Code Mapping'!$E$5:$E$1753,MATCH($B1640,'Code Mapping'!$A$5:$A$1753,0)),"Unmapped"))</f>
        <v>Unmapped</v>
      </c>
      <c r="N1640" s="33" t="str">
        <f aca="false">IF($F1640="","",$F1640)</f>
        <v>InflataCity</v>
      </c>
    </row>
    <row r="1641" customFormat="false" ht="15" hidden="false" customHeight="false" outlineLevel="0" collapsed="false">
      <c r="A1641" s="33" t="n">
        <v>1940</v>
      </c>
      <c r="B1641" s="33" t="s">
        <v>769</v>
      </c>
      <c r="C1641" s="33" t="s">
        <v>511</v>
      </c>
      <c r="D1641" s="33"/>
      <c r="E1641" s="33" t="n">
        <v>55</v>
      </c>
      <c r="F1641" s="33" t="s">
        <v>2160</v>
      </c>
      <c r="G1641" s="33" t="s">
        <v>514</v>
      </c>
      <c r="H1641" s="33" t="n">
        <v>1</v>
      </c>
      <c r="I1641" s="33" t="n">
        <v>1</v>
      </c>
      <c r="J1641" s="33" t="n">
        <v>1</v>
      </c>
      <c r="K1641" s="32" t="n">
        <v>75</v>
      </c>
      <c r="L1641" s="33" t="str">
        <f aca="false">IF($B1641="","",IFERROR(INDEX('Code Mapping'!$D$5:$D$1753,MATCH($B1641,'Code Mapping'!$A$5:$A$1753,0)),"Unmapped"))</f>
        <v>Unmapped</v>
      </c>
      <c r="M1641" s="33" t="str">
        <f aca="false">IF($B1641="","",IFERROR(INDEX('Code Mapping'!$E$5:$E$1753,MATCH($B1641,'Code Mapping'!$A$5:$A$1753,0)),"Unmapped"))</f>
        <v>Unmapped</v>
      </c>
      <c r="N1641" s="33" t="str">
        <f aca="false">IF($F1641="","",$F1641)</f>
        <v>InflataCity</v>
      </c>
    </row>
    <row r="1642" customFormat="false" ht="15" hidden="false" customHeight="false" outlineLevel="0" collapsed="false">
      <c r="A1642" s="33" t="n">
        <v>1448</v>
      </c>
      <c r="B1642" s="33" t="s">
        <v>771</v>
      </c>
      <c r="C1642" s="33" t="s">
        <v>513</v>
      </c>
      <c r="D1642" s="33"/>
      <c r="E1642" s="33" t="n">
        <v>55</v>
      </c>
      <c r="F1642" s="33" t="s">
        <v>2160</v>
      </c>
      <c r="G1642" s="33" t="s">
        <v>514</v>
      </c>
      <c r="H1642" s="33" t="n">
        <v>1</v>
      </c>
      <c r="I1642" s="33" t="n">
        <v>1</v>
      </c>
      <c r="J1642" s="33" t="n">
        <v>1</v>
      </c>
      <c r="K1642" s="32" t="n">
        <v>300</v>
      </c>
      <c r="L1642" s="33" t="str">
        <f aca="false">IF($B1642="","",IFERROR(INDEX('Code Mapping'!$D$5:$D$1753,MATCH($B1642,'Code Mapping'!$A$5:$A$1753,0)),"Unmapped"))</f>
        <v>Unmapped</v>
      </c>
      <c r="M1642" s="33" t="str">
        <f aca="false">IF($B1642="","",IFERROR(INDEX('Code Mapping'!$E$5:$E$1753,MATCH($B1642,'Code Mapping'!$A$5:$A$1753,0)),"Unmapped"))</f>
        <v>Unmapped</v>
      </c>
      <c r="N1642" s="33" t="str">
        <f aca="false">IF($F1642="","",$F1642)</f>
        <v>InflataCity</v>
      </c>
    </row>
    <row r="1643" customFormat="false" ht="15" hidden="false" customHeight="false" outlineLevel="0" collapsed="false">
      <c r="A1643" s="33" t="n">
        <v>1915</v>
      </c>
      <c r="B1643" s="33" t="s">
        <v>731</v>
      </c>
      <c r="C1643" s="33" t="s">
        <v>511</v>
      </c>
      <c r="D1643" s="33"/>
      <c r="E1643" s="33" t="n">
        <v>55</v>
      </c>
      <c r="F1643" s="33" t="s">
        <v>2160</v>
      </c>
      <c r="G1643" s="33" t="s">
        <v>514</v>
      </c>
      <c r="H1643" s="33" t="n">
        <v>1</v>
      </c>
      <c r="I1643" s="33" t="n">
        <v>1</v>
      </c>
      <c r="J1643" s="33" t="n">
        <v>1</v>
      </c>
      <c r="K1643" s="32" t="n">
        <v>75</v>
      </c>
      <c r="L1643" s="33" t="str">
        <f aca="false">IF($B1643="","",IFERROR(INDEX('Code Mapping'!$D$5:$D$1753,MATCH($B1643,'Code Mapping'!$A$5:$A$1753,0)),"Unmapped"))</f>
        <v>Unmapped</v>
      </c>
      <c r="M1643" s="33" t="str">
        <f aca="false">IF($B1643="","",IFERROR(INDEX('Code Mapping'!$E$5:$E$1753,MATCH($B1643,'Code Mapping'!$A$5:$A$1753,0)),"Unmapped"))</f>
        <v>Unmapped</v>
      </c>
      <c r="N1643" s="33" t="str">
        <f aca="false">IF($F1643="","",$F1643)</f>
        <v>InflataCity</v>
      </c>
    </row>
    <row r="1644" customFormat="false" ht="15" hidden="false" customHeight="false" outlineLevel="0" collapsed="false">
      <c r="A1644" s="33" t="n">
        <v>1482</v>
      </c>
      <c r="B1644" s="33" t="s">
        <v>767</v>
      </c>
      <c r="C1644" s="33" t="s">
        <v>513</v>
      </c>
      <c r="D1644" s="33"/>
      <c r="E1644" s="33" t="n">
        <v>55</v>
      </c>
      <c r="F1644" s="33" t="s">
        <v>2160</v>
      </c>
      <c r="G1644" s="33" t="s">
        <v>514</v>
      </c>
      <c r="H1644" s="33" t="n">
        <v>1</v>
      </c>
      <c r="I1644" s="33" t="n">
        <v>1</v>
      </c>
      <c r="J1644" s="33" t="n">
        <v>1</v>
      </c>
      <c r="K1644" s="32" t="n">
        <v>300</v>
      </c>
      <c r="L1644" s="33" t="str">
        <f aca="false">IF($B1644="","",IFERROR(INDEX('Code Mapping'!$D$5:$D$1753,MATCH($B1644,'Code Mapping'!$A$5:$A$1753,0)),"Unmapped"))</f>
        <v>Unmapped</v>
      </c>
      <c r="M1644" s="33" t="str">
        <f aca="false">IF($B1644="","",IFERROR(INDEX('Code Mapping'!$E$5:$E$1753,MATCH($B1644,'Code Mapping'!$A$5:$A$1753,0)),"Unmapped"))</f>
        <v>Unmapped</v>
      </c>
      <c r="N1644" s="33" t="str">
        <f aca="false">IF($F1644="","",$F1644)</f>
        <v>InflataCity</v>
      </c>
    </row>
    <row r="1645" customFormat="false" ht="15" hidden="false" customHeight="false" outlineLevel="0" collapsed="false">
      <c r="A1645" s="33" t="n">
        <v>1872</v>
      </c>
      <c r="B1645" s="33" t="s">
        <v>749</v>
      </c>
      <c r="C1645" s="33" t="s">
        <v>511</v>
      </c>
      <c r="D1645" s="33"/>
      <c r="E1645" s="33" t="n">
        <v>55</v>
      </c>
      <c r="F1645" s="33" t="s">
        <v>2160</v>
      </c>
      <c r="G1645" s="33" t="s">
        <v>514</v>
      </c>
      <c r="H1645" s="33" t="n">
        <v>1</v>
      </c>
      <c r="I1645" s="33" t="n">
        <v>1</v>
      </c>
      <c r="J1645" s="33" t="n">
        <v>1</v>
      </c>
      <c r="K1645" s="32" t="n">
        <v>75</v>
      </c>
      <c r="L1645" s="33" t="str">
        <f aca="false">IF($B1645="","",IFERROR(INDEX('Code Mapping'!$D$5:$D$1753,MATCH($B1645,'Code Mapping'!$A$5:$A$1753,0)),"Unmapped"))</f>
        <v>Unmapped</v>
      </c>
      <c r="M1645" s="33" t="str">
        <f aca="false">IF($B1645="","",IFERROR(INDEX('Code Mapping'!$E$5:$E$1753,MATCH($B1645,'Code Mapping'!$A$5:$A$1753,0)),"Unmapped"))</f>
        <v>Unmapped</v>
      </c>
      <c r="N1645" s="33" t="str">
        <f aca="false">IF($F1645="","",$F1645)</f>
        <v>InflataCity</v>
      </c>
    </row>
    <row r="1646" customFormat="false" ht="15" hidden="false" customHeight="false" outlineLevel="0" collapsed="false">
      <c r="A1646" s="33" t="n">
        <v>2359</v>
      </c>
      <c r="B1646" s="33" t="s">
        <v>857</v>
      </c>
      <c r="C1646" s="33" t="s">
        <v>823</v>
      </c>
      <c r="D1646" s="33"/>
      <c r="E1646" s="33" t="n">
        <v>55</v>
      </c>
      <c r="F1646" s="33" t="s">
        <v>2160</v>
      </c>
      <c r="G1646" s="33" t="s">
        <v>514</v>
      </c>
      <c r="H1646" s="33" t="n">
        <v>1</v>
      </c>
      <c r="I1646" s="33" t="n">
        <v>1</v>
      </c>
      <c r="J1646" s="33" t="n">
        <v>1</v>
      </c>
      <c r="K1646" s="32" t="n">
        <v>300</v>
      </c>
      <c r="L1646" s="33" t="str">
        <f aca="false">IF($B1646="","",IFERROR(INDEX('Code Mapping'!$D$5:$D$1753,MATCH($B1646,'Code Mapping'!$A$5:$A$1753,0)),"Unmapped"))</f>
        <v>Unmapped</v>
      </c>
      <c r="M1646" s="33" t="str">
        <f aca="false">IF($B1646="","",IFERROR(INDEX('Code Mapping'!$E$5:$E$1753,MATCH($B1646,'Code Mapping'!$A$5:$A$1753,0)),"Unmapped"))</f>
        <v>Unmapped</v>
      </c>
      <c r="N1646" s="33" t="str">
        <f aca="false">IF($F1646="","",$F1646)</f>
        <v>InflataCity</v>
      </c>
    </row>
    <row r="1647" customFormat="false" ht="15" hidden="false" customHeight="false" outlineLevel="0" collapsed="false">
      <c r="A1647" s="33" t="n">
        <v>1874</v>
      </c>
      <c r="B1647" s="33" t="s">
        <v>730</v>
      </c>
      <c r="C1647" s="33" t="s">
        <v>511</v>
      </c>
      <c r="D1647" s="33"/>
      <c r="E1647" s="33" t="n">
        <v>55</v>
      </c>
      <c r="F1647" s="33" t="s">
        <v>2160</v>
      </c>
      <c r="G1647" s="33" t="s">
        <v>514</v>
      </c>
      <c r="H1647" s="33" t="n">
        <v>1</v>
      </c>
      <c r="I1647" s="33" t="n">
        <v>1</v>
      </c>
      <c r="J1647" s="33" t="n">
        <v>1</v>
      </c>
      <c r="K1647" s="32" t="n">
        <v>75</v>
      </c>
      <c r="L1647" s="33" t="str">
        <f aca="false">IF($B1647="","",IFERROR(INDEX('Code Mapping'!$D$5:$D$1753,MATCH($B1647,'Code Mapping'!$A$5:$A$1753,0)),"Unmapped"))</f>
        <v>Unmapped</v>
      </c>
      <c r="M1647" s="33" t="str">
        <f aca="false">IF($B1647="","",IFERROR(INDEX('Code Mapping'!$E$5:$E$1753,MATCH($B1647,'Code Mapping'!$A$5:$A$1753,0)),"Unmapped"))</f>
        <v>Unmapped</v>
      </c>
      <c r="N1647" s="33" t="str">
        <f aca="false">IF($F1647="","",$F1647)</f>
        <v>InflataCity</v>
      </c>
    </row>
    <row r="1648" customFormat="false" ht="15" hidden="false" customHeight="false" outlineLevel="0" collapsed="false">
      <c r="A1648" s="33" t="n">
        <v>1469</v>
      </c>
      <c r="B1648" s="33" t="s">
        <v>735</v>
      </c>
      <c r="C1648" s="33" t="s">
        <v>513</v>
      </c>
      <c r="D1648" s="33"/>
      <c r="E1648" s="33" t="n">
        <v>55</v>
      </c>
      <c r="F1648" s="33" t="s">
        <v>2160</v>
      </c>
      <c r="G1648" s="33" t="s">
        <v>514</v>
      </c>
      <c r="H1648" s="33" t="n">
        <v>1</v>
      </c>
      <c r="I1648" s="33" t="n">
        <v>1</v>
      </c>
      <c r="J1648" s="33" t="n">
        <v>1</v>
      </c>
      <c r="K1648" s="32" t="n">
        <v>300</v>
      </c>
      <c r="L1648" s="33" t="str">
        <f aca="false">IF($B1648="","",IFERROR(INDEX('Code Mapping'!$D$5:$D$1753,MATCH($B1648,'Code Mapping'!$A$5:$A$1753,0)),"Unmapped"))</f>
        <v>Unmapped</v>
      </c>
      <c r="M1648" s="33" t="str">
        <f aca="false">IF($B1648="","",IFERROR(INDEX('Code Mapping'!$E$5:$E$1753,MATCH($B1648,'Code Mapping'!$A$5:$A$1753,0)),"Unmapped"))</f>
        <v>Unmapped</v>
      </c>
      <c r="N1648" s="33" t="str">
        <f aca="false">IF($F1648="","",$F1648)</f>
        <v>InflataCity</v>
      </c>
    </row>
    <row r="1649" customFormat="false" ht="15" hidden="false" customHeight="false" outlineLevel="0" collapsed="false">
      <c r="A1649" s="33" t="n">
        <v>1502</v>
      </c>
      <c r="B1649" s="33" t="s">
        <v>737</v>
      </c>
      <c r="C1649" s="33" t="s">
        <v>513</v>
      </c>
      <c r="D1649" s="33"/>
      <c r="E1649" s="33" t="n">
        <v>55</v>
      </c>
      <c r="F1649" s="33" t="s">
        <v>2160</v>
      </c>
      <c r="G1649" s="33" t="s">
        <v>514</v>
      </c>
      <c r="H1649" s="33" t="n">
        <v>1</v>
      </c>
      <c r="I1649" s="33" t="n">
        <v>1</v>
      </c>
      <c r="J1649" s="33" t="n">
        <v>1</v>
      </c>
      <c r="K1649" s="32" t="n">
        <v>300</v>
      </c>
      <c r="L1649" s="33" t="str">
        <f aca="false">IF($B1649="","",IFERROR(INDEX('Code Mapping'!$D$5:$D$1753,MATCH($B1649,'Code Mapping'!$A$5:$A$1753,0)),"Unmapped"))</f>
        <v>Unmapped</v>
      </c>
      <c r="M1649" s="33" t="str">
        <f aca="false">IF($B1649="","",IFERROR(INDEX('Code Mapping'!$E$5:$E$1753,MATCH($B1649,'Code Mapping'!$A$5:$A$1753,0)),"Unmapped"))</f>
        <v>Unmapped</v>
      </c>
      <c r="N1649" s="33" t="str">
        <f aca="false">IF($F1649="","",$F1649)</f>
        <v>InflataCity</v>
      </c>
    </row>
    <row r="1650" customFormat="false" ht="15" hidden="false" customHeight="false" outlineLevel="0" collapsed="false">
      <c r="A1650" s="33" t="n">
        <v>1443</v>
      </c>
      <c r="B1650" s="33" t="s">
        <v>738</v>
      </c>
      <c r="C1650" s="33" t="s">
        <v>513</v>
      </c>
      <c r="D1650" s="33"/>
      <c r="E1650" s="33" t="n">
        <v>55</v>
      </c>
      <c r="F1650" s="33" t="s">
        <v>2160</v>
      </c>
      <c r="G1650" s="33" t="s">
        <v>514</v>
      </c>
      <c r="H1650" s="33" t="n">
        <v>1</v>
      </c>
      <c r="I1650" s="33" t="n">
        <v>1</v>
      </c>
      <c r="J1650" s="33" t="n">
        <v>1</v>
      </c>
      <c r="K1650" s="32" t="n">
        <v>300</v>
      </c>
      <c r="L1650" s="33" t="str">
        <f aca="false">IF($B1650="","",IFERROR(INDEX('Code Mapping'!$D$5:$D$1753,MATCH($B1650,'Code Mapping'!$A$5:$A$1753,0)),"Unmapped"))</f>
        <v>Unmapped</v>
      </c>
      <c r="M1650" s="33" t="str">
        <f aca="false">IF($B1650="","",IFERROR(INDEX('Code Mapping'!$E$5:$E$1753,MATCH($B1650,'Code Mapping'!$A$5:$A$1753,0)),"Unmapped"))</f>
        <v>Unmapped</v>
      </c>
      <c r="N1650" s="33" t="str">
        <f aca="false">IF($F1650="","",$F1650)</f>
        <v>InflataCity</v>
      </c>
    </row>
    <row r="1651" customFormat="false" ht="15" hidden="false" customHeight="false" outlineLevel="0" collapsed="false">
      <c r="A1651" s="33" t="n">
        <v>1946</v>
      </c>
      <c r="B1651" s="33" t="s">
        <v>740</v>
      </c>
      <c r="C1651" s="33" t="s">
        <v>511</v>
      </c>
      <c r="D1651" s="33"/>
      <c r="E1651" s="33" t="n">
        <v>55</v>
      </c>
      <c r="F1651" s="33" t="s">
        <v>2160</v>
      </c>
      <c r="G1651" s="33" t="s">
        <v>514</v>
      </c>
      <c r="H1651" s="33" t="n">
        <v>1</v>
      </c>
      <c r="I1651" s="33" t="n">
        <v>1</v>
      </c>
      <c r="J1651" s="33" t="n">
        <v>1</v>
      </c>
      <c r="K1651" s="32" t="n">
        <v>75</v>
      </c>
      <c r="L1651" s="33" t="str">
        <f aca="false">IF($B1651="","",IFERROR(INDEX('Code Mapping'!$D$5:$D$1753,MATCH($B1651,'Code Mapping'!$A$5:$A$1753,0)),"Unmapped"))</f>
        <v>Unmapped</v>
      </c>
      <c r="M1651" s="33" t="str">
        <f aca="false">IF($B1651="","",IFERROR(INDEX('Code Mapping'!$E$5:$E$1753,MATCH($B1651,'Code Mapping'!$A$5:$A$1753,0)),"Unmapped"))</f>
        <v>Unmapped</v>
      </c>
      <c r="N1651" s="33" t="str">
        <f aca="false">IF($F1651="","",$F1651)</f>
        <v>InflataCity</v>
      </c>
    </row>
    <row r="1652" customFormat="false" ht="15" hidden="false" customHeight="false" outlineLevel="0" collapsed="false">
      <c r="A1652" s="33" t="n">
        <v>1450</v>
      </c>
      <c r="B1652" s="33" t="s">
        <v>743</v>
      </c>
      <c r="C1652" s="33" t="s">
        <v>513</v>
      </c>
      <c r="D1652" s="33"/>
      <c r="E1652" s="33" t="n">
        <v>55</v>
      </c>
      <c r="F1652" s="33" t="s">
        <v>2160</v>
      </c>
      <c r="G1652" s="33" t="s">
        <v>514</v>
      </c>
      <c r="H1652" s="33" t="n">
        <v>1</v>
      </c>
      <c r="I1652" s="33" t="n">
        <v>1</v>
      </c>
      <c r="J1652" s="33" t="n">
        <v>1</v>
      </c>
      <c r="K1652" s="32" t="n">
        <v>300</v>
      </c>
      <c r="L1652" s="33" t="str">
        <f aca="false">IF($B1652="","",IFERROR(INDEX('Code Mapping'!$D$5:$D$1753,MATCH($B1652,'Code Mapping'!$A$5:$A$1753,0)),"Unmapped"))</f>
        <v>Unmapped</v>
      </c>
      <c r="M1652" s="33" t="str">
        <f aca="false">IF($B1652="","",IFERROR(INDEX('Code Mapping'!$E$5:$E$1753,MATCH($B1652,'Code Mapping'!$A$5:$A$1753,0)),"Unmapped"))</f>
        <v>Unmapped</v>
      </c>
      <c r="N1652" s="33" t="str">
        <f aca="false">IF($F1652="","",$F1652)</f>
        <v>InflataCity</v>
      </c>
    </row>
    <row r="1653" customFormat="false" ht="15" hidden="false" customHeight="false" outlineLevel="0" collapsed="false">
      <c r="A1653" s="33" t="n">
        <v>1856</v>
      </c>
      <c r="B1653" s="33" t="s">
        <v>748</v>
      </c>
      <c r="C1653" s="33" t="s">
        <v>511</v>
      </c>
      <c r="D1653" s="33"/>
      <c r="E1653" s="33" t="n">
        <v>55</v>
      </c>
      <c r="F1653" s="33" t="s">
        <v>2160</v>
      </c>
      <c r="G1653" s="33" t="s">
        <v>514</v>
      </c>
      <c r="H1653" s="33" t="n">
        <v>1</v>
      </c>
      <c r="I1653" s="33" t="n">
        <v>1</v>
      </c>
      <c r="J1653" s="33" t="n">
        <v>1</v>
      </c>
      <c r="K1653" s="32" t="n">
        <v>75</v>
      </c>
      <c r="L1653" s="33" t="str">
        <f aca="false">IF($B1653="","",IFERROR(INDEX('Code Mapping'!$D$5:$D$1753,MATCH($B1653,'Code Mapping'!$A$5:$A$1753,0)),"Unmapped"))</f>
        <v>Unmapped</v>
      </c>
      <c r="M1653" s="33" t="str">
        <f aca="false">IF($B1653="","",IFERROR(INDEX('Code Mapping'!$E$5:$E$1753,MATCH($B1653,'Code Mapping'!$A$5:$A$1753,0)),"Unmapped"))</f>
        <v>Unmapped</v>
      </c>
      <c r="N1653" s="33" t="str">
        <f aca="false">IF($F1653="","",$F1653)</f>
        <v>InflataCity</v>
      </c>
    </row>
    <row r="1654" customFormat="false" ht="15" hidden="false" customHeight="false" outlineLevel="0" collapsed="false">
      <c r="A1654" s="33" t="n">
        <v>1449</v>
      </c>
      <c r="B1654" s="33" t="s">
        <v>751</v>
      </c>
      <c r="C1654" s="33" t="s">
        <v>513</v>
      </c>
      <c r="D1654" s="33"/>
      <c r="E1654" s="33" t="n">
        <v>55</v>
      </c>
      <c r="F1654" s="33" t="s">
        <v>2160</v>
      </c>
      <c r="G1654" s="33" t="s">
        <v>514</v>
      </c>
      <c r="H1654" s="33" t="n">
        <v>1</v>
      </c>
      <c r="I1654" s="33" t="n">
        <v>1</v>
      </c>
      <c r="J1654" s="33" t="n">
        <v>1</v>
      </c>
      <c r="K1654" s="32" t="n">
        <v>300</v>
      </c>
      <c r="L1654" s="33" t="str">
        <f aca="false">IF($B1654="","",IFERROR(INDEX('Code Mapping'!$D$5:$D$1753,MATCH($B1654,'Code Mapping'!$A$5:$A$1753,0)),"Unmapped"))</f>
        <v>Unmapped</v>
      </c>
      <c r="M1654" s="33" t="str">
        <f aca="false">IF($B1654="","",IFERROR(INDEX('Code Mapping'!$E$5:$E$1753,MATCH($B1654,'Code Mapping'!$A$5:$A$1753,0)),"Unmapped"))</f>
        <v>Unmapped</v>
      </c>
      <c r="N1654" s="33" t="str">
        <f aca="false">IF($F1654="","",$F1654)</f>
        <v>InflataCity</v>
      </c>
    </row>
    <row r="1655" customFormat="false" ht="15" hidden="false" customHeight="false" outlineLevel="0" collapsed="false">
      <c r="A1655" s="33" t="n">
        <v>1956</v>
      </c>
      <c r="B1655" s="33" t="s">
        <v>766</v>
      </c>
      <c r="C1655" s="33" t="s">
        <v>511</v>
      </c>
      <c r="D1655" s="33"/>
      <c r="E1655" s="33" t="n">
        <v>55</v>
      </c>
      <c r="F1655" s="33" t="s">
        <v>2160</v>
      </c>
      <c r="G1655" s="33" t="s">
        <v>514</v>
      </c>
      <c r="H1655" s="33" t="n">
        <v>1</v>
      </c>
      <c r="I1655" s="33" t="n">
        <v>3</v>
      </c>
      <c r="J1655" s="33" t="n">
        <v>3</v>
      </c>
      <c r="K1655" s="32" t="n">
        <v>225</v>
      </c>
      <c r="L1655" s="33" t="str">
        <f aca="false">IF($B1655="","",IFERROR(INDEX('Code Mapping'!$D$5:$D$1753,MATCH($B1655,'Code Mapping'!$A$5:$A$1753,0)),"Unmapped"))</f>
        <v>Unmapped</v>
      </c>
      <c r="M1655" s="33" t="str">
        <f aca="false">IF($B1655="","",IFERROR(INDEX('Code Mapping'!$E$5:$E$1753,MATCH($B1655,'Code Mapping'!$A$5:$A$1753,0)),"Unmapped"))</f>
        <v>Unmapped</v>
      </c>
      <c r="N1655" s="33" t="str">
        <f aca="false">IF($F1655="","",$F1655)</f>
        <v>InflataCity</v>
      </c>
    </row>
    <row r="1656" customFormat="false" ht="15" hidden="false" customHeight="false" outlineLevel="0" collapsed="false">
      <c r="A1656" s="33" t="n">
        <v>1835</v>
      </c>
      <c r="B1656" s="33" t="s">
        <v>754</v>
      </c>
      <c r="C1656" s="33" t="s">
        <v>511</v>
      </c>
      <c r="D1656" s="33"/>
      <c r="E1656" s="33" t="n">
        <v>55</v>
      </c>
      <c r="F1656" s="33" t="s">
        <v>2160</v>
      </c>
      <c r="G1656" s="33" t="s">
        <v>514</v>
      </c>
      <c r="H1656" s="33" t="n">
        <v>1</v>
      </c>
      <c r="I1656" s="33" t="n">
        <v>1</v>
      </c>
      <c r="J1656" s="33" t="n">
        <v>1</v>
      </c>
      <c r="K1656" s="32" t="n">
        <v>75</v>
      </c>
      <c r="L1656" s="33" t="str">
        <f aca="false">IF($B1656="","",IFERROR(INDEX('Code Mapping'!$D$5:$D$1753,MATCH($B1656,'Code Mapping'!$A$5:$A$1753,0)),"Unmapped"))</f>
        <v>Unmapped</v>
      </c>
      <c r="M1656" s="33" t="str">
        <f aca="false">IF($B1656="","",IFERROR(INDEX('Code Mapping'!$E$5:$E$1753,MATCH($B1656,'Code Mapping'!$A$5:$A$1753,0)),"Unmapped"))</f>
        <v>Unmapped</v>
      </c>
      <c r="N1656" s="33" t="str">
        <f aca="false">IF($F1656="","",$F1656)</f>
        <v>InflataCity</v>
      </c>
    </row>
    <row r="1657" customFormat="false" ht="15" hidden="false" customHeight="false" outlineLevel="0" collapsed="false">
      <c r="A1657" s="33" t="n">
        <v>1854</v>
      </c>
      <c r="B1657" s="33" t="s">
        <v>755</v>
      </c>
      <c r="C1657" s="33" t="s">
        <v>511</v>
      </c>
      <c r="D1657" s="33"/>
      <c r="E1657" s="33" t="n">
        <v>55</v>
      </c>
      <c r="F1657" s="33" t="s">
        <v>2160</v>
      </c>
      <c r="G1657" s="33" t="s">
        <v>514</v>
      </c>
      <c r="H1657" s="33" t="n">
        <v>1</v>
      </c>
      <c r="I1657" s="33" t="n">
        <v>1</v>
      </c>
      <c r="J1657" s="33" t="n">
        <v>1</v>
      </c>
      <c r="K1657" s="32" t="n">
        <v>75</v>
      </c>
      <c r="L1657" s="33" t="str">
        <f aca="false">IF($B1657="","",IFERROR(INDEX('Code Mapping'!$D$5:$D$1753,MATCH($B1657,'Code Mapping'!$A$5:$A$1753,0)),"Unmapped"))</f>
        <v>Unmapped</v>
      </c>
      <c r="M1657" s="33" t="str">
        <f aca="false">IF($B1657="","",IFERROR(INDEX('Code Mapping'!$E$5:$E$1753,MATCH($B1657,'Code Mapping'!$A$5:$A$1753,0)),"Unmapped"))</f>
        <v>Unmapped</v>
      </c>
      <c r="N1657" s="33" t="str">
        <f aca="false">IF($F1657="","",$F1657)</f>
        <v>InflataCity</v>
      </c>
    </row>
    <row r="1658" customFormat="false" ht="15" hidden="false" customHeight="false" outlineLevel="0" collapsed="false">
      <c r="A1658" s="33" t="n">
        <v>1938</v>
      </c>
      <c r="B1658" s="33" t="s">
        <v>757</v>
      </c>
      <c r="C1658" s="33" t="s">
        <v>511</v>
      </c>
      <c r="D1658" s="33"/>
      <c r="E1658" s="33" t="n">
        <v>55</v>
      </c>
      <c r="F1658" s="33" t="s">
        <v>2160</v>
      </c>
      <c r="G1658" s="33" t="s">
        <v>514</v>
      </c>
      <c r="H1658" s="33" t="n">
        <v>1</v>
      </c>
      <c r="I1658" s="33" t="n">
        <v>1</v>
      </c>
      <c r="J1658" s="33" t="n">
        <v>1</v>
      </c>
      <c r="K1658" s="32" t="n">
        <v>75</v>
      </c>
      <c r="L1658" s="33" t="str">
        <f aca="false">IF($B1658="","",IFERROR(INDEX('Code Mapping'!$D$5:$D$1753,MATCH($B1658,'Code Mapping'!$A$5:$A$1753,0)),"Unmapped"))</f>
        <v>Unmapped</v>
      </c>
      <c r="M1658" s="33" t="str">
        <f aca="false">IF($B1658="","",IFERROR(INDEX('Code Mapping'!$E$5:$E$1753,MATCH($B1658,'Code Mapping'!$A$5:$A$1753,0)),"Unmapped"))</f>
        <v>Unmapped</v>
      </c>
      <c r="N1658" s="33" t="str">
        <f aca="false">IF($F1658="","",$F1658)</f>
        <v>InflataCity</v>
      </c>
    </row>
    <row r="1659" customFormat="false" ht="15" hidden="false" customHeight="false" outlineLevel="0" collapsed="false">
      <c r="A1659" s="33" t="n">
        <v>1505</v>
      </c>
      <c r="B1659" s="33" t="s">
        <v>758</v>
      </c>
      <c r="C1659" s="33" t="s">
        <v>513</v>
      </c>
      <c r="D1659" s="33"/>
      <c r="E1659" s="33" t="n">
        <v>55</v>
      </c>
      <c r="F1659" s="33" t="s">
        <v>2160</v>
      </c>
      <c r="G1659" s="33" t="s">
        <v>514</v>
      </c>
      <c r="H1659" s="33" t="n">
        <v>1</v>
      </c>
      <c r="I1659" s="33" t="n">
        <v>1</v>
      </c>
      <c r="J1659" s="33" t="n">
        <v>1</v>
      </c>
      <c r="K1659" s="32" t="n">
        <v>300</v>
      </c>
      <c r="L1659" s="33" t="str">
        <f aca="false">IF($B1659="","",IFERROR(INDEX('Code Mapping'!$D$5:$D$1753,MATCH($B1659,'Code Mapping'!$A$5:$A$1753,0)),"Unmapped"))</f>
        <v>Unmapped</v>
      </c>
      <c r="M1659" s="33" t="str">
        <f aca="false">IF($B1659="","",IFERROR(INDEX('Code Mapping'!$E$5:$E$1753,MATCH($B1659,'Code Mapping'!$A$5:$A$1753,0)),"Unmapped"))</f>
        <v>Unmapped</v>
      </c>
      <c r="N1659" s="33" t="str">
        <f aca="false">IF($F1659="","",$F1659)</f>
        <v>InflataCity</v>
      </c>
    </row>
    <row r="1660" customFormat="false" ht="15" hidden="false" customHeight="false" outlineLevel="0" collapsed="false">
      <c r="A1660" s="33" t="n">
        <v>1488</v>
      </c>
      <c r="B1660" s="33" t="s">
        <v>759</v>
      </c>
      <c r="C1660" s="33" t="s">
        <v>513</v>
      </c>
      <c r="D1660" s="33"/>
      <c r="E1660" s="33" t="n">
        <v>55</v>
      </c>
      <c r="F1660" s="33" t="s">
        <v>2160</v>
      </c>
      <c r="G1660" s="33" t="s">
        <v>514</v>
      </c>
      <c r="H1660" s="33" t="n">
        <v>1</v>
      </c>
      <c r="I1660" s="33" t="n">
        <v>1</v>
      </c>
      <c r="J1660" s="33" t="n">
        <v>1</v>
      </c>
      <c r="K1660" s="32" t="n">
        <v>300</v>
      </c>
      <c r="L1660" s="33" t="str">
        <f aca="false">IF($B1660="","",IFERROR(INDEX('Code Mapping'!$D$5:$D$1753,MATCH($B1660,'Code Mapping'!$A$5:$A$1753,0)),"Unmapped"))</f>
        <v>Unmapped</v>
      </c>
      <c r="M1660" s="33" t="str">
        <f aca="false">IF($B1660="","",IFERROR(INDEX('Code Mapping'!$E$5:$E$1753,MATCH($B1660,'Code Mapping'!$A$5:$A$1753,0)),"Unmapped"))</f>
        <v>Unmapped</v>
      </c>
      <c r="N1660" s="33" t="str">
        <f aca="false">IF($F1660="","",$F1660)</f>
        <v>InflataCity</v>
      </c>
    </row>
    <row r="1661" customFormat="false" ht="15" hidden="false" customHeight="false" outlineLevel="0" collapsed="false">
      <c r="A1661" s="33" t="n">
        <v>1859</v>
      </c>
      <c r="B1661" s="33" t="s">
        <v>760</v>
      </c>
      <c r="C1661" s="33" t="s">
        <v>511</v>
      </c>
      <c r="D1661" s="33"/>
      <c r="E1661" s="33" t="n">
        <v>55</v>
      </c>
      <c r="F1661" s="33" t="s">
        <v>2160</v>
      </c>
      <c r="G1661" s="33" t="s">
        <v>514</v>
      </c>
      <c r="H1661" s="33" t="n">
        <v>1</v>
      </c>
      <c r="I1661" s="33" t="n">
        <v>1</v>
      </c>
      <c r="J1661" s="33" t="n">
        <v>1</v>
      </c>
      <c r="K1661" s="32" t="n">
        <v>75</v>
      </c>
      <c r="L1661" s="33" t="str">
        <f aca="false">IF($B1661="","",IFERROR(INDEX('Code Mapping'!$D$5:$D$1753,MATCH($B1661,'Code Mapping'!$A$5:$A$1753,0)),"Unmapped"))</f>
        <v>Unmapped</v>
      </c>
      <c r="M1661" s="33" t="str">
        <f aca="false">IF($B1661="","",IFERROR(INDEX('Code Mapping'!$E$5:$E$1753,MATCH($B1661,'Code Mapping'!$A$5:$A$1753,0)),"Unmapped"))</f>
        <v>Unmapped</v>
      </c>
      <c r="N1661" s="33" t="str">
        <f aca="false">IF($F1661="","",$F1661)</f>
        <v>InflataCity</v>
      </c>
    </row>
    <row r="1662" customFormat="false" ht="15" hidden="false" customHeight="false" outlineLevel="0" collapsed="false">
      <c r="A1662" s="33" t="n">
        <v>1579</v>
      </c>
      <c r="B1662" s="33" t="s">
        <v>761</v>
      </c>
      <c r="C1662" s="33" t="s">
        <v>513</v>
      </c>
      <c r="D1662" s="33"/>
      <c r="E1662" s="33" t="n">
        <v>55</v>
      </c>
      <c r="F1662" s="33" t="s">
        <v>2160</v>
      </c>
      <c r="G1662" s="33" t="s">
        <v>514</v>
      </c>
      <c r="H1662" s="33" t="n">
        <v>1</v>
      </c>
      <c r="I1662" s="33" t="n">
        <v>1</v>
      </c>
      <c r="J1662" s="33" t="n">
        <v>1</v>
      </c>
      <c r="K1662" s="32" t="n">
        <v>300</v>
      </c>
      <c r="L1662" s="33" t="str">
        <f aca="false">IF($B1662="","",IFERROR(INDEX('Code Mapping'!$D$5:$D$1753,MATCH($B1662,'Code Mapping'!$A$5:$A$1753,0)),"Unmapped"))</f>
        <v>Unmapped</v>
      </c>
      <c r="M1662" s="33" t="str">
        <f aca="false">IF($B1662="","",IFERROR(INDEX('Code Mapping'!$E$5:$E$1753,MATCH($B1662,'Code Mapping'!$A$5:$A$1753,0)),"Unmapped"))</f>
        <v>Unmapped</v>
      </c>
      <c r="N1662" s="33" t="str">
        <f aca="false">IF($F1662="","",$F1662)</f>
        <v>InflataCity</v>
      </c>
    </row>
    <row r="1663" customFormat="false" ht="15" hidden="false" customHeight="false" outlineLevel="0" collapsed="false">
      <c r="A1663" s="33" t="n">
        <v>1962</v>
      </c>
      <c r="B1663" s="33" t="s">
        <v>764</v>
      </c>
      <c r="C1663" s="33" t="s">
        <v>511</v>
      </c>
      <c r="D1663" s="33"/>
      <c r="E1663" s="33" t="n">
        <v>55</v>
      </c>
      <c r="F1663" s="33" t="s">
        <v>2160</v>
      </c>
      <c r="G1663" s="33" t="s">
        <v>514</v>
      </c>
      <c r="H1663" s="33" t="n">
        <v>1</v>
      </c>
      <c r="I1663" s="33" t="n">
        <v>1</v>
      </c>
      <c r="J1663" s="33" t="n">
        <v>1</v>
      </c>
      <c r="K1663" s="32" t="n">
        <v>75</v>
      </c>
      <c r="L1663" s="33" t="str">
        <f aca="false">IF($B1663="","",IFERROR(INDEX('Code Mapping'!$D$5:$D$1753,MATCH($B1663,'Code Mapping'!$A$5:$A$1753,0)),"Unmapped"))</f>
        <v>Unmapped</v>
      </c>
      <c r="M1663" s="33" t="str">
        <f aca="false">IF($B1663="","",IFERROR(INDEX('Code Mapping'!$E$5:$E$1753,MATCH($B1663,'Code Mapping'!$A$5:$A$1753,0)),"Unmapped"))</f>
        <v>Unmapped</v>
      </c>
      <c r="N1663" s="33" t="str">
        <f aca="false">IF($F1663="","",$F1663)</f>
        <v>InflataCity</v>
      </c>
    </row>
    <row r="1664" customFormat="false" ht="15" hidden="false" customHeight="false" outlineLevel="0" collapsed="false">
      <c r="A1664" s="33" t="n">
        <v>2255</v>
      </c>
      <c r="B1664" s="33" t="s">
        <v>845</v>
      </c>
      <c r="C1664" s="33" t="s">
        <v>827</v>
      </c>
      <c r="D1664" s="33"/>
      <c r="E1664" s="33" t="n">
        <v>55</v>
      </c>
      <c r="F1664" s="33" t="s">
        <v>2160</v>
      </c>
      <c r="G1664" s="33" t="s">
        <v>514</v>
      </c>
      <c r="H1664" s="33" t="n">
        <v>1</v>
      </c>
      <c r="I1664" s="33" t="n">
        <v>1</v>
      </c>
      <c r="J1664" s="33" t="n">
        <v>1</v>
      </c>
      <c r="K1664" s="32" t="n">
        <v>75</v>
      </c>
      <c r="L1664" s="33" t="str">
        <f aca="false">IF($B1664="","",IFERROR(INDEX('Code Mapping'!$D$5:$D$1753,MATCH($B1664,'Code Mapping'!$A$5:$A$1753,0)),"Unmapped"))</f>
        <v>Unmapped</v>
      </c>
      <c r="M1664" s="33" t="str">
        <f aca="false">IF($B1664="","",IFERROR(INDEX('Code Mapping'!$E$5:$E$1753,MATCH($B1664,'Code Mapping'!$A$5:$A$1753,0)),"Unmapped"))</f>
        <v>Unmapped</v>
      </c>
      <c r="N1664" s="33" t="str">
        <f aca="false">IF($F1664="","",$F1664)</f>
        <v>InflataCity</v>
      </c>
    </row>
    <row r="1665" customFormat="false" ht="15" hidden="false" customHeight="false" outlineLevel="0" collapsed="false">
      <c r="A1665" s="33" t="n">
        <v>1139</v>
      </c>
      <c r="B1665" s="33" t="s">
        <v>2108</v>
      </c>
      <c r="C1665" s="33" t="s">
        <v>2109</v>
      </c>
      <c r="D1665" s="33"/>
      <c r="E1665" s="33" t="n">
        <v>41</v>
      </c>
      <c r="F1665" s="33" t="s">
        <v>36</v>
      </c>
      <c r="G1665" s="33" t="s">
        <v>514</v>
      </c>
      <c r="H1665" s="33" t="n">
        <v>1</v>
      </c>
      <c r="I1665" s="33" t="n">
        <v>1</v>
      </c>
      <c r="J1665" s="33" t="n">
        <v>1</v>
      </c>
      <c r="K1665" s="32" t="n">
        <v>34</v>
      </c>
      <c r="L1665" s="33" t="str">
        <f aca="false">IF($B1665="","",IFERROR(INDEX('Code Mapping'!$D$5:$D$1753,MATCH($B1665,'Code Mapping'!$A$5:$A$1753,0)),"Unmapped"))</f>
        <v>Al Jazeera Imtiyazat</v>
      </c>
      <c r="M1665" s="33" t="str">
        <f aca="false">IF($B1665="","",IFERROR(INDEX('Code Mapping'!$E$5:$E$1753,MATCH($B1665,'Code Mapping'!$A$5:$A$1753,0)),"Unmapped"))</f>
        <v>Corporate discount</v>
      </c>
      <c r="N1665" s="33" t="str">
        <f aca="false">IF($F1665="","",$F1665)</f>
        <v>InflataPark</v>
      </c>
    </row>
    <row r="1666" customFormat="false" ht="15" hidden="false" customHeight="false" outlineLevel="0" collapsed="false">
      <c r="A1666" s="33" t="n">
        <v>2254</v>
      </c>
      <c r="B1666" s="33" t="s">
        <v>864</v>
      </c>
      <c r="C1666" s="33" t="s">
        <v>827</v>
      </c>
      <c r="D1666" s="33"/>
      <c r="E1666" s="33" t="n">
        <v>55</v>
      </c>
      <c r="F1666" s="33" t="s">
        <v>2160</v>
      </c>
      <c r="G1666" s="33" t="s">
        <v>514</v>
      </c>
      <c r="H1666" s="33" t="n">
        <v>1</v>
      </c>
      <c r="I1666" s="33" t="n">
        <v>1</v>
      </c>
      <c r="J1666" s="33" t="n">
        <v>1</v>
      </c>
      <c r="K1666" s="32" t="n">
        <v>75</v>
      </c>
      <c r="L1666" s="33" t="str">
        <f aca="false">IF($B1666="","",IFERROR(INDEX('Code Mapping'!$D$5:$D$1753,MATCH($B1666,'Code Mapping'!$A$5:$A$1753,0)),"Unmapped"))</f>
        <v>Unmapped</v>
      </c>
      <c r="M1666" s="33" t="str">
        <f aca="false">IF($B1666="","",IFERROR(INDEX('Code Mapping'!$E$5:$E$1753,MATCH($B1666,'Code Mapping'!$A$5:$A$1753,0)),"Unmapped"))</f>
        <v>Unmapped</v>
      </c>
      <c r="N1666" s="33" t="str">
        <f aca="false">IF($F1666="","",$F1666)</f>
        <v>InflataCity</v>
      </c>
    </row>
    <row r="1667" customFormat="false" ht="15" hidden="false" customHeight="false" outlineLevel="0" collapsed="false">
      <c r="A1667" s="33" t="n">
        <v>2363</v>
      </c>
      <c r="B1667" s="33" t="s">
        <v>1022</v>
      </c>
      <c r="C1667" s="33" t="s">
        <v>823</v>
      </c>
      <c r="D1667" s="33"/>
      <c r="E1667" s="33" t="n">
        <v>55</v>
      </c>
      <c r="F1667" s="33" t="s">
        <v>2160</v>
      </c>
      <c r="G1667" s="33" t="s">
        <v>514</v>
      </c>
      <c r="H1667" s="33" t="n">
        <v>1</v>
      </c>
      <c r="I1667" s="33" t="n">
        <v>1</v>
      </c>
      <c r="J1667" s="33" t="n">
        <v>1</v>
      </c>
      <c r="K1667" s="32" t="n">
        <v>300</v>
      </c>
      <c r="L1667" s="33" t="str">
        <f aca="false">IF($B1667="","",IFERROR(INDEX('Code Mapping'!$D$5:$D$1753,MATCH($B1667,'Code Mapping'!$A$5:$A$1753,0)),"Unmapped"))</f>
        <v>Unmapped</v>
      </c>
      <c r="M1667" s="33" t="str">
        <f aca="false">IF($B1667="","",IFERROR(INDEX('Code Mapping'!$E$5:$E$1753,MATCH($B1667,'Code Mapping'!$A$5:$A$1753,0)),"Unmapped"))</f>
        <v>Unmapped</v>
      </c>
      <c r="N1667" s="33" t="str">
        <f aca="false">IF($F1667="","",$F1667)</f>
        <v>InflataCity</v>
      </c>
    </row>
    <row r="1668" customFormat="false" ht="15" hidden="false" customHeight="false" outlineLevel="0" collapsed="false">
      <c r="A1668" s="33" t="n">
        <v>2388</v>
      </c>
      <c r="B1668" s="33" t="s">
        <v>978</v>
      </c>
      <c r="C1668" s="33" t="s">
        <v>823</v>
      </c>
      <c r="D1668" s="33"/>
      <c r="E1668" s="33" t="n">
        <v>55</v>
      </c>
      <c r="F1668" s="33" t="s">
        <v>2160</v>
      </c>
      <c r="G1668" s="33" t="s">
        <v>514</v>
      </c>
      <c r="H1668" s="33" t="n">
        <v>1</v>
      </c>
      <c r="I1668" s="33" t="n">
        <v>1</v>
      </c>
      <c r="J1668" s="33" t="n">
        <v>1</v>
      </c>
      <c r="K1668" s="32" t="n">
        <v>300</v>
      </c>
      <c r="L1668" s="33" t="str">
        <f aca="false">IF($B1668="","",IFERROR(INDEX('Code Mapping'!$D$5:$D$1753,MATCH($B1668,'Code Mapping'!$A$5:$A$1753,0)),"Unmapped"))</f>
        <v>Unmapped</v>
      </c>
      <c r="M1668" s="33" t="str">
        <f aca="false">IF($B1668="","",IFERROR(INDEX('Code Mapping'!$E$5:$E$1753,MATCH($B1668,'Code Mapping'!$A$5:$A$1753,0)),"Unmapped"))</f>
        <v>Unmapped</v>
      </c>
      <c r="N1668" s="33" t="str">
        <f aca="false">IF($F1668="","",$F1668)</f>
        <v>InflataCity</v>
      </c>
    </row>
    <row r="1669" customFormat="false" ht="15" hidden="false" customHeight="false" outlineLevel="0" collapsed="false">
      <c r="A1669" s="33" t="n">
        <v>2364</v>
      </c>
      <c r="B1669" s="33" t="s">
        <v>987</v>
      </c>
      <c r="C1669" s="33" t="s">
        <v>823</v>
      </c>
      <c r="D1669" s="33"/>
      <c r="E1669" s="33" t="n">
        <v>55</v>
      </c>
      <c r="F1669" s="33" t="s">
        <v>2160</v>
      </c>
      <c r="G1669" s="33" t="s">
        <v>514</v>
      </c>
      <c r="H1669" s="33" t="n">
        <v>1</v>
      </c>
      <c r="I1669" s="33" t="n">
        <v>1</v>
      </c>
      <c r="J1669" s="33" t="n">
        <v>1</v>
      </c>
      <c r="K1669" s="32" t="n">
        <v>300</v>
      </c>
      <c r="L1669" s="33" t="str">
        <f aca="false">IF($B1669="","",IFERROR(INDEX('Code Mapping'!$D$5:$D$1753,MATCH($B1669,'Code Mapping'!$A$5:$A$1753,0)),"Unmapped"))</f>
        <v>Unmapped</v>
      </c>
      <c r="M1669" s="33" t="str">
        <f aca="false">IF($B1669="","",IFERROR(INDEX('Code Mapping'!$E$5:$E$1753,MATCH($B1669,'Code Mapping'!$A$5:$A$1753,0)),"Unmapped"))</f>
        <v>Unmapped</v>
      </c>
      <c r="N1669" s="33" t="str">
        <f aca="false">IF($F1669="","",$F1669)</f>
        <v>InflataCity</v>
      </c>
    </row>
    <row r="1670" customFormat="false" ht="15" hidden="false" customHeight="false" outlineLevel="0" collapsed="false">
      <c r="A1670" s="33" t="n">
        <v>2348</v>
      </c>
      <c r="B1670" s="33" t="s">
        <v>992</v>
      </c>
      <c r="C1670" s="33" t="s">
        <v>823</v>
      </c>
      <c r="D1670" s="33"/>
      <c r="E1670" s="33" t="n">
        <v>55</v>
      </c>
      <c r="F1670" s="33" t="s">
        <v>2160</v>
      </c>
      <c r="G1670" s="33" t="s">
        <v>514</v>
      </c>
      <c r="H1670" s="33" t="n">
        <v>1</v>
      </c>
      <c r="I1670" s="33" t="n">
        <v>1</v>
      </c>
      <c r="J1670" s="33" t="n">
        <v>1</v>
      </c>
      <c r="K1670" s="32" t="n">
        <v>300</v>
      </c>
      <c r="L1670" s="33" t="str">
        <f aca="false">IF($B1670="","",IFERROR(INDEX('Code Mapping'!$D$5:$D$1753,MATCH($B1670,'Code Mapping'!$A$5:$A$1753,0)),"Unmapped"))</f>
        <v>Unmapped</v>
      </c>
      <c r="M1670" s="33" t="str">
        <f aca="false">IF($B1670="","",IFERROR(INDEX('Code Mapping'!$E$5:$E$1753,MATCH($B1670,'Code Mapping'!$A$5:$A$1753,0)),"Unmapped"))</f>
        <v>Unmapped</v>
      </c>
      <c r="N1670" s="33" t="str">
        <f aca="false">IF($F1670="","",$F1670)</f>
        <v>InflataCity</v>
      </c>
    </row>
    <row r="1671" customFormat="false" ht="15" hidden="false" customHeight="false" outlineLevel="0" collapsed="false">
      <c r="A1671" s="33" t="n">
        <v>2386</v>
      </c>
      <c r="B1671" s="33" t="s">
        <v>1000</v>
      </c>
      <c r="C1671" s="33" t="s">
        <v>823</v>
      </c>
      <c r="D1671" s="33"/>
      <c r="E1671" s="33" t="n">
        <v>55</v>
      </c>
      <c r="F1671" s="33" t="s">
        <v>2160</v>
      </c>
      <c r="G1671" s="33" t="s">
        <v>514</v>
      </c>
      <c r="H1671" s="33" t="n">
        <v>1</v>
      </c>
      <c r="I1671" s="33" t="n">
        <v>1</v>
      </c>
      <c r="J1671" s="33" t="n">
        <v>1</v>
      </c>
      <c r="K1671" s="32" t="n">
        <v>300</v>
      </c>
      <c r="L1671" s="33" t="str">
        <f aca="false">IF($B1671="","",IFERROR(INDEX('Code Mapping'!$D$5:$D$1753,MATCH($B1671,'Code Mapping'!$A$5:$A$1753,0)),"Unmapped"))</f>
        <v>Unmapped</v>
      </c>
      <c r="M1671" s="33" t="str">
        <f aca="false">IF($B1671="","",IFERROR(INDEX('Code Mapping'!$E$5:$E$1753,MATCH($B1671,'Code Mapping'!$A$5:$A$1753,0)),"Unmapped"))</f>
        <v>Unmapped</v>
      </c>
      <c r="N1671" s="33" t="str">
        <f aca="false">IF($F1671="","",$F1671)</f>
        <v>InflataCity</v>
      </c>
    </row>
    <row r="1672" customFormat="false" ht="15" hidden="false" customHeight="false" outlineLevel="0" collapsed="false">
      <c r="A1672" s="33" t="n">
        <v>2360</v>
      </c>
      <c r="B1672" s="33" t="s">
        <v>1005</v>
      </c>
      <c r="C1672" s="33" t="s">
        <v>823</v>
      </c>
      <c r="D1672" s="33"/>
      <c r="E1672" s="33" t="n">
        <v>55</v>
      </c>
      <c r="F1672" s="33" t="s">
        <v>2160</v>
      </c>
      <c r="G1672" s="33" t="s">
        <v>514</v>
      </c>
      <c r="H1672" s="33" t="n">
        <v>1</v>
      </c>
      <c r="I1672" s="33" t="n">
        <v>1</v>
      </c>
      <c r="J1672" s="33" t="n">
        <v>1</v>
      </c>
      <c r="K1672" s="32" t="n">
        <v>300</v>
      </c>
      <c r="L1672" s="33" t="str">
        <f aca="false">IF($B1672="","",IFERROR(INDEX('Code Mapping'!$D$5:$D$1753,MATCH($B1672,'Code Mapping'!$A$5:$A$1753,0)),"Unmapped"))</f>
        <v>Unmapped</v>
      </c>
      <c r="M1672" s="33" t="str">
        <f aca="false">IF($B1672="","",IFERROR(INDEX('Code Mapping'!$E$5:$E$1753,MATCH($B1672,'Code Mapping'!$A$5:$A$1753,0)),"Unmapped"))</f>
        <v>Unmapped</v>
      </c>
      <c r="N1672" s="33" t="str">
        <f aca="false">IF($F1672="","",$F1672)</f>
        <v>InflataCity</v>
      </c>
    </row>
    <row r="1673" customFormat="false" ht="15" hidden="false" customHeight="false" outlineLevel="0" collapsed="false">
      <c r="A1673" s="33" t="n">
        <v>2387</v>
      </c>
      <c r="B1673" s="33" t="s">
        <v>1007</v>
      </c>
      <c r="C1673" s="33" t="s">
        <v>823</v>
      </c>
      <c r="D1673" s="33"/>
      <c r="E1673" s="33" t="n">
        <v>55</v>
      </c>
      <c r="F1673" s="33" t="s">
        <v>2160</v>
      </c>
      <c r="G1673" s="33" t="s">
        <v>514</v>
      </c>
      <c r="H1673" s="33" t="n">
        <v>1</v>
      </c>
      <c r="I1673" s="33" t="n">
        <v>1</v>
      </c>
      <c r="J1673" s="33" t="n">
        <v>1</v>
      </c>
      <c r="K1673" s="32" t="n">
        <v>300</v>
      </c>
      <c r="L1673" s="33" t="str">
        <f aca="false">IF($B1673="","",IFERROR(INDEX('Code Mapping'!$D$5:$D$1753,MATCH($B1673,'Code Mapping'!$A$5:$A$1753,0)),"Unmapped"))</f>
        <v>Unmapped</v>
      </c>
      <c r="M1673" s="33" t="str">
        <f aca="false">IF($B1673="","",IFERROR(INDEX('Code Mapping'!$E$5:$E$1753,MATCH($B1673,'Code Mapping'!$A$5:$A$1753,0)),"Unmapped"))</f>
        <v>Unmapped</v>
      </c>
      <c r="N1673" s="33" t="str">
        <f aca="false">IF($F1673="","",$F1673)</f>
        <v>InflataCity</v>
      </c>
    </row>
    <row r="1674" customFormat="false" ht="15" hidden="false" customHeight="false" outlineLevel="0" collapsed="false">
      <c r="A1674" s="33" t="n">
        <v>2256</v>
      </c>
      <c r="B1674" s="33" t="s">
        <v>1012</v>
      </c>
      <c r="C1674" s="33" t="s">
        <v>827</v>
      </c>
      <c r="D1674" s="33"/>
      <c r="E1674" s="33" t="n">
        <v>55</v>
      </c>
      <c r="F1674" s="33" t="s">
        <v>2160</v>
      </c>
      <c r="G1674" s="33" t="s">
        <v>514</v>
      </c>
      <c r="H1674" s="33" t="n">
        <v>1</v>
      </c>
      <c r="I1674" s="33" t="n">
        <v>1</v>
      </c>
      <c r="J1674" s="33" t="n">
        <v>1</v>
      </c>
      <c r="K1674" s="32" t="n">
        <v>75</v>
      </c>
      <c r="L1674" s="33" t="str">
        <f aca="false">IF($B1674="","",IFERROR(INDEX('Code Mapping'!$D$5:$D$1753,MATCH($B1674,'Code Mapping'!$A$5:$A$1753,0)),"Unmapped"))</f>
        <v>Unmapped</v>
      </c>
      <c r="M1674" s="33" t="str">
        <f aca="false">IF($B1674="","",IFERROR(INDEX('Code Mapping'!$E$5:$E$1753,MATCH($B1674,'Code Mapping'!$A$5:$A$1753,0)),"Unmapped"))</f>
        <v>Unmapped</v>
      </c>
      <c r="N1674" s="33" t="str">
        <f aca="false">IF($F1674="","",$F1674)</f>
        <v>InflataCity</v>
      </c>
    </row>
    <row r="1675" customFormat="false" ht="15" hidden="false" customHeight="false" outlineLevel="0" collapsed="false">
      <c r="A1675" s="33" t="n">
        <v>2249</v>
      </c>
      <c r="B1675" s="33" t="s">
        <v>1018</v>
      </c>
      <c r="C1675" s="33" t="s">
        <v>827</v>
      </c>
      <c r="D1675" s="33"/>
      <c r="E1675" s="33" t="n">
        <v>55</v>
      </c>
      <c r="F1675" s="33" t="s">
        <v>2160</v>
      </c>
      <c r="G1675" s="33" t="s">
        <v>514</v>
      </c>
      <c r="H1675" s="33" t="n">
        <v>1</v>
      </c>
      <c r="I1675" s="33" t="n">
        <v>1</v>
      </c>
      <c r="J1675" s="33" t="n">
        <v>1</v>
      </c>
      <c r="K1675" s="32" t="n">
        <v>75</v>
      </c>
      <c r="L1675" s="33" t="str">
        <f aca="false">IF($B1675="","",IFERROR(INDEX('Code Mapping'!$D$5:$D$1753,MATCH($B1675,'Code Mapping'!$A$5:$A$1753,0)),"Unmapped"))</f>
        <v>Unmapped</v>
      </c>
      <c r="M1675" s="33" t="str">
        <f aca="false">IF($B1675="","",IFERROR(INDEX('Code Mapping'!$E$5:$E$1753,MATCH($B1675,'Code Mapping'!$A$5:$A$1753,0)),"Unmapped"))</f>
        <v>Unmapped</v>
      </c>
      <c r="N1675" s="33" t="str">
        <f aca="false">IF($F1675="","",$F1675)</f>
        <v>InflataCity</v>
      </c>
    </row>
    <row r="1676" customFormat="false" ht="15" hidden="false" customHeight="false" outlineLevel="0" collapsed="false">
      <c r="A1676" s="33" t="n">
        <v>2043</v>
      </c>
      <c r="B1676" s="33" t="s">
        <v>1023</v>
      </c>
      <c r="C1676" s="33" t="s">
        <v>1024</v>
      </c>
      <c r="D1676" s="33"/>
      <c r="E1676" s="33" t="n">
        <v>55</v>
      </c>
      <c r="F1676" s="33" t="s">
        <v>2160</v>
      </c>
      <c r="G1676" s="33" t="s">
        <v>514</v>
      </c>
      <c r="H1676" s="33" t="n">
        <v>3</v>
      </c>
      <c r="I1676" s="33" t="n">
        <v>23</v>
      </c>
      <c r="J1676" s="33" t="n">
        <v>23</v>
      </c>
      <c r="K1676" s="32" t="n">
        <v>862.5</v>
      </c>
      <c r="L1676" s="33" t="str">
        <f aca="false">IF($B1676="","",IFERROR(INDEX('Code Mapping'!$D$5:$D$1753,MATCH($B1676,'Code Mapping'!$A$5:$A$1753,0)),"Unmapped"))</f>
        <v>Unmapped</v>
      </c>
      <c r="M1676" s="33" t="str">
        <f aca="false">IF($B1676="","",IFERROR(INDEX('Code Mapping'!$E$5:$E$1753,MATCH($B1676,'Code Mapping'!$A$5:$A$1753,0)),"Unmapped"))</f>
        <v>Unmapped</v>
      </c>
      <c r="N1676" s="33" t="str">
        <f aca="false">IF($F1676="","",$F1676)</f>
        <v>InflataCity</v>
      </c>
    </row>
    <row r="1677" customFormat="false" ht="15" hidden="false" customHeight="false" outlineLevel="0" collapsed="false">
      <c r="A1677" s="33" t="n">
        <v>2257</v>
      </c>
      <c r="B1677" s="33" t="s">
        <v>866</v>
      </c>
      <c r="C1677" s="33" t="s">
        <v>827</v>
      </c>
      <c r="D1677" s="33"/>
      <c r="E1677" s="33" t="n">
        <v>55</v>
      </c>
      <c r="F1677" s="33" t="s">
        <v>2160</v>
      </c>
      <c r="G1677" s="33" t="s">
        <v>514</v>
      </c>
      <c r="H1677" s="33" t="n">
        <v>1</v>
      </c>
      <c r="I1677" s="33" t="n">
        <v>1</v>
      </c>
      <c r="J1677" s="33" t="n">
        <v>1</v>
      </c>
      <c r="K1677" s="32" t="n">
        <v>75</v>
      </c>
      <c r="L1677" s="33" t="str">
        <f aca="false">IF($B1677="","",IFERROR(INDEX('Code Mapping'!$D$5:$D$1753,MATCH($B1677,'Code Mapping'!$A$5:$A$1753,0)),"Unmapped"))</f>
        <v>Unmapped</v>
      </c>
      <c r="M1677" s="33" t="str">
        <f aca="false">IF($B1677="","",IFERROR(INDEX('Code Mapping'!$E$5:$E$1753,MATCH($B1677,'Code Mapping'!$A$5:$A$1753,0)),"Unmapped"))</f>
        <v>Unmapped</v>
      </c>
      <c r="N1677" s="33" t="str">
        <f aca="false">IF($F1677="","",$F1677)</f>
        <v>InflataCity</v>
      </c>
    </row>
    <row r="1678" customFormat="false" ht="15" hidden="false" customHeight="false" outlineLevel="0" collapsed="false">
      <c r="A1678" s="33" t="n">
        <v>139</v>
      </c>
      <c r="B1678" s="33" t="s">
        <v>1093</v>
      </c>
      <c r="C1678" s="33"/>
      <c r="D1678" s="33"/>
      <c r="E1678" s="33" t="n">
        <v>41</v>
      </c>
      <c r="F1678" s="33" t="s">
        <v>36</v>
      </c>
      <c r="G1678" s="33" t="s">
        <v>514</v>
      </c>
      <c r="H1678" s="33" t="n">
        <v>2</v>
      </c>
      <c r="I1678" s="33" t="n">
        <v>4</v>
      </c>
      <c r="J1678" s="33" t="n">
        <v>4</v>
      </c>
      <c r="K1678" s="32" t="n">
        <v>13</v>
      </c>
      <c r="L1678" s="33" t="str">
        <f aca="false">IF($B1678="","",IFERROR(INDEX('Code Mapping'!$D$5:$D$1753,MATCH($B1678,'Code Mapping'!$A$5:$A$1753,0)),"Unmapped"))</f>
        <v>Unmapped</v>
      </c>
      <c r="M1678" s="33" t="str">
        <f aca="false">IF($B1678="","",IFERROR(INDEX('Code Mapping'!$E$5:$E$1753,MATCH($B1678,'Code Mapping'!$A$5:$A$1753,0)),"Unmapped"))</f>
        <v>Unmapped</v>
      </c>
      <c r="N1678" s="33" t="str">
        <f aca="false">IF($F1678="","",$F1678)</f>
        <v>InflataPark</v>
      </c>
    </row>
    <row r="1679" customFormat="false" ht="15" hidden="false" customHeight="false" outlineLevel="0" collapsed="false">
      <c r="A1679" s="33" t="n">
        <v>2648</v>
      </c>
      <c r="B1679" s="33" t="s">
        <v>1259</v>
      </c>
      <c r="C1679" s="33" t="s">
        <v>1260</v>
      </c>
      <c r="D1679" s="33"/>
      <c r="E1679" s="33" t="n">
        <v>55</v>
      </c>
      <c r="F1679" s="33" t="s">
        <v>2160</v>
      </c>
      <c r="G1679" s="33" t="s">
        <v>514</v>
      </c>
      <c r="H1679" s="33" t="n">
        <v>1</v>
      </c>
      <c r="I1679" s="33" t="n">
        <v>4</v>
      </c>
      <c r="J1679" s="33" t="n">
        <v>4</v>
      </c>
      <c r="K1679" s="32" t="n">
        <v>60</v>
      </c>
      <c r="L1679" s="33" t="str">
        <f aca="false">IF($B1679="","",IFERROR(INDEX('Code Mapping'!$D$5:$D$1753,MATCH($B1679,'Code Mapping'!$A$5:$A$1753,0)),"Unmapped"))</f>
        <v>Unmapped</v>
      </c>
      <c r="M1679" s="33" t="str">
        <f aca="false">IF($B1679="","",IFERROR(INDEX('Code Mapping'!$E$5:$E$1753,MATCH($B1679,'Code Mapping'!$A$5:$A$1753,0)),"Unmapped"))</f>
        <v>Unmapped</v>
      </c>
      <c r="N1679" s="33" t="str">
        <f aca="false">IF($F1679="","",$F1679)</f>
        <v>InflataCity</v>
      </c>
    </row>
    <row r="1680" customFormat="false" ht="15" hidden="false" customHeight="false" outlineLevel="0" collapsed="false">
      <c r="A1680" s="33" t="n">
        <v>2041</v>
      </c>
      <c r="B1680" s="33" t="s">
        <v>1400</v>
      </c>
      <c r="C1680" s="33" t="s">
        <v>1401</v>
      </c>
      <c r="D1680" s="33"/>
      <c r="E1680" s="33" t="n">
        <v>55</v>
      </c>
      <c r="F1680" s="33" t="s">
        <v>2160</v>
      </c>
      <c r="G1680" s="33" t="s">
        <v>514</v>
      </c>
      <c r="H1680" s="33" t="n">
        <v>68</v>
      </c>
      <c r="I1680" s="33" t="n">
        <v>166</v>
      </c>
      <c r="J1680" s="33" t="n">
        <v>166</v>
      </c>
      <c r="K1680" s="32" t="n">
        <v>4155</v>
      </c>
      <c r="L1680" s="33" t="str">
        <f aca="false">IF($B1680="","",IFERROR(INDEX('Code Mapping'!$D$5:$D$1753,MATCH($B1680,'Code Mapping'!$A$5:$A$1753,0)),"Unmapped"))</f>
        <v>Qatar Airways</v>
      </c>
      <c r="M1680" s="33" t="str">
        <f aca="false">IF($B1680="","",IFERROR(INDEX('Code Mapping'!$E$5:$E$1753,MATCH($B1680,'Code Mapping'!$A$5:$A$1753,0)),"Unmapped"))</f>
        <v>Corporate discount</v>
      </c>
      <c r="N1680" s="33" t="str">
        <f aca="false">IF($F1680="","",$F1680)</f>
        <v>InflataCity</v>
      </c>
    </row>
    <row r="1681" customFormat="false" ht="15" hidden="false" customHeight="false" outlineLevel="0" collapsed="false">
      <c r="A1681" s="33" t="n">
        <v>1140</v>
      </c>
      <c r="B1681" s="33" t="s">
        <v>1408</v>
      </c>
      <c r="C1681" s="33" t="s">
        <v>1409</v>
      </c>
      <c r="D1681" s="33"/>
      <c r="E1681" s="33" t="n">
        <v>55</v>
      </c>
      <c r="F1681" s="33" t="s">
        <v>2160</v>
      </c>
      <c r="G1681" s="33" t="s">
        <v>514</v>
      </c>
      <c r="H1681" s="33" t="n">
        <v>40</v>
      </c>
      <c r="I1681" s="33" t="n">
        <v>109</v>
      </c>
      <c r="J1681" s="33" t="n">
        <v>109</v>
      </c>
      <c r="K1681" s="32" t="n">
        <v>872</v>
      </c>
      <c r="L1681" s="33" t="str">
        <f aca="false">IF($B1681="","",IFERROR(INDEX('Code Mapping'!$D$5:$D$1753,MATCH($B1681,'Code Mapping'!$A$5:$A$1753,0)),"Unmapped"))</f>
        <v>Qatar Foundation</v>
      </c>
      <c r="M1681" s="33" t="str">
        <f aca="false">IF($B1681="","",IFERROR(INDEX('Code Mapping'!$E$5:$E$1753,MATCH($B1681,'Code Mapping'!$A$5:$A$1753,0)),"Unmapped"))</f>
        <v>Corporate discount</v>
      </c>
      <c r="N1681" s="33" t="str">
        <f aca="false">IF($F1681="","",$F1681)</f>
        <v>InflataCity</v>
      </c>
    </row>
    <row r="1682" customFormat="false" ht="15" hidden="false" customHeight="false" outlineLevel="0" collapsed="false">
      <c r="A1682" s="33" t="n">
        <v>2345</v>
      </c>
      <c r="B1682" s="33" t="s">
        <v>1417</v>
      </c>
      <c r="C1682" s="33" t="s">
        <v>1418</v>
      </c>
      <c r="D1682" s="33"/>
      <c r="E1682" s="33" t="n">
        <v>55</v>
      </c>
      <c r="F1682" s="33" t="s">
        <v>2160</v>
      </c>
      <c r="G1682" s="33" t="s">
        <v>514</v>
      </c>
      <c r="H1682" s="33" t="n">
        <v>9</v>
      </c>
      <c r="I1682" s="33" t="n">
        <v>21</v>
      </c>
      <c r="J1682" s="33" t="n">
        <v>21</v>
      </c>
      <c r="K1682" s="32" t="n">
        <v>1215</v>
      </c>
      <c r="L1682" s="33" t="str">
        <f aca="false">IF($B1682="","",IFERROR(INDEX('Code Mapping'!$D$5:$D$1753,MATCH($B1682,'Code Mapping'!$A$5:$A$1753,0)),"Unmapped"))</f>
        <v>Unmapped</v>
      </c>
      <c r="M1682" s="33" t="str">
        <f aca="false">IF($B1682="","",IFERROR(INDEX('Code Mapping'!$E$5:$E$1753,MATCH($B1682,'Code Mapping'!$A$5:$A$1753,0)),"Unmapped"))</f>
        <v>Unmapped</v>
      </c>
      <c r="N1682" s="33" t="str">
        <f aca="false">IF($F1682="","",$F1682)</f>
        <v>InflataCity</v>
      </c>
    </row>
    <row r="1683" customFormat="false" ht="15" hidden="false" customHeight="false" outlineLevel="0" collapsed="false">
      <c r="A1683" s="33" t="n">
        <v>2042</v>
      </c>
      <c r="B1683" s="33" t="s">
        <v>1542</v>
      </c>
      <c r="C1683" s="33" t="s">
        <v>1543</v>
      </c>
      <c r="D1683" s="33"/>
      <c r="E1683" s="33" t="n">
        <v>55</v>
      </c>
      <c r="F1683" s="33" t="s">
        <v>2160</v>
      </c>
      <c r="G1683" s="33" t="s">
        <v>514</v>
      </c>
      <c r="H1683" s="33" t="n">
        <v>11</v>
      </c>
      <c r="I1683" s="33" t="n">
        <v>65</v>
      </c>
      <c r="J1683" s="33" t="n">
        <v>65</v>
      </c>
      <c r="K1683" s="32" t="n">
        <v>2437.5</v>
      </c>
      <c r="L1683" s="33" t="str">
        <f aca="false">IF($B1683="","",IFERROR(INDEX('Code Mapping'!$D$5:$D$1753,MATCH($B1683,'Code Mapping'!$A$5:$A$1753,0)),"Unmapped"))</f>
        <v>Unmapped</v>
      </c>
      <c r="M1683" s="33" t="str">
        <f aca="false">IF($B1683="","",IFERROR(INDEX('Code Mapping'!$E$5:$E$1753,MATCH($B1683,'Code Mapping'!$A$5:$A$1753,0)),"Unmapped"))</f>
        <v>Unmapped</v>
      </c>
      <c r="N1683" s="33" t="str">
        <f aca="false">IF($F1683="","",$F1683)</f>
        <v>InflataCity</v>
      </c>
    </row>
    <row r="1684" customFormat="false" ht="15" hidden="false" customHeight="false" outlineLevel="0" collapsed="false">
      <c r="A1684" s="33" t="n">
        <v>2649</v>
      </c>
      <c r="B1684" s="33" t="s">
        <v>1950</v>
      </c>
      <c r="C1684" s="33" t="s">
        <v>1951</v>
      </c>
      <c r="D1684" s="33"/>
      <c r="E1684" s="33" t="n">
        <v>55</v>
      </c>
      <c r="F1684" s="33" t="s">
        <v>2160</v>
      </c>
      <c r="G1684" s="33" t="s">
        <v>514</v>
      </c>
      <c r="H1684" s="33" t="n">
        <v>1</v>
      </c>
      <c r="I1684" s="33" t="n">
        <v>2</v>
      </c>
      <c r="J1684" s="33" t="n">
        <v>2</v>
      </c>
      <c r="K1684" s="32" t="n">
        <v>37.5</v>
      </c>
      <c r="L1684" s="33" t="str">
        <f aca="false">IF($B1684="","",IFERROR(INDEX('Code Mapping'!$D$5:$D$1753,MATCH($B1684,'Code Mapping'!$A$5:$A$1753,0)),"Unmapped"))</f>
        <v>My Book</v>
      </c>
      <c r="M1684" s="33" t="str">
        <f aca="false">IF($B1684="","",IFERROR(INDEX('Code Mapping'!$E$5:$E$1753,MATCH($B1684,'Code Mapping'!$A$5:$A$1753,0)),"Unmapped"))</f>
        <v>Aggregator BOGO</v>
      </c>
      <c r="N1684" s="33" t="str">
        <f aca="false">IF($F1684="","",$F1684)</f>
        <v>InflataCity</v>
      </c>
    </row>
    <row r="1685" customFormat="false" ht="15" hidden="false" customHeight="false" outlineLevel="0" collapsed="false">
      <c r="A1685" s="33" t="n">
        <v>1792</v>
      </c>
      <c r="B1685" s="33" t="s">
        <v>722</v>
      </c>
      <c r="C1685" s="33" t="s">
        <v>511</v>
      </c>
      <c r="D1685" s="33"/>
      <c r="E1685" s="33" t="n">
        <v>55</v>
      </c>
      <c r="F1685" s="33" t="s">
        <v>2160</v>
      </c>
      <c r="G1685" s="33" t="s">
        <v>514</v>
      </c>
      <c r="H1685" s="33" t="n">
        <v>1</v>
      </c>
      <c r="I1685" s="33" t="n">
        <v>1</v>
      </c>
      <c r="J1685" s="33" t="n">
        <v>1</v>
      </c>
      <c r="K1685" s="32" t="n">
        <v>75</v>
      </c>
      <c r="L1685" s="33" t="str">
        <f aca="false">IF($B1685="","",IFERROR(INDEX('Code Mapping'!$D$5:$D$1753,MATCH($B1685,'Code Mapping'!$A$5:$A$1753,0)),"Unmapped"))</f>
        <v>Unmapped</v>
      </c>
      <c r="M1685" s="33" t="str">
        <f aca="false">IF($B1685="","",IFERROR(INDEX('Code Mapping'!$E$5:$E$1753,MATCH($B1685,'Code Mapping'!$A$5:$A$1753,0)),"Unmapped"))</f>
        <v>Unmapped</v>
      </c>
      <c r="N1685" s="33" t="str">
        <f aca="false">IF($F1685="","",$F1685)</f>
        <v>InflataCity</v>
      </c>
    </row>
    <row r="1686" customFormat="false" ht="15" hidden="false" customHeight="false" outlineLevel="0" collapsed="false">
      <c r="A1686" s="33" t="n">
        <v>2351</v>
      </c>
      <c r="B1686" s="33" t="s">
        <v>974</v>
      </c>
      <c r="C1686" s="33" t="s">
        <v>823</v>
      </c>
      <c r="D1686" s="33"/>
      <c r="E1686" s="33" t="n">
        <v>55</v>
      </c>
      <c r="F1686" s="33" t="s">
        <v>2160</v>
      </c>
      <c r="G1686" s="33" t="s">
        <v>514</v>
      </c>
      <c r="H1686" s="33" t="n">
        <v>1</v>
      </c>
      <c r="I1686" s="33" t="n">
        <v>1</v>
      </c>
      <c r="J1686" s="33" t="n">
        <v>1</v>
      </c>
      <c r="K1686" s="32" t="n">
        <v>300</v>
      </c>
      <c r="L1686" s="33" t="str">
        <f aca="false">IF($B1686="","",IFERROR(INDEX('Code Mapping'!$D$5:$D$1753,MATCH($B1686,'Code Mapping'!$A$5:$A$1753,0)),"Unmapped"))</f>
        <v>Unmapped</v>
      </c>
      <c r="M1686" s="33" t="str">
        <f aca="false">IF($B1686="","",IFERROR(INDEX('Code Mapping'!$E$5:$E$1753,MATCH($B1686,'Code Mapping'!$A$5:$A$1753,0)),"Unmapped"))</f>
        <v>Unmapped</v>
      </c>
      <c r="N1686" s="33" t="str">
        <f aca="false">IF($F1686="","",$F1686)</f>
        <v>InflataCity</v>
      </c>
    </row>
    <row r="1687" customFormat="false" ht="15" hidden="false" customHeight="false" outlineLevel="0" collapsed="false">
      <c r="A1687" s="33" t="n">
        <v>2353</v>
      </c>
      <c r="B1687" s="33" t="s">
        <v>970</v>
      </c>
      <c r="C1687" s="33" t="s">
        <v>823</v>
      </c>
      <c r="D1687" s="33"/>
      <c r="E1687" s="33" t="n">
        <v>55</v>
      </c>
      <c r="F1687" s="33" t="s">
        <v>2160</v>
      </c>
      <c r="G1687" s="33" t="s">
        <v>514</v>
      </c>
      <c r="H1687" s="33" t="n">
        <v>1</v>
      </c>
      <c r="I1687" s="33" t="n">
        <v>1</v>
      </c>
      <c r="J1687" s="33" t="n">
        <v>1</v>
      </c>
      <c r="K1687" s="32" t="n">
        <v>300</v>
      </c>
      <c r="L1687" s="33" t="str">
        <f aca="false">IF($B1687="","",IFERROR(INDEX('Code Mapping'!$D$5:$D$1753,MATCH($B1687,'Code Mapping'!$A$5:$A$1753,0)),"Unmapped"))</f>
        <v>Unmapped</v>
      </c>
      <c r="M1687" s="33" t="str">
        <f aca="false">IF($B1687="","",IFERROR(INDEX('Code Mapping'!$E$5:$E$1753,MATCH($B1687,'Code Mapping'!$A$5:$A$1753,0)),"Unmapped"))</f>
        <v>Unmapped</v>
      </c>
      <c r="N1687" s="33" t="str">
        <f aca="false">IF($F1687="","",$F1687)</f>
        <v>InflataCity</v>
      </c>
    </row>
    <row r="1688" customFormat="false" ht="15" hidden="false" customHeight="false" outlineLevel="0" collapsed="false">
      <c r="A1688" s="33" t="n">
        <v>2252</v>
      </c>
      <c r="B1688" s="33" t="s">
        <v>969</v>
      </c>
      <c r="C1688" s="33" t="s">
        <v>827</v>
      </c>
      <c r="D1688" s="33"/>
      <c r="E1688" s="33" t="n">
        <v>55</v>
      </c>
      <c r="F1688" s="33" t="s">
        <v>2160</v>
      </c>
      <c r="G1688" s="33" t="s">
        <v>514</v>
      </c>
      <c r="H1688" s="33" t="n">
        <v>1</v>
      </c>
      <c r="I1688" s="33" t="n">
        <v>1</v>
      </c>
      <c r="J1688" s="33" t="n">
        <v>1</v>
      </c>
      <c r="K1688" s="32" t="n">
        <v>75</v>
      </c>
      <c r="L1688" s="33" t="str">
        <f aca="false">IF($B1688="","",IFERROR(INDEX('Code Mapping'!$D$5:$D$1753,MATCH($B1688,'Code Mapping'!$A$5:$A$1753,0)),"Unmapped"))</f>
        <v>Unmapped</v>
      </c>
      <c r="M1688" s="33" t="str">
        <f aca="false">IF($B1688="","",IFERROR(INDEX('Code Mapping'!$E$5:$E$1753,MATCH($B1688,'Code Mapping'!$A$5:$A$1753,0)),"Unmapped"))</f>
        <v>Unmapped</v>
      </c>
      <c r="N1688" s="33" t="str">
        <f aca="false">IF($F1688="","",$F1688)</f>
        <v>InflataCity</v>
      </c>
    </row>
    <row r="1689" customFormat="false" ht="15" hidden="false" customHeight="false" outlineLevel="0" collapsed="false">
      <c r="A1689" s="33" t="n">
        <v>2385</v>
      </c>
      <c r="B1689" s="33" t="s">
        <v>960</v>
      </c>
      <c r="C1689" s="33" t="s">
        <v>823</v>
      </c>
      <c r="D1689" s="33"/>
      <c r="E1689" s="33" t="n">
        <v>55</v>
      </c>
      <c r="F1689" s="33" t="s">
        <v>2160</v>
      </c>
      <c r="G1689" s="33" t="s">
        <v>514</v>
      </c>
      <c r="H1689" s="33" t="n">
        <v>1</v>
      </c>
      <c r="I1689" s="33" t="n">
        <v>1</v>
      </c>
      <c r="J1689" s="33" t="n">
        <v>1</v>
      </c>
      <c r="K1689" s="32" t="n">
        <v>300</v>
      </c>
      <c r="L1689" s="33" t="str">
        <f aca="false">IF($B1689="","",IFERROR(INDEX('Code Mapping'!$D$5:$D$1753,MATCH($B1689,'Code Mapping'!$A$5:$A$1753,0)),"Unmapped"))</f>
        <v>Unmapped</v>
      </c>
      <c r="M1689" s="33" t="str">
        <f aca="false">IF($B1689="","",IFERROR(INDEX('Code Mapping'!$E$5:$E$1753,MATCH($B1689,'Code Mapping'!$A$5:$A$1753,0)),"Unmapped"))</f>
        <v>Unmapped</v>
      </c>
      <c r="N1689" s="33" t="str">
        <f aca="false">IF($F1689="","",$F1689)</f>
        <v>InflataCity</v>
      </c>
    </row>
    <row r="1690" customFormat="false" ht="15" hidden="false" customHeight="false" outlineLevel="0" collapsed="false">
      <c r="A1690" s="33" t="n">
        <v>2251</v>
      </c>
      <c r="B1690" s="33" t="s">
        <v>868</v>
      </c>
      <c r="C1690" s="33" t="s">
        <v>827</v>
      </c>
      <c r="D1690" s="33"/>
      <c r="E1690" s="33" t="n">
        <v>55</v>
      </c>
      <c r="F1690" s="33" t="s">
        <v>2160</v>
      </c>
      <c r="G1690" s="33" t="s">
        <v>514</v>
      </c>
      <c r="H1690" s="33" t="n">
        <v>1</v>
      </c>
      <c r="I1690" s="33" t="n">
        <v>1</v>
      </c>
      <c r="J1690" s="33" t="n">
        <v>1</v>
      </c>
      <c r="K1690" s="32" t="n">
        <v>75</v>
      </c>
      <c r="L1690" s="33" t="str">
        <f aca="false">IF($B1690="","",IFERROR(INDEX('Code Mapping'!$D$5:$D$1753,MATCH($B1690,'Code Mapping'!$A$5:$A$1753,0)),"Unmapped"))</f>
        <v>Unmapped</v>
      </c>
      <c r="M1690" s="33" t="str">
        <f aca="false">IF($B1690="","",IFERROR(INDEX('Code Mapping'!$E$5:$E$1753,MATCH($B1690,'Code Mapping'!$A$5:$A$1753,0)),"Unmapped"))</f>
        <v>Unmapped</v>
      </c>
      <c r="N1690" s="33" t="str">
        <f aca="false">IF($F1690="","",$F1690)</f>
        <v>InflataCity</v>
      </c>
    </row>
    <row r="1691" customFormat="false" ht="15" hidden="false" customHeight="false" outlineLevel="0" collapsed="false">
      <c r="A1691" s="33" t="n">
        <v>2362</v>
      </c>
      <c r="B1691" s="33" t="s">
        <v>869</v>
      </c>
      <c r="C1691" s="33" t="s">
        <v>823</v>
      </c>
      <c r="D1691" s="33"/>
      <c r="E1691" s="33" t="n">
        <v>55</v>
      </c>
      <c r="F1691" s="33" t="s">
        <v>2160</v>
      </c>
      <c r="G1691" s="33" t="s">
        <v>514</v>
      </c>
      <c r="H1691" s="33" t="n">
        <v>1</v>
      </c>
      <c r="I1691" s="33" t="n">
        <v>1</v>
      </c>
      <c r="J1691" s="33" t="n">
        <v>1</v>
      </c>
      <c r="K1691" s="32" t="n">
        <v>300</v>
      </c>
      <c r="L1691" s="33" t="str">
        <f aca="false">IF($B1691="","",IFERROR(INDEX('Code Mapping'!$D$5:$D$1753,MATCH($B1691,'Code Mapping'!$A$5:$A$1753,0)),"Unmapped"))</f>
        <v>Unmapped</v>
      </c>
      <c r="M1691" s="33" t="str">
        <f aca="false">IF($B1691="","",IFERROR(INDEX('Code Mapping'!$E$5:$E$1753,MATCH($B1691,'Code Mapping'!$A$5:$A$1753,0)),"Unmapped"))</f>
        <v>Unmapped</v>
      </c>
      <c r="N1691" s="33" t="str">
        <f aca="false">IF($F1691="","",$F1691)</f>
        <v>InflataCity</v>
      </c>
    </row>
    <row r="1692" customFormat="false" ht="15" hidden="false" customHeight="false" outlineLevel="0" collapsed="false">
      <c r="A1692" s="33" t="n">
        <v>2382</v>
      </c>
      <c r="B1692" s="33" t="s">
        <v>875</v>
      </c>
      <c r="C1692" s="33" t="s">
        <v>823</v>
      </c>
      <c r="D1692" s="33"/>
      <c r="E1692" s="33" t="n">
        <v>55</v>
      </c>
      <c r="F1692" s="33" t="s">
        <v>2160</v>
      </c>
      <c r="G1692" s="33" t="s">
        <v>514</v>
      </c>
      <c r="H1692" s="33" t="n">
        <v>1</v>
      </c>
      <c r="I1692" s="33" t="n">
        <v>1</v>
      </c>
      <c r="J1692" s="33" t="n">
        <v>1</v>
      </c>
      <c r="K1692" s="32" t="n">
        <v>300</v>
      </c>
      <c r="L1692" s="33" t="str">
        <f aca="false">IF($B1692="","",IFERROR(INDEX('Code Mapping'!$D$5:$D$1753,MATCH($B1692,'Code Mapping'!$A$5:$A$1753,0)),"Unmapped"))</f>
        <v>Unmapped</v>
      </c>
      <c r="M1692" s="33" t="str">
        <f aca="false">IF($B1692="","",IFERROR(INDEX('Code Mapping'!$E$5:$E$1753,MATCH($B1692,'Code Mapping'!$A$5:$A$1753,0)),"Unmapped"))</f>
        <v>Unmapped</v>
      </c>
      <c r="N1692" s="33" t="str">
        <f aca="false">IF($F1692="","",$F1692)</f>
        <v>InflataCity</v>
      </c>
    </row>
    <row r="1693" customFormat="false" ht="15" hidden="false" customHeight="false" outlineLevel="0" collapsed="false">
      <c r="A1693" s="33" t="n">
        <v>2384</v>
      </c>
      <c r="B1693" s="33" t="s">
        <v>885</v>
      </c>
      <c r="C1693" s="33" t="s">
        <v>823</v>
      </c>
      <c r="D1693" s="33"/>
      <c r="E1693" s="33" t="n">
        <v>55</v>
      </c>
      <c r="F1693" s="33" t="s">
        <v>2160</v>
      </c>
      <c r="G1693" s="33" t="s">
        <v>514</v>
      </c>
      <c r="H1693" s="33" t="n">
        <v>1</v>
      </c>
      <c r="I1693" s="33" t="n">
        <v>1</v>
      </c>
      <c r="J1693" s="33" t="n">
        <v>1</v>
      </c>
      <c r="K1693" s="32" t="n">
        <v>300</v>
      </c>
      <c r="L1693" s="33" t="str">
        <f aca="false">IF($B1693="","",IFERROR(INDEX('Code Mapping'!$D$5:$D$1753,MATCH($B1693,'Code Mapping'!$A$5:$A$1753,0)),"Unmapped"))</f>
        <v>Unmapped</v>
      </c>
      <c r="M1693" s="33" t="str">
        <f aca="false">IF($B1693="","",IFERROR(INDEX('Code Mapping'!$E$5:$E$1753,MATCH($B1693,'Code Mapping'!$A$5:$A$1753,0)),"Unmapped"))</f>
        <v>Unmapped</v>
      </c>
      <c r="N1693" s="33" t="str">
        <f aca="false">IF($F1693="","",$F1693)</f>
        <v>InflataCity</v>
      </c>
    </row>
    <row r="1694" customFormat="false" ht="15" hidden="false" customHeight="false" outlineLevel="0" collapsed="false">
      <c r="A1694" s="33" t="n">
        <v>2248</v>
      </c>
      <c r="B1694" s="33" t="s">
        <v>886</v>
      </c>
      <c r="C1694" s="33" t="s">
        <v>827</v>
      </c>
      <c r="D1694" s="33"/>
      <c r="E1694" s="33" t="n">
        <v>55</v>
      </c>
      <c r="F1694" s="33" t="s">
        <v>2160</v>
      </c>
      <c r="G1694" s="33" t="s">
        <v>514</v>
      </c>
      <c r="H1694" s="33" t="n">
        <v>1</v>
      </c>
      <c r="I1694" s="33" t="n">
        <v>1</v>
      </c>
      <c r="J1694" s="33" t="n">
        <v>1</v>
      </c>
      <c r="K1694" s="32" t="n">
        <v>75</v>
      </c>
      <c r="L1694" s="33" t="str">
        <f aca="false">IF($B1694="","",IFERROR(INDEX('Code Mapping'!$D$5:$D$1753,MATCH($B1694,'Code Mapping'!$A$5:$A$1753,0)),"Unmapped"))</f>
        <v>Unmapped</v>
      </c>
      <c r="M1694" s="33" t="str">
        <f aca="false">IF($B1694="","",IFERROR(INDEX('Code Mapping'!$E$5:$E$1753,MATCH($B1694,'Code Mapping'!$A$5:$A$1753,0)),"Unmapped"))</f>
        <v>Unmapped</v>
      </c>
      <c r="N1694" s="33" t="str">
        <f aca="false">IF($F1694="","",$F1694)</f>
        <v>InflataCity</v>
      </c>
    </row>
    <row r="1695" customFormat="false" ht="15" hidden="false" customHeight="false" outlineLevel="0" collapsed="false">
      <c r="A1695" s="33" t="n">
        <v>2380</v>
      </c>
      <c r="B1695" s="33" t="s">
        <v>892</v>
      </c>
      <c r="C1695" s="33" t="s">
        <v>823</v>
      </c>
      <c r="D1695" s="33"/>
      <c r="E1695" s="33" t="n">
        <v>55</v>
      </c>
      <c r="F1695" s="33" t="s">
        <v>2160</v>
      </c>
      <c r="G1695" s="33" t="s">
        <v>514</v>
      </c>
      <c r="H1695" s="33" t="n">
        <v>1</v>
      </c>
      <c r="I1695" s="33" t="n">
        <v>1</v>
      </c>
      <c r="J1695" s="33" t="n">
        <v>1</v>
      </c>
      <c r="K1695" s="32" t="n">
        <v>300</v>
      </c>
      <c r="L1695" s="33" t="str">
        <f aca="false">IF($B1695="","",IFERROR(INDEX('Code Mapping'!$D$5:$D$1753,MATCH($B1695,'Code Mapping'!$A$5:$A$1753,0)),"Unmapped"))</f>
        <v>Unmapped</v>
      </c>
      <c r="M1695" s="33" t="str">
        <f aca="false">IF($B1695="","",IFERROR(INDEX('Code Mapping'!$E$5:$E$1753,MATCH($B1695,'Code Mapping'!$A$5:$A$1753,0)),"Unmapped"))</f>
        <v>Unmapped</v>
      </c>
      <c r="N1695" s="33" t="str">
        <f aca="false">IF($F1695="","",$F1695)</f>
        <v>InflataCity</v>
      </c>
    </row>
    <row r="1696" customFormat="false" ht="15" hidden="false" customHeight="false" outlineLevel="0" collapsed="false">
      <c r="A1696" s="33" t="n">
        <v>2372</v>
      </c>
      <c r="B1696" s="33" t="s">
        <v>906</v>
      </c>
      <c r="C1696" s="33" t="s">
        <v>823</v>
      </c>
      <c r="D1696" s="33"/>
      <c r="E1696" s="33" t="n">
        <v>55</v>
      </c>
      <c r="F1696" s="33" t="s">
        <v>2160</v>
      </c>
      <c r="G1696" s="33" t="s">
        <v>514</v>
      </c>
      <c r="H1696" s="33" t="n">
        <v>1</v>
      </c>
      <c r="I1696" s="33" t="n">
        <v>1</v>
      </c>
      <c r="J1696" s="33" t="n">
        <v>1</v>
      </c>
      <c r="K1696" s="32" t="n">
        <v>300</v>
      </c>
      <c r="L1696" s="33" t="str">
        <f aca="false">IF($B1696="","",IFERROR(INDEX('Code Mapping'!$D$5:$D$1753,MATCH($B1696,'Code Mapping'!$A$5:$A$1753,0)),"Unmapped"))</f>
        <v>Unmapped</v>
      </c>
      <c r="M1696" s="33" t="str">
        <f aca="false">IF($B1696="","",IFERROR(INDEX('Code Mapping'!$E$5:$E$1753,MATCH($B1696,'Code Mapping'!$A$5:$A$1753,0)),"Unmapped"))</f>
        <v>Unmapped</v>
      </c>
      <c r="N1696" s="33" t="str">
        <f aca="false">IF($F1696="","",$F1696)</f>
        <v>InflataCity</v>
      </c>
    </row>
    <row r="1697" customFormat="false" ht="15" hidden="false" customHeight="false" outlineLevel="0" collapsed="false">
      <c r="A1697" s="33" t="n">
        <v>2245</v>
      </c>
      <c r="B1697" s="33" t="s">
        <v>922</v>
      </c>
      <c r="C1697" s="33" t="s">
        <v>827</v>
      </c>
      <c r="D1697" s="33"/>
      <c r="E1697" s="33" t="n">
        <v>55</v>
      </c>
      <c r="F1697" s="33" t="s">
        <v>2160</v>
      </c>
      <c r="G1697" s="33" t="s">
        <v>514</v>
      </c>
      <c r="H1697" s="33" t="n">
        <v>1</v>
      </c>
      <c r="I1697" s="33" t="n">
        <v>1</v>
      </c>
      <c r="J1697" s="33" t="n">
        <v>1</v>
      </c>
      <c r="K1697" s="32" t="n">
        <v>75</v>
      </c>
      <c r="L1697" s="33" t="str">
        <f aca="false">IF($B1697="","",IFERROR(INDEX('Code Mapping'!$D$5:$D$1753,MATCH($B1697,'Code Mapping'!$A$5:$A$1753,0)),"Unmapped"))</f>
        <v>Unmapped</v>
      </c>
      <c r="M1697" s="33" t="str">
        <f aca="false">IF($B1697="","",IFERROR(INDEX('Code Mapping'!$E$5:$E$1753,MATCH($B1697,'Code Mapping'!$A$5:$A$1753,0)),"Unmapped"))</f>
        <v>Unmapped</v>
      </c>
      <c r="N1697" s="33" t="str">
        <f aca="false">IF($F1697="","",$F1697)</f>
        <v>InflataCity</v>
      </c>
    </row>
    <row r="1698" customFormat="false" ht="15" hidden="false" customHeight="false" outlineLevel="0" collapsed="false">
      <c r="A1698" s="33" t="n">
        <v>2349</v>
      </c>
      <c r="B1698" s="33" t="s">
        <v>925</v>
      </c>
      <c r="C1698" s="33" t="s">
        <v>823</v>
      </c>
      <c r="D1698" s="33"/>
      <c r="E1698" s="33" t="n">
        <v>55</v>
      </c>
      <c r="F1698" s="33" t="s">
        <v>2160</v>
      </c>
      <c r="G1698" s="33" t="s">
        <v>514</v>
      </c>
      <c r="H1698" s="33" t="n">
        <v>1</v>
      </c>
      <c r="I1698" s="33" t="n">
        <v>1</v>
      </c>
      <c r="J1698" s="33" t="n">
        <v>1</v>
      </c>
      <c r="K1698" s="32" t="n">
        <v>300</v>
      </c>
      <c r="L1698" s="33" t="str">
        <f aca="false">IF($B1698="","",IFERROR(INDEX('Code Mapping'!$D$5:$D$1753,MATCH($B1698,'Code Mapping'!$A$5:$A$1753,0)),"Unmapped"))</f>
        <v>Unmapped</v>
      </c>
      <c r="M1698" s="33" t="str">
        <f aca="false">IF($B1698="","",IFERROR(INDEX('Code Mapping'!$E$5:$E$1753,MATCH($B1698,'Code Mapping'!$A$5:$A$1753,0)),"Unmapped"))</f>
        <v>Unmapped</v>
      </c>
      <c r="N1698" s="33" t="str">
        <f aca="false">IF($F1698="","",$F1698)</f>
        <v>InflataCity</v>
      </c>
    </row>
    <row r="1699" customFormat="false" ht="15" hidden="false" customHeight="false" outlineLevel="0" collapsed="false">
      <c r="A1699" s="33" t="n">
        <v>2379</v>
      </c>
      <c r="B1699" s="33" t="s">
        <v>926</v>
      </c>
      <c r="C1699" s="33" t="s">
        <v>823</v>
      </c>
      <c r="D1699" s="33"/>
      <c r="E1699" s="33" t="n">
        <v>55</v>
      </c>
      <c r="F1699" s="33" t="s">
        <v>2160</v>
      </c>
      <c r="G1699" s="33" t="s">
        <v>514</v>
      </c>
      <c r="H1699" s="33" t="n">
        <v>1</v>
      </c>
      <c r="I1699" s="33" t="n">
        <v>1</v>
      </c>
      <c r="J1699" s="33" t="n">
        <v>1</v>
      </c>
      <c r="K1699" s="32" t="n">
        <v>300</v>
      </c>
      <c r="L1699" s="33" t="str">
        <f aca="false">IF($B1699="","",IFERROR(INDEX('Code Mapping'!$D$5:$D$1753,MATCH($B1699,'Code Mapping'!$A$5:$A$1753,0)),"Unmapped"))</f>
        <v>Unmapped</v>
      </c>
      <c r="M1699" s="33" t="str">
        <f aca="false">IF($B1699="","",IFERROR(INDEX('Code Mapping'!$E$5:$E$1753,MATCH($B1699,'Code Mapping'!$A$5:$A$1753,0)),"Unmapped"))</f>
        <v>Unmapped</v>
      </c>
      <c r="N1699" s="33" t="str">
        <f aca="false">IF($F1699="","",$F1699)</f>
        <v>InflataCity</v>
      </c>
    </row>
    <row r="1700" customFormat="false" ht="15" hidden="false" customHeight="false" outlineLevel="0" collapsed="false">
      <c r="A1700" s="33" t="n">
        <v>2308</v>
      </c>
      <c r="B1700" s="33" t="s">
        <v>934</v>
      </c>
      <c r="C1700" s="33" t="s">
        <v>827</v>
      </c>
      <c r="D1700" s="33"/>
      <c r="E1700" s="33" t="n">
        <v>55</v>
      </c>
      <c r="F1700" s="33" t="s">
        <v>2160</v>
      </c>
      <c r="G1700" s="33" t="s">
        <v>514</v>
      </c>
      <c r="H1700" s="33" t="n">
        <v>1</v>
      </c>
      <c r="I1700" s="33" t="n">
        <v>1</v>
      </c>
      <c r="J1700" s="33" t="n">
        <v>1</v>
      </c>
      <c r="K1700" s="32" t="n">
        <v>75</v>
      </c>
      <c r="L1700" s="33" t="str">
        <f aca="false">IF($B1700="","",IFERROR(INDEX('Code Mapping'!$D$5:$D$1753,MATCH($B1700,'Code Mapping'!$A$5:$A$1753,0)),"Unmapped"))</f>
        <v>Unmapped</v>
      </c>
      <c r="M1700" s="33" t="str">
        <f aca="false">IF($B1700="","",IFERROR(INDEX('Code Mapping'!$E$5:$E$1753,MATCH($B1700,'Code Mapping'!$A$5:$A$1753,0)),"Unmapped"))</f>
        <v>Unmapped</v>
      </c>
      <c r="N1700" s="33" t="str">
        <f aca="false">IF($F1700="","",$F1700)</f>
        <v>InflataCity</v>
      </c>
    </row>
    <row r="1701" customFormat="false" ht="15" hidden="false" customHeight="false" outlineLevel="0" collapsed="false">
      <c r="A1701" s="33" t="n">
        <v>2375</v>
      </c>
      <c r="B1701" s="33" t="s">
        <v>935</v>
      </c>
      <c r="C1701" s="33" t="s">
        <v>823</v>
      </c>
      <c r="D1701" s="33"/>
      <c r="E1701" s="33" t="n">
        <v>55</v>
      </c>
      <c r="F1701" s="33" t="s">
        <v>2160</v>
      </c>
      <c r="G1701" s="33" t="s">
        <v>514</v>
      </c>
      <c r="H1701" s="33" t="n">
        <v>1</v>
      </c>
      <c r="I1701" s="33" t="n">
        <v>1</v>
      </c>
      <c r="J1701" s="33" t="n">
        <v>1</v>
      </c>
      <c r="K1701" s="32" t="n">
        <v>300</v>
      </c>
      <c r="L1701" s="33" t="str">
        <f aca="false">IF($B1701="","",IFERROR(INDEX('Code Mapping'!$D$5:$D$1753,MATCH($B1701,'Code Mapping'!$A$5:$A$1753,0)),"Unmapped"))</f>
        <v>Unmapped</v>
      </c>
      <c r="M1701" s="33" t="str">
        <f aca="false">IF($B1701="","",IFERROR(INDEX('Code Mapping'!$E$5:$E$1753,MATCH($B1701,'Code Mapping'!$A$5:$A$1753,0)),"Unmapped"))</f>
        <v>Unmapped</v>
      </c>
      <c r="N1701" s="33" t="str">
        <f aca="false">IF($F1701="","",$F1701)</f>
        <v>InflataCity</v>
      </c>
    </row>
    <row r="1702" customFormat="false" ht="15" hidden="false" customHeight="false" outlineLevel="0" collapsed="false">
      <c r="A1702" s="33" t="n">
        <v>2371</v>
      </c>
      <c r="B1702" s="33" t="s">
        <v>938</v>
      </c>
      <c r="C1702" s="33" t="s">
        <v>823</v>
      </c>
      <c r="D1702" s="33"/>
      <c r="E1702" s="33" t="n">
        <v>55</v>
      </c>
      <c r="F1702" s="33" t="s">
        <v>2160</v>
      </c>
      <c r="G1702" s="33" t="s">
        <v>514</v>
      </c>
      <c r="H1702" s="33" t="n">
        <v>1</v>
      </c>
      <c r="I1702" s="33" t="n">
        <v>1</v>
      </c>
      <c r="J1702" s="33" t="n">
        <v>1</v>
      </c>
      <c r="K1702" s="32" t="n">
        <v>300</v>
      </c>
      <c r="L1702" s="33" t="str">
        <f aca="false">IF($B1702="","",IFERROR(INDEX('Code Mapping'!$D$5:$D$1753,MATCH($B1702,'Code Mapping'!$A$5:$A$1753,0)),"Unmapped"))</f>
        <v>Unmapped</v>
      </c>
      <c r="M1702" s="33" t="str">
        <f aca="false">IF($B1702="","",IFERROR(INDEX('Code Mapping'!$E$5:$E$1753,MATCH($B1702,'Code Mapping'!$A$5:$A$1753,0)),"Unmapped"))</f>
        <v>Unmapped</v>
      </c>
      <c r="N1702" s="33" t="str">
        <f aca="false">IF($F1702="","",$F1702)</f>
        <v>InflataCity</v>
      </c>
    </row>
    <row r="1703" customFormat="false" ht="15" hidden="false" customHeight="false" outlineLevel="0" collapsed="false">
      <c r="A1703" s="33" t="n">
        <v>2253</v>
      </c>
      <c r="B1703" s="33" t="s">
        <v>943</v>
      </c>
      <c r="C1703" s="33" t="s">
        <v>827</v>
      </c>
      <c r="D1703" s="33"/>
      <c r="E1703" s="33" t="n">
        <v>55</v>
      </c>
      <c r="F1703" s="33" t="s">
        <v>2160</v>
      </c>
      <c r="G1703" s="33" t="s">
        <v>514</v>
      </c>
      <c r="H1703" s="33" t="n">
        <v>1</v>
      </c>
      <c r="I1703" s="33" t="n">
        <v>1</v>
      </c>
      <c r="J1703" s="33" t="n">
        <v>1</v>
      </c>
      <c r="K1703" s="32" t="n">
        <v>75</v>
      </c>
      <c r="L1703" s="33" t="str">
        <f aca="false">IF($B1703="","",IFERROR(INDEX('Code Mapping'!$D$5:$D$1753,MATCH($B1703,'Code Mapping'!$A$5:$A$1753,0)),"Unmapped"))</f>
        <v>Unmapped</v>
      </c>
      <c r="M1703" s="33" t="str">
        <f aca="false">IF($B1703="","",IFERROR(INDEX('Code Mapping'!$E$5:$E$1753,MATCH($B1703,'Code Mapping'!$A$5:$A$1753,0)),"Unmapped"))</f>
        <v>Unmapped</v>
      </c>
      <c r="N1703" s="33" t="str">
        <f aca="false">IF($F1703="","",$F1703)</f>
        <v>InflataCity</v>
      </c>
    </row>
    <row r="1704" customFormat="false" ht="15" hidden="false" customHeight="false" outlineLevel="0" collapsed="false">
      <c r="A1704" s="33" t="n">
        <v>2367</v>
      </c>
      <c r="B1704" s="33" t="s">
        <v>946</v>
      </c>
      <c r="C1704" s="33" t="s">
        <v>823</v>
      </c>
      <c r="D1704" s="33"/>
      <c r="E1704" s="33" t="n">
        <v>55</v>
      </c>
      <c r="F1704" s="33" t="s">
        <v>2160</v>
      </c>
      <c r="G1704" s="33" t="s">
        <v>514</v>
      </c>
      <c r="H1704" s="33" t="n">
        <v>1</v>
      </c>
      <c r="I1704" s="33" t="n">
        <v>1</v>
      </c>
      <c r="J1704" s="33" t="n">
        <v>1</v>
      </c>
      <c r="K1704" s="32" t="n">
        <v>300</v>
      </c>
      <c r="L1704" s="33" t="str">
        <f aca="false">IF($B1704="","",IFERROR(INDEX('Code Mapping'!$D$5:$D$1753,MATCH($B1704,'Code Mapping'!$A$5:$A$1753,0)),"Unmapped"))</f>
        <v>Unmapped</v>
      </c>
      <c r="M1704" s="33" t="str">
        <f aca="false">IF($B1704="","",IFERROR(INDEX('Code Mapping'!$E$5:$E$1753,MATCH($B1704,'Code Mapping'!$A$5:$A$1753,0)),"Unmapped"))</f>
        <v>Unmapped</v>
      </c>
      <c r="N1704" s="33" t="str">
        <f aca="false">IF($F1704="","",$F1704)</f>
        <v>InflataCity</v>
      </c>
    </row>
    <row r="1705" customFormat="false" ht="15" hidden="false" customHeight="false" outlineLevel="0" collapsed="false">
      <c r="A1705" s="33" t="n">
        <v>2250</v>
      </c>
      <c r="B1705" s="33" t="s">
        <v>952</v>
      </c>
      <c r="C1705" s="33" t="s">
        <v>827</v>
      </c>
      <c r="D1705" s="33"/>
      <c r="E1705" s="33" t="n">
        <v>55</v>
      </c>
      <c r="F1705" s="33" t="s">
        <v>2160</v>
      </c>
      <c r="G1705" s="33" t="s">
        <v>514</v>
      </c>
      <c r="H1705" s="33" t="n">
        <v>1</v>
      </c>
      <c r="I1705" s="33" t="n">
        <v>1</v>
      </c>
      <c r="J1705" s="33" t="n">
        <v>1</v>
      </c>
      <c r="K1705" s="32" t="n">
        <v>75</v>
      </c>
      <c r="L1705" s="33" t="str">
        <f aca="false">IF($B1705="","",IFERROR(INDEX('Code Mapping'!$D$5:$D$1753,MATCH($B1705,'Code Mapping'!$A$5:$A$1753,0)),"Unmapped"))</f>
        <v>Unmapped</v>
      </c>
      <c r="M1705" s="33" t="str">
        <f aca="false">IF($B1705="","",IFERROR(INDEX('Code Mapping'!$E$5:$E$1753,MATCH($B1705,'Code Mapping'!$A$5:$A$1753,0)),"Unmapped"))</f>
        <v>Unmapped</v>
      </c>
      <c r="N1705" s="33" t="str">
        <f aca="false">IF($F1705="","",$F1705)</f>
        <v>InflataCity</v>
      </c>
    </row>
    <row r="1706" customFormat="false" ht="15" hidden="false" customHeight="false" outlineLevel="0" collapsed="false">
      <c r="A1706" s="33" t="n">
        <v>2309</v>
      </c>
      <c r="B1706" s="33" t="s">
        <v>958</v>
      </c>
      <c r="C1706" s="33" t="s">
        <v>827</v>
      </c>
      <c r="D1706" s="33"/>
      <c r="E1706" s="33" t="n">
        <v>55</v>
      </c>
      <c r="F1706" s="33" t="s">
        <v>2160</v>
      </c>
      <c r="G1706" s="33" t="s">
        <v>514</v>
      </c>
      <c r="H1706" s="33" t="n">
        <v>1</v>
      </c>
      <c r="I1706" s="33" t="n">
        <v>1</v>
      </c>
      <c r="J1706" s="33" t="n">
        <v>1</v>
      </c>
      <c r="K1706" s="32" t="n">
        <v>75</v>
      </c>
      <c r="L1706" s="33" t="str">
        <f aca="false">IF($B1706="","",IFERROR(INDEX('Code Mapping'!$D$5:$D$1753,MATCH($B1706,'Code Mapping'!$A$5:$A$1753,0)),"Unmapped"))</f>
        <v>Unmapped</v>
      </c>
      <c r="M1706" s="33" t="str">
        <f aca="false">IF($B1706="","",IFERROR(INDEX('Code Mapping'!$E$5:$E$1753,MATCH($B1706,'Code Mapping'!$A$5:$A$1753,0)),"Unmapped"))</f>
        <v>Unmapped</v>
      </c>
      <c r="N1706" s="33" t="str">
        <f aca="false">IF($F1706="","",$F1706)</f>
        <v>InflataCity</v>
      </c>
    </row>
    <row r="1707" customFormat="false" ht="15" hidden="false" customHeight="false" outlineLevel="0" collapsed="false">
      <c r="A1707" s="33" t="n">
        <v>1932</v>
      </c>
      <c r="B1707" s="33" t="s">
        <v>726</v>
      </c>
      <c r="C1707" s="33" t="s">
        <v>511</v>
      </c>
      <c r="D1707" s="33"/>
      <c r="E1707" s="33" t="n">
        <v>55</v>
      </c>
      <c r="F1707" s="33" t="s">
        <v>2160</v>
      </c>
      <c r="G1707" s="33" t="s">
        <v>514</v>
      </c>
      <c r="H1707" s="33" t="n">
        <v>1</v>
      </c>
      <c r="I1707" s="33" t="n">
        <v>1</v>
      </c>
      <c r="J1707" s="33" t="n">
        <v>1</v>
      </c>
      <c r="K1707" s="32" t="n">
        <v>75</v>
      </c>
      <c r="L1707" s="33" t="str">
        <f aca="false">IF($B1707="","",IFERROR(INDEX('Code Mapping'!$D$5:$D$1753,MATCH($B1707,'Code Mapping'!$A$5:$A$1753,0)),"Unmapped"))</f>
        <v>Unmapped</v>
      </c>
      <c r="M1707" s="33" t="str">
        <f aca="false">IF($B1707="","",IFERROR(INDEX('Code Mapping'!$E$5:$E$1753,MATCH($B1707,'Code Mapping'!$A$5:$A$1753,0)),"Unmapped"))</f>
        <v>Unmapped</v>
      </c>
      <c r="N1707" s="33" t="str">
        <f aca="false">IF($F1707="","",$F1707)</f>
        <v>InflataCity</v>
      </c>
    </row>
    <row r="1708" customFormat="false" ht="15" hidden="false" customHeight="false" outlineLevel="0" collapsed="false">
      <c r="A1708" s="33" t="n">
        <v>2366</v>
      </c>
      <c r="B1708" s="33" t="s">
        <v>950</v>
      </c>
      <c r="C1708" s="33" t="s">
        <v>823</v>
      </c>
      <c r="D1708" s="33"/>
      <c r="E1708" s="33" t="n">
        <v>55</v>
      </c>
      <c r="F1708" s="33" t="s">
        <v>2160</v>
      </c>
      <c r="G1708" s="33" t="s">
        <v>514</v>
      </c>
      <c r="H1708" s="33" t="n">
        <v>1</v>
      </c>
      <c r="I1708" s="33" t="n">
        <v>1</v>
      </c>
      <c r="J1708" s="33" t="n">
        <v>1</v>
      </c>
      <c r="K1708" s="32" t="n">
        <v>300</v>
      </c>
      <c r="L1708" s="33" t="str">
        <f aca="false">IF($B1708="","",IFERROR(INDEX('Code Mapping'!$D$5:$D$1753,MATCH($B1708,'Code Mapping'!$A$5:$A$1753,0)),"Unmapped"))</f>
        <v>Unmapped</v>
      </c>
      <c r="M1708" s="33" t="str">
        <f aca="false">IF($B1708="","",IFERROR(INDEX('Code Mapping'!$E$5:$E$1753,MATCH($B1708,'Code Mapping'!$A$5:$A$1753,0)),"Unmapped"))</f>
        <v>Unmapped</v>
      </c>
      <c r="N1708" s="33" t="str">
        <f aca="false">IF($F1708="","",$F1708)</f>
        <v>InflataCity</v>
      </c>
    </row>
    <row r="1709" customFormat="false" ht="15" hidden="false" customHeight="false" outlineLevel="0" collapsed="false">
      <c r="A1709" s="33" t="n">
        <v>1809</v>
      </c>
      <c r="B1709" s="33" t="s">
        <v>721</v>
      </c>
      <c r="C1709" s="33" t="s">
        <v>511</v>
      </c>
      <c r="D1709" s="33"/>
      <c r="E1709" s="33" t="n">
        <v>55</v>
      </c>
      <c r="F1709" s="33" t="s">
        <v>2160</v>
      </c>
      <c r="G1709" s="33" t="s">
        <v>514</v>
      </c>
      <c r="H1709" s="33" t="n">
        <v>1</v>
      </c>
      <c r="I1709" s="33" t="n">
        <v>2</v>
      </c>
      <c r="J1709" s="33" t="n">
        <v>2</v>
      </c>
      <c r="K1709" s="32" t="n">
        <v>150</v>
      </c>
      <c r="L1709" s="33" t="str">
        <f aca="false">IF($B1709="","",IFERROR(INDEX('Code Mapping'!$D$5:$D$1753,MATCH($B1709,'Code Mapping'!$A$5:$A$1753,0)),"Unmapped"))</f>
        <v>Unmapped</v>
      </c>
      <c r="M1709" s="33" t="str">
        <f aca="false">IF($B1709="","",IFERROR(INDEX('Code Mapping'!$E$5:$E$1753,MATCH($B1709,'Code Mapping'!$A$5:$A$1753,0)),"Unmapped"))</f>
        <v>Unmapped</v>
      </c>
      <c r="N1709" s="33" t="str">
        <f aca="false">IF($F1709="","",$F1709)</f>
        <v>InflataCity</v>
      </c>
    </row>
    <row r="1710" customFormat="false" ht="15" hidden="false" customHeight="false" outlineLevel="0" collapsed="false">
      <c r="A1710" s="33" t="n">
        <v>1472</v>
      </c>
      <c r="B1710" s="33" t="s">
        <v>581</v>
      </c>
      <c r="C1710" s="33" t="s">
        <v>513</v>
      </c>
      <c r="D1710" s="33"/>
      <c r="E1710" s="33" t="n">
        <v>55</v>
      </c>
      <c r="F1710" s="33" t="s">
        <v>2160</v>
      </c>
      <c r="G1710" s="33" t="s">
        <v>514</v>
      </c>
      <c r="H1710" s="33" t="n">
        <v>1</v>
      </c>
      <c r="I1710" s="33" t="n">
        <v>1</v>
      </c>
      <c r="J1710" s="33" t="n">
        <v>1</v>
      </c>
      <c r="K1710" s="32" t="n">
        <v>300</v>
      </c>
      <c r="L1710" s="33" t="str">
        <f aca="false">IF($B1710="","",IFERROR(INDEX('Code Mapping'!$D$5:$D$1753,MATCH($B1710,'Code Mapping'!$A$5:$A$1753,0)),"Unmapped"))</f>
        <v>Unmapped</v>
      </c>
      <c r="M1710" s="33" t="str">
        <f aca="false">IF($B1710="","",IFERROR(INDEX('Code Mapping'!$E$5:$E$1753,MATCH($B1710,'Code Mapping'!$A$5:$A$1753,0)),"Unmapped"))</f>
        <v>Unmapped</v>
      </c>
      <c r="N1710" s="33" t="str">
        <f aca="false">IF($F1710="","",$F1710)</f>
        <v>InflataCity</v>
      </c>
    </row>
    <row r="1711" customFormat="false" ht="15" hidden="false" customHeight="false" outlineLevel="0" collapsed="false">
      <c r="A1711" s="33" t="n">
        <v>1848</v>
      </c>
      <c r="B1711" s="33" t="s">
        <v>556</v>
      </c>
      <c r="C1711" s="33" t="s">
        <v>511</v>
      </c>
      <c r="D1711" s="33"/>
      <c r="E1711" s="33" t="n">
        <v>55</v>
      </c>
      <c r="F1711" s="33" t="s">
        <v>2160</v>
      </c>
      <c r="G1711" s="33" t="s">
        <v>514</v>
      </c>
      <c r="H1711" s="33" t="n">
        <v>1</v>
      </c>
      <c r="I1711" s="33" t="n">
        <v>1</v>
      </c>
      <c r="J1711" s="33" t="n">
        <v>1</v>
      </c>
      <c r="K1711" s="32" t="n">
        <v>75</v>
      </c>
      <c r="L1711" s="33" t="str">
        <f aca="false">IF($B1711="","",IFERROR(INDEX('Code Mapping'!$D$5:$D$1753,MATCH($B1711,'Code Mapping'!$A$5:$A$1753,0)),"Unmapped"))</f>
        <v>Unmapped</v>
      </c>
      <c r="M1711" s="33" t="str">
        <f aca="false">IF($B1711="","",IFERROR(INDEX('Code Mapping'!$E$5:$E$1753,MATCH($B1711,'Code Mapping'!$A$5:$A$1753,0)),"Unmapped"))</f>
        <v>Unmapped</v>
      </c>
      <c r="N1711" s="33" t="str">
        <f aca="false">IF($F1711="","",$F1711)</f>
        <v>InflataCity</v>
      </c>
    </row>
    <row r="1712" customFormat="false" ht="15" hidden="false" customHeight="false" outlineLevel="0" collapsed="false">
      <c r="A1712" s="33" t="n">
        <v>1530</v>
      </c>
      <c r="B1712" s="33" t="s">
        <v>558</v>
      </c>
      <c r="C1712" s="33" t="s">
        <v>513</v>
      </c>
      <c r="D1712" s="33"/>
      <c r="E1712" s="33" t="n">
        <v>55</v>
      </c>
      <c r="F1712" s="33" t="s">
        <v>2160</v>
      </c>
      <c r="G1712" s="33" t="s">
        <v>514</v>
      </c>
      <c r="H1712" s="33" t="n">
        <v>1</v>
      </c>
      <c r="I1712" s="33" t="n">
        <v>1</v>
      </c>
      <c r="J1712" s="33" t="n">
        <v>1</v>
      </c>
      <c r="K1712" s="32" t="n">
        <v>300</v>
      </c>
      <c r="L1712" s="33" t="str">
        <f aca="false">IF($B1712="","",IFERROR(INDEX('Code Mapping'!$D$5:$D$1753,MATCH($B1712,'Code Mapping'!$A$5:$A$1753,0)),"Unmapped"))</f>
        <v>Unmapped</v>
      </c>
      <c r="M1712" s="33" t="str">
        <f aca="false">IF($B1712="","",IFERROR(INDEX('Code Mapping'!$E$5:$E$1753,MATCH($B1712,'Code Mapping'!$A$5:$A$1753,0)),"Unmapped"))</f>
        <v>Unmapped</v>
      </c>
      <c r="N1712" s="33" t="str">
        <f aca="false">IF($F1712="","",$F1712)</f>
        <v>InflataCity</v>
      </c>
    </row>
    <row r="1713" customFormat="false" ht="15" hidden="false" customHeight="false" outlineLevel="0" collapsed="false">
      <c r="A1713" s="33" t="n">
        <v>1769</v>
      </c>
      <c r="B1713" s="33" t="s">
        <v>559</v>
      </c>
      <c r="C1713" s="33" t="s">
        <v>511</v>
      </c>
      <c r="D1713" s="33"/>
      <c r="E1713" s="33" t="n">
        <v>55</v>
      </c>
      <c r="F1713" s="33" t="s">
        <v>2160</v>
      </c>
      <c r="G1713" s="33" t="s">
        <v>514</v>
      </c>
      <c r="H1713" s="33" t="n">
        <v>1</v>
      </c>
      <c r="I1713" s="33" t="n">
        <v>1</v>
      </c>
      <c r="J1713" s="33" t="n">
        <v>1</v>
      </c>
      <c r="K1713" s="32" t="n">
        <v>75</v>
      </c>
      <c r="L1713" s="33" t="str">
        <f aca="false">IF($B1713="","",IFERROR(INDEX('Code Mapping'!$D$5:$D$1753,MATCH($B1713,'Code Mapping'!$A$5:$A$1753,0)),"Unmapped"))</f>
        <v>Unmapped</v>
      </c>
      <c r="M1713" s="33" t="str">
        <f aca="false">IF($B1713="","",IFERROR(INDEX('Code Mapping'!$E$5:$E$1753,MATCH($B1713,'Code Mapping'!$A$5:$A$1753,0)),"Unmapped"))</f>
        <v>Unmapped</v>
      </c>
      <c r="N1713" s="33" t="str">
        <f aca="false">IF($F1713="","",$F1713)</f>
        <v>InflataCity</v>
      </c>
    </row>
    <row r="1714" customFormat="false" ht="15" hidden="false" customHeight="false" outlineLevel="0" collapsed="false">
      <c r="A1714" s="33" t="n">
        <v>1842</v>
      </c>
      <c r="B1714" s="33" t="s">
        <v>561</v>
      </c>
      <c r="C1714" s="33" t="s">
        <v>511</v>
      </c>
      <c r="D1714" s="33"/>
      <c r="E1714" s="33" t="n">
        <v>55</v>
      </c>
      <c r="F1714" s="33" t="s">
        <v>2160</v>
      </c>
      <c r="G1714" s="33" t="s">
        <v>514</v>
      </c>
      <c r="H1714" s="33" t="n">
        <v>1</v>
      </c>
      <c r="I1714" s="33" t="n">
        <v>1</v>
      </c>
      <c r="J1714" s="33" t="n">
        <v>1</v>
      </c>
      <c r="K1714" s="32" t="n">
        <v>75</v>
      </c>
      <c r="L1714" s="33" t="str">
        <f aca="false">IF($B1714="","",IFERROR(INDEX('Code Mapping'!$D$5:$D$1753,MATCH($B1714,'Code Mapping'!$A$5:$A$1753,0)),"Unmapped"))</f>
        <v>Unmapped</v>
      </c>
      <c r="M1714" s="33" t="str">
        <f aca="false">IF($B1714="","",IFERROR(INDEX('Code Mapping'!$E$5:$E$1753,MATCH($B1714,'Code Mapping'!$A$5:$A$1753,0)),"Unmapped"))</f>
        <v>Unmapped</v>
      </c>
      <c r="N1714" s="33" t="str">
        <f aca="false">IF($F1714="","",$F1714)</f>
        <v>InflataCity</v>
      </c>
    </row>
    <row r="1715" customFormat="false" ht="15" hidden="false" customHeight="false" outlineLevel="0" collapsed="false">
      <c r="A1715" s="33" t="n">
        <v>1918</v>
      </c>
      <c r="B1715" s="33" t="s">
        <v>566</v>
      </c>
      <c r="C1715" s="33" t="s">
        <v>511</v>
      </c>
      <c r="D1715" s="33"/>
      <c r="E1715" s="33" t="n">
        <v>55</v>
      </c>
      <c r="F1715" s="33" t="s">
        <v>2160</v>
      </c>
      <c r="G1715" s="33" t="s">
        <v>514</v>
      </c>
      <c r="H1715" s="33" t="n">
        <v>1</v>
      </c>
      <c r="I1715" s="33" t="n">
        <v>1</v>
      </c>
      <c r="J1715" s="33" t="n">
        <v>1</v>
      </c>
      <c r="K1715" s="32" t="n">
        <v>75</v>
      </c>
      <c r="L1715" s="33" t="str">
        <f aca="false">IF($B1715="","",IFERROR(INDEX('Code Mapping'!$D$5:$D$1753,MATCH($B1715,'Code Mapping'!$A$5:$A$1753,0)),"Unmapped"))</f>
        <v>Unmapped</v>
      </c>
      <c r="M1715" s="33" t="str">
        <f aca="false">IF($B1715="","",IFERROR(INDEX('Code Mapping'!$E$5:$E$1753,MATCH($B1715,'Code Mapping'!$A$5:$A$1753,0)),"Unmapped"))</f>
        <v>Unmapped</v>
      </c>
      <c r="N1715" s="33" t="str">
        <f aca="false">IF($F1715="","",$F1715)</f>
        <v>InflataCity</v>
      </c>
    </row>
    <row r="1716" customFormat="false" ht="15" hidden="false" customHeight="false" outlineLevel="0" collapsed="false">
      <c r="A1716" s="33" t="n">
        <v>1498</v>
      </c>
      <c r="B1716" s="33" t="s">
        <v>567</v>
      </c>
      <c r="C1716" s="33" t="s">
        <v>513</v>
      </c>
      <c r="D1716" s="33"/>
      <c r="E1716" s="33" t="n">
        <v>55</v>
      </c>
      <c r="F1716" s="33" t="s">
        <v>2160</v>
      </c>
      <c r="G1716" s="33" t="s">
        <v>514</v>
      </c>
      <c r="H1716" s="33" t="n">
        <v>1</v>
      </c>
      <c r="I1716" s="33" t="n">
        <v>1</v>
      </c>
      <c r="J1716" s="33" t="n">
        <v>1</v>
      </c>
      <c r="K1716" s="32" t="n">
        <v>300</v>
      </c>
      <c r="L1716" s="33" t="str">
        <f aca="false">IF($B1716="","",IFERROR(INDEX('Code Mapping'!$D$5:$D$1753,MATCH($B1716,'Code Mapping'!$A$5:$A$1753,0)),"Unmapped"))</f>
        <v>Unmapped</v>
      </c>
      <c r="M1716" s="33" t="str">
        <f aca="false">IF($B1716="","",IFERROR(INDEX('Code Mapping'!$E$5:$E$1753,MATCH($B1716,'Code Mapping'!$A$5:$A$1753,0)),"Unmapped"))</f>
        <v>Unmapped</v>
      </c>
      <c r="N1716" s="33" t="str">
        <f aca="false">IF($F1716="","",$F1716)</f>
        <v>InflataCity</v>
      </c>
    </row>
    <row r="1717" customFormat="false" ht="15" hidden="false" customHeight="false" outlineLevel="0" collapsed="false">
      <c r="A1717" s="33" t="n">
        <v>1451</v>
      </c>
      <c r="B1717" s="33" t="s">
        <v>576</v>
      </c>
      <c r="C1717" s="33" t="s">
        <v>513</v>
      </c>
      <c r="D1717" s="33"/>
      <c r="E1717" s="33" t="n">
        <v>55</v>
      </c>
      <c r="F1717" s="33" t="s">
        <v>2160</v>
      </c>
      <c r="G1717" s="33" t="s">
        <v>514</v>
      </c>
      <c r="H1717" s="33" t="n">
        <v>1</v>
      </c>
      <c r="I1717" s="33" t="n">
        <v>1</v>
      </c>
      <c r="J1717" s="33" t="n">
        <v>1</v>
      </c>
      <c r="K1717" s="32" t="n">
        <v>300</v>
      </c>
      <c r="L1717" s="33" t="str">
        <f aca="false">IF($B1717="","",IFERROR(INDEX('Code Mapping'!$D$5:$D$1753,MATCH($B1717,'Code Mapping'!$A$5:$A$1753,0)),"Unmapped"))</f>
        <v>Unmapped</v>
      </c>
      <c r="M1717" s="33" t="str">
        <f aca="false">IF($B1717="","",IFERROR(INDEX('Code Mapping'!$E$5:$E$1753,MATCH($B1717,'Code Mapping'!$A$5:$A$1753,0)),"Unmapped"))</f>
        <v>Unmapped</v>
      </c>
      <c r="N1717" s="33" t="str">
        <f aca="false">IF($F1717="","",$F1717)</f>
        <v>InflataCity</v>
      </c>
    </row>
    <row r="1718" customFormat="false" ht="15" hidden="false" customHeight="false" outlineLevel="0" collapsed="false">
      <c r="A1718" s="33" t="n">
        <v>1770</v>
      </c>
      <c r="B1718" s="33" t="s">
        <v>577</v>
      </c>
      <c r="C1718" s="33" t="s">
        <v>511</v>
      </c>
      <c r="D1718" s="33"/>
      <c r="E1718" s="33" t="n">
        <v>55</v>
      </c>
      <c r="F1718" s="33" t="s">
        <v>2160</v>
      </c>
      <c r="G1718" s="33" t="s">
        <v>514</v>
      </c>
      <c r="H1718" s="33" t="n">
        <v>1</v>
      </c>
      <c r="I1718" s="33" t="n">
        <v>1</v>
      </c>
      <c r="J1718" s="33" t="n">
        <v>1</v>
      </c>
      <c r="K1718" s="32" t="n">
        <v>75</v>
      </c>
      <c r="L1718" s="33" t="str">
        <f aca="false">IF($B1718="","",IFERROR(INDEX('Code Mapping'!$D$5:$D$1753,MATCH($B1718,'Code Mapping'!$A$5:$A$1753,0)),"Unmapped"))</f>
        <v>Unmapped</v>
      </c>
      <c r="M1718" s="33" t="str">
        <f aca="false">IF($B1718="","",IFERROR(INDEX('Code Mapping'!$E$5:$E$1753,MATCH($B1718,'Code Mapping'!$A$5:$A$1753,0)),"Unmapped"))</f>
        <v>Unmapped</v>
      </c>
      <c r="N1718" s="33" t="str">
        <f aca="false">IF($F1718="","",$F1718)</f>
        <v>InflataCity</v>
      </c>
    </row>
    <row r="1719" customFormat="false" ht="15" hidden="false" customHeight="false" outlineLevel="0" collapsed="false">
      <c r="A1719" s="33" t="n">
        <v>1824</v>
      </c>
      <c r="B1719" s="33" t="s">
        <v>589</v>
      </c>
      <c r="C1719" s="33" t="s">
        <v>511</v>
      </c>
      <c r="D1719" s="33"/>
      <c r="E1719" s="33" t="n">
        <v>55</v>
      </c>
      <c r="F1719" s="33" t="s">
        <v>2160</v>
      </c>
      <c r="G1719" s="33" t="s">
        <v>514</v>
      </c>
      <c r="H1719" s="33" t="n">
        <v>1</v>
      </c>
      <c r="I1719" s="33" t="n">
        <v>1</v>
      </c>
      <c r="J1719" s="33" t="n">
        <v>1</v>
      </c>
      <c r="K1719" s="32" t="n">
        <v>75</v>
      </c>
      <c r="L1719" s="33" t="str">
        <f aca="false">IF($B1719="","",IFERROR(INDEX('Code Mapping'!$D$5:$D$1753,MATCH($B1719,'Code Mapping'!$A$5:$A$1753,0)),"Unmapped"))</f>
        <v>Unmapped</v>
      </c>
      <c r="M1719" s="33" t="str">
        <f aca="false">IF($B1719="","",IFERROR(INDEX('Code Mapping'!$E$5:$E$1753,MATCH($B1719,'Code Mapping'!$A$5:$A$1753,0)),"Unmapped"))</f>
        <v>Unmapped</v>
      </c>
      <c r="N1719" s="33" t="str">
        <f aca="false">IF($F1719="","",$F1719)</f>
        <v>InflataCity</v>
      </c>
    </row>
    <row r="1720" customFormat="false" ht="15" hidden="false" customHeight="false" outlineLevel="0" collapsed="false">
      <c r="A1720" s="33" t="n">
        <v>1481</v>
      </c>
      <c r="B1720" s="33" t="s">
        <v>552</v>
      </c>
      <c r="C1720" s="33" t="s">
        <v>513</v>
      </c>
      <c r="D1720" s="33"/>
      <c r="E1720" s="33" t="n">
        <v>55</v>
      </c>
      <c r="F1720" s="33" t="s">
        <v>2160</v>
      </c>
      <c r="G1720" s="33" t="s">
        <v>514</v>
      </c>
      <c r="H1720" s="33" t="n">
        <v>1</v>
      </c>
      <c r="I1720" s="33" t="n">
        <v>1</v>
      </c>
      <c r="J1720" s="33" t="n">
        <v>1</v>
      </c>
      <c r="K1720" s="32" t="n">
        <v>300</v>
      </c>
      <c r="L1720" s="33" t="str">
        <f aca="false">IF($B1720="","",IFERROR(INDEX('Code Mapping'!$D$5:$D$1753,MATCH($B1720,'Code Mapping'!$A$5:$A$1753,0)),"Unmapped"))</f>
        <v>Unmapped</v>
      </c>
      <c r="M1720" s="33" t="str">
        <f aca="false">IF($B1720="","",IFERROR(INDEX('Code Mapping'!$E$5:$E$1753,MATCH($B1720,'Code Mapping'!$A$5:$A$1753,0)),"Unmapped"))</f>
        <v>Unmapped</v>
      </c>
      <c r="N1720" s="33" t="str">
        <f aca="false">IF($F1720="","",$F1720)</f>
        <v>InflataCity</v>
      </c>
    </row>
    <row r="1721" customFormat="false" ht="15" hidden="false" customHeight="false" outlineLevel="0" collapsed="false">
      <c r="A1721" s="33" t="n">
        <v>1902</v>
      </c>
      <c r="B1721" s="33" t="s">
        <v>594</v>
      </c>
      <c r="C1721" s="33" t="s">
        <v>511</v>
      </c>
      <c r="D1721" s="33"/>
      <c r="E1721" s="33" t="n">
        <v>55</v>
      </c>
      <c r="F1721" s="33" t="s">
        <v>2160</v>
      </c>
      <c r="G1721" s="33" t="s">
        <v>514</v>
      </c>
      <c r="H1721" s="33" t="n">
        <v>1</v>
      </c>
      <c r="I1721" s="33" t="n">
        <v>1</v>
      </c>
      <c r="J1721" s="33" t="n">
        <v>1</v>
      </c>
      <c r="K1721" s="32" t="n">
        <v>75</v>
      </c>
      <c r="L1721" s="33" t="str">
        <f aca="false">IF($B1721="","",IFERROR(INDEX('Code Mapping'!$D$5:$D$1753,MATCH($B1721,'Code Mapping'!$A$5:$A$1753,0)),"Unmapped"))</f>
        <v>Unmapped</v>
      </c>
      <c r="M1721" s="33" t="str">
        <f aca="false">IF($B1721="","",IFERROR(INDEX('Code Mapping'!$E$5:$E$1753,MATCH($B1721,'Code Mapping'!$A$5:$A$1753,0)),"Unmapped"))</f>
        <v>Unmapped</v>
      </c>
      <c r="N1721" s="33" t="str">
        <f aca="false">IF($F1721="","",$F1721)</f>
        <v>InflataCity</v>
      </c>
    </row>
    <row r="1722" customFormat="false" ht="15" hidden="false" customHeight="false" outlineLevel="0" collapsed="false">
      <c r="A1722" s="33" t="n">
        <v>1939</v>
      </c>
      <c r="B1722" s="33" t="s">
        <v>595</v>
      </c>
      <c r="C1722" s="33" t="s">
        <v>511</v>
      </c>
      <c r="D1722" s="33"/>
      <c r="E1722" s="33" t="n">
        <v>55</v>
      </c>
      <c r="F1722" s="33" t="s">
        <v>2160</v>
      </c>
      <c r="G1722" s="33" t="s">
        <v>514</v>
      </c>
      <c r="H1722" s="33" t="n">
        <v>1</v>
      </c>
      <c r="I1722" s="33" t="n">
        <v>1</v>
      </c>
      <c r="J1722" s="33" t="n">
        <v>1</v>
      </c>
      <c r="K1722" s="32" t="n">
        <v>75</v>
      </c>
      <c r="L1722" s="33" t="str">
        <f aca="false">IF($B1722="","",IFERROR(INDEX('Code Mapping'!$D$5:$D$1753,MATCH($B1722,'Code Mapping'!$A$5:$A$1753,0)),"Unmapped"))</f>
        <v>Unmapped</v>
      </c>
      <c r="M1722" s="33" t="str">
        <f aca="false">IF($B1722="","",IFERROR(INDEX('Code Mapping'!$E$5:$E$1753,MATCH($B1722,'Code Mapping'!$A$5:$A$1753,0)),"Unmapped"))</f>
        <v>Unmapped</v>
      </c>
      <c r="N1722" s="33" t="str">
        <f aca="false">IF($F1722="","",$F1722)</f>
        <v>InflataCity</v>
      </c>
    </row>
    <row r="1723" customFormat="false" ht="15" hidden="false" customHeight="false" outlineLevel="0" collapsed="false">
      <c r="A1723" s="33" t="n">
        <v>1836</v>
      </c>
      <c r="B1723" s="33" t="s">
        <v>596</v>
      </c>
      <c r="C1723" s="33" t="s">
        <v>511</v>
      </c>
      <c r="D1723" s="33"/>
      <c r="E1723" s="33" t="n">
        <v>55</v>
      </c>
      <c r="F1723" s="33" t="s">
        <v>2160</v>
      </c>
      <c r="G1723" s="33" t="s">
        <v>514</v>
      </c>
      <c r="H1723" s="33" t="n">
        <v>1</v>
      </c>
      <c r="I1723" s="33" t="n">
        <v>1</v>
      </c>
      <c r="J1723" s="33" t="n">
        <v>1</v>
      </c>
      <c r="K1723" s="32" t="n">
        <v>75</v>
      </c>
      <c r="L1723" s="33" t="str">
        <f aca="false">IF($B1723="","",IFERROR(INDEX('Code Mapping'!$D$5:$D$1753,MATCH($B1723,'Code Mapping'!$A$5:$A$1753,0)),"Unmapped"))</f>
        <v>Unmapped</v>
      </c>
      <c r="M1723" s="33" t="str">
        <f aca="false">IF($B1723="","",IFERROR(INDEX('Code Mapping'!$E$5:$E$1753,MATCH($B1723,'Code Mapping'!$A$5:$A$1753,0)),"Unmapped"))</f>
        <v>Unmapped</v>
      </c>
      <c r="N1723" s="33" t="str">
        <f aca="false">IF($F1723="","",$F1723)</f>
        <v>InflataCity</v>
      </c>
    </row>
    <row r="1724" customFormat="false" ht="15" hidden="false" customHeight="false" outlineLevel="0" collapsed="false">
      <c r="A1724" s="33" t="n">
        <v>1919</v>
      </c>
      <c r="B1724" s="33" t="s">
        <v>600</v>
      </c>
      <c r="C1724" s="33" t="s">
        <v>511</v>
      </c>
      <c r="D1724" s="33"/>
      <c r="E1724" s="33" t="n">
        <v>55</v>
      </c>
      <c r="F1724" s="33" t="s">
        <v>2160</v>
      </c>
      <c r="G1724" s="33" t="s">
        <v>514</v>
      </c>
      <c r="H1724" s="33" t="n">
        <v>1</v>
      </c>
      <c r="I1724" s="33" t="n">
        <v>1</v>
      </c>
      <c r="J1724" s="33" t="n">
        <v>1</v>
      </c>
      <c r="K1724" s="32" t="n">
        <v>75</v>
      </c>
      <c r="L1724" s="33" t="str">
        <f aca="false">IF($B1724="","",IFERROR(INDEX('Code Mapping'!$D$5:$D$1753,MATCH($B1724,'Code Mapping'!$A$5:$A$1753,0)),"Unmapped"))</f>
        <v>Unmapped</v>
      </c>
      <c r="M1724" s="33" t="str">
        <f aca="false">IF($B1724="","",IFERROR(INDEX('Code Mapping'!$E$5:$E$1753,MATCH($B1724,'Code Mapping'!$A$5:$A$1753,0)),"Unmapped"))</f>
        <v>Unmapped</v>
      </c>
      <c r="N1724" s="33" t="str">
        <f aca="false">IF($F1724="","",$F1724)</f>
        <v>InflataCity</v>
      </c>
    </row>
    <row r="1725" customFormat="false" ht="15" hidden="false" customHeight="false" outlineLevel="0" collapsed="false">
      <c r="A1725" s="33" t="n">
        <v>1923</v>
      </c>
      <c r="B1725" s="33" t="s">
        <v>601</v>
      </c>
      <c r="C1725" s="33" t="s">
        <v>511</v>
      </c>
      <c r="D1725" s="33"/>
      <c r="E1725" s="33" t="n">
        <v>55</v>
      </c>
      <c r="F1725" s="33" t="s">
        <v>2160</v>
      </c>
      <c r="G1725" s="33" t="s">
        <v>514</v>
      </c>
      <c r="H1725" s="33" t="n">
        <v>1</v>
      </c>
      <c r="I1725" s="33" t="n">
        <v>1</v>
      </c>
      <c r="J1725" s="33" t="n">
        <v>1</v>
      </c>
      <c r="K1725" s="32" t="n">
        <v>75</v>
      </c>
      <c r="L1725" s="33" t="str">
        <f aca="false">IF($B1725="","",IFERROR(INDEX('Code Mapping'!$D$5:$D$1753,MATCH($B1725,'Code Mapping'!$A$5:$A$1753,0)),"Unmapped"))</f>
        <v>Unmapped</v>
      </c>
      <c r="M1725" s="33" t="str">
        <f aca="false">IF($B1725="","",IFERROR(INDEX('Code Mapping'!$E$5:$E$1753,MATCH($B1725,'Code Mapping'!$A$5:$A$1753,0)),"Unmapped"))</f>
        <v>Unmapped</v>
      </c>
      <c r="N1725" s="33" t="str">
        <f aca="false">IF($F1725="","",$F1725)</f>
        <v>InflataCity</v>
      </c>
    </row>
    <row r="1726" customFormat="false" ht="15" hidden="false" customHeight="false" outlineLevel="0" collapsed="false">
      <c r="A1726" s="33" t="n">
        <v>1499</v>
      </c>
      <c r="B1726" s="33" t="s">
        <v>604</v>
      </c>
      <c r="C1726" s="33" t="s">
        <v>513</v>
      </c>
      <c r="D1726" s="33"/>
      <c r="E1726" s="33" t="n">
        <v>55</v>
      </c>
      <c r="F1726" s="33" t="s">
        <v>2160</v>
      </c>
      <c r="G1726" s="33" t="s">
        <v>514</v>
      </c>
      <c r="H1726" s="33" t="n">
        <v>1</v>
      </c>
      <c r="I1726" s="33" t="n">
        <v>1</v>
      </c>
      <c r="J1726" s="33" t="n">
        <v>1</v>
      </c>
      <c r="K1726" s="32" t="n">
        <v>300</v>
      </c>
      <c r="L1726" s="33" t="str">
        <f aca="false">IF($B1726="","",IFERROR(INDEX('Code Mapping'!$D$5:$D$1753,MATCH($B1726,'Code Mapping'!$A$5:$A$1753,0)),"Unmapped"))</f>
        <v>Unmapped</v>
      </c>
      <c r="M1726" s="33" t="str">
        <f aca="false">IF($B1726="","",IFERROR(INDEX('Code Mapping'!$E$5:$E$1753,MATCH($B1726,'Code Mapping'!$A$5:$A$1753,0)),"Unmapped"))</f>
        <v>Unmapped</v>
      </c>
      <c r="N1726" s="33" t="str">
        <f aca="false">IF($F1726="","",$F1726)</f>
        <v>InflataCity</v>
      </c>
    </row>
    <row r="1727" customFormat="false" ht="15" hidden="false" customHeight="false" outlineLevel="0" collapsed="false">
      <c r="A1727" s="33" t="n">
        <v>1916</v>
      </c>
      <c r="B1727" s="33" t="s">
        <v>605</v>
      </c>
      <c r="C1727" s="33" t="s">
        <v>511</v>
      </c>
      <c r="D1727" s="33"/>
      <c r="E1727" s="33" t="n">
        <v>55</v>
      </c>
      <c r="F1727" s="33" t="s">
        <v>2160</v>
      </c>
      <c r="G1727" s="33" t="s">
        <v>514</v>
      </c>
      <c r="H1727" s="33" t="n">
        <v>1</v>
      </c>
      <c r="I1727" s="33" t="n">
        <v>1</v>
      </c>
      <c r="J1727" s="33" t="n">
        <v>1</v>
      </c>
      <c r="K1727" s="32" t="n">
        <v>75</v>
      </c>
      <c r="L1727" s="33" t="str">
        <f aca="false">IF($B1727="","",IFERROR(INDEX('Code Mapping'!$D$5:$D$1753,MATCH($B1727,'Code Mapping'!$A$5:$A$1753,0)),"Unmapped"))</f>
        <v>Unmapped</v>
      </c>
      <c r="M1727" s="33" t="str">
        <f aca="false">IF($B1727="","",IFERROR(INDEX('Code Mapping'!$E$5:$E$1753,MATCH($B1727,'Code Mapping'!$A$5:$A$1753,0)),"Unmapped"))</f>
        <v>Unmapped</v>
      </c>
      <c r="N1727" s="33" t="str">
        <f aca="false">IF($F1727="","",$F1727)</f>
        <v>InflataCity</v>
      </c>
    </row>
    <row r="1728" customFormat="false" ht="15" hidden="false" customHeight="false" outlineLevel="0" collapsed="false">
      <c r="A1728" s="33" t="n">
        <v>1473</v>
      </c>
      <c r="B1728" s="33" t="s">
        <v>611</v>
      </c>
      <c r="C1728" s="33" t="s">
        <v>513</v>
      </c>
      <c r="D1728" s="33"/>
      <c r="E1728" s="33" t="n">
        <v>55</v>
      </c>
      <c r="F1728" s="33" t="s">
        <v>2160</v>
      </c>
      <c r="G1728" s="33" t="s">
        <v>514</v>
      </c>
      <c r="H1728" s="33" t="n">
        <v>1</v>
      </c>
      <c r="I1728" s="33" t="n">
        <v>1</v>
      </c>
      <c r="J1728" s="33" t="n">
        <v>1</v>
      </c>
      <c r="K1728" s="32" t="n">
        <v>300</v>
      </c>
      <c r="L1728" s="33" t="str">
        <f aca="false">IF($B1728="","",IFERROR(INDEX('Code Mapping'!$D$5:$D$1753,MATCH($B1728,'Code Mapping'!$A$5:$A$1753,0)),"Unmapped"))</f>
        <v>Unmapped</v>
      </c>
      <c r="M1728" s="33" t="str">
        <f aca="false">IF($B1728="","",IFERROR(INDEX('Code Mapping'!$E$5:$E$1753,MATCH($B1728,'Code Mapping'!$A$5:$A$1753,0)),"Unmapped"))</f>
        <v>Unmapped</v>
      </c>
      <c r="N1728" s="33" t="str">
        <f aca="false">IF($F1728="","",$F1728)</f>
        <v>InflataCity</v>
      </c>
    </row>
    <row r="1729" customFormat="false" ht="15" hidden="false" customHeight="false" outlineLevel="0" collapsed="false">
      <c r="A1729" s="33" t="n">
        <v>1958</v>
      </c>
      <c r="B1729" s="33" t="s">
        <v>555</v>
      </c>
      <c r="C1729" s="33" t="s">
        <v>511</v>
      </c>
      <c r="D1729" s="33"/>
      <c r="E1729" s="33" t="n">
        <v>55</v>
      </c>
      <c r="F1729" s="33" t="s">
        <v>2160</v>
      </c>
      <c r="G1729" s="33" t="s">
        <v>514</v>
      </c>
      <c r="H1729" s="33" t="n">
        <v>1</v>
      </c>
      <c r="I1729" s="33" t="n">
        <v>1</v>
      </c>
      <c r="J1729" s="33" t="n">
        <v>1</v>
      </c>
      <c r="K1729" s="32" t="n">
        <v>75</v>
      </c>
      <c r="L1729" s="33" t="str">
        <f aca="false">IF($B1729="","",IFERROR(INDEX('Code Mapping'!$D$5:$D$1753,MATCH($B1729,'Code Mapping'!$A$5:$A$1753,0)),"Unmapped"))</f>
        <v>Unmapped</v>
      </c>
      <c r="M1729" s="33" t="str">
        <f aca="false">IF($B1729="","",IFERROR(INDEX('Code Mapping'!$E$5:$E$1753,MATCH($B1729,'Code Mapping'!$A$5:$A$1753,0)),"Unmapped"))</f>
        <v>Unmapped</v>
      </c>
      <c r="N1729" s="33" t="str">
        <f aca="false">IF($F1729="","",$F1729)</f>
        <v>InflataCity</v>
      </c>
    </row>
    <row r="1730" customFormat="false" ht="15" hidden="false" customHeight="false" outlineLevel="0" collapsed="false">
      <c r="A1730" s="33" t="n">
        <v>1948</v>
      </c>
      <c r="B1730" s="33" t="s">
        <v>551</v>
      </c>
      <c r="C1730" s="33" t="s">
        <v>511</v>
      </c>
      <c r="D1730" s="33"/>
      <c r="E1730" s="33" t="n">
        <v>55</v>
      </c>
      <c r="F1730" s="33" t="s">
        <v>2160</v>
      </c>
      <c r="G1730" s="33" t="s">
        <v>514</v>
      </c>
      <c r="H1730" s="33" t="n">
        <v>1</v>
      </c>
      <c r="I1730" s="33" t="n">
        <v>1</v>
      </c>
      <c r="J1730" s="33" t="n">
        <v>1</v>
      </c>
      <c r="K1730" s="32" t="n">
        <v>75</v>
      </c>
      <c r="L1730" s="33" t="str">
        <f aca="false">IF($B1730="","",IFERROR(INDEX('Code Mapping'!$D$5:$D$1753,MATCH($B1730,'Code Mapping'!$A$5:$A$1753,0)),"Unmapped"))</f>
        <v>Unmapped</v>
      </c>
      <c r="M1730" s="33" t="str">
        <f aca="false">IF($B1730="","",IFERROR(INDEX('Code Mapping'!$E$5:$E$1753,MATCH($B1730,'Code Mapping'!$A$5:$A$1753,0)),"Unmapped"))</f>
        <v>Unmapped</v>
      </c>
      <c r="N1730" s="33" t="str">
        <f aca="false">IF($F1730="","",$F1730)</f>
        <v>InflataCity</v>
      </c>
    </row>
    <row r="1731" customFormat="false" ht="15" hidden="false" customHeight="false" outlineLevel="0" collapsed="false">
      <c r="A1731" s="33" t="n">
        <v>1496</v>
      </c>
      <c r="B1731" s="33" t="s">
        <v>619</v>
      </c>
      <c r="C1731" s="33" t="s">
        <v>513</v>
      </c>
      <c r="D1731" s="33"/>
      <c r="E1731" s="33" t="n">
        <v>55</v>
      </c>
      <c r="F1731" s="33" t="s">
        <v>2160</v>
      </c>
      <c r="G1731" s="33" t="s">
        <v>514</v>
      </c>
      <c r="H1731" s="33" t="n">
        <v>1</v>
      </c>
      <c r="I1731" s="33" t="n">
        <v>1</v>
      </c>
      <c r="J1731" s="33" t="n">
        <v>1</v>
      </c>
      <c r="K1731" s="32" t="n">
        <v>300</v>
      </c>
      <c r="L1731" s="33" t="str">
        <f aca="false">IF($B1731="","",IFERROR(INDEX('Code Mapping'!$D$5:$D$1753,MATCH($B1731,'Code Mapping'!$A$5:$A$1753,0)),"Unmapped"))</f>
        <v>Unmapped</v>
      </c>
      <c r="M1731" s="33" t="str">
        <f aca="false">IF($B1731="","",IFERROR(INDEX('Code Mapping'!$E$5:$E$1753,MATCH($B1731,'Code Mapping'!$A$5:$A$1753,0)),"Unmapped"))</f>
        <v>Unmapped</v>
      </c>
      <c r="N1731" s="33" t="str">
        <f aca="false">IF($F1731="","",$F1731)</f>
        <v>InflataCity</v>
      </c>
    </row>
    <row r="1732" customFormat="false" ht="15" hidden="false" customHeight="false" outlineLevel="0" collapsed="false">
      <c r="A1732" s="33" t="n">
        <v>1493</v>
      </c>
      <c r="B1732" s="33" t="s">
        <v>526</v>
      </c>
      <c r="C1732" s="33" t="s">
        <v>513</v>
      </c>
      <c r="D1732" s="33"/>
      <c r="E1732" s="33" t="n">
        <v>55</v>
      </c>
      <c r="F1732" s="33" t="s">
        <v>2160</v>
      </c>
      <c r="G1732" s="33" t="s">
        <v>514</v>
      </c>
      <c r="H1732" s="33" t="n">
        <v>1</v>
      </c>
      <c r="I1732" s="33" t="n">
        <v>1</v>
      </c>
      <c r="J1732" s="33" t="n">
        <v>1</v>
      </c>
      <c r="K1732" s="32" t="n">
        <v>300</v>
      </c>
      <c r="L1732" s="33" t="str">
        <f aca="false">IF($B1732="","",IFERROR(INDEX('Code Mapping'!$D$5:$D$1753,MATCH($B1732,'Code Mapping'!$A$5:$A$1753,0)),"Unmapped"))</f>
        <v>Unmapped</v>
      </c>
      <c r="M1732" s="33" t="str">
        <f aca="false">IF($B1732="","",IFERROR(INDEX('Code Mapping'!$E$5:$E$1753,MATCH($B1732,'Code Mapping'!$A$5:$A$1753,0)),"Unmapped"))</f>
        <v>Unmapped</v>
      </c>
      <c r="N1732" s="33" t="str">
        <f aca="false">IF($F1732="","",$F1732)</f>
        <v>InflataCity</v>
      </c>
    </row>
    <row r="1733" customFormat="false" ht="15" hidden="false" customHeight="false" outlineLevel="0" collapsed="false">
      <c r="A1733" s="33" t="n">
        <v>1861</v>
      </c>
      <c r="B1733" s="33" t="s">
        <v>718</v>
      </c>
      <c r="C1733" s="33" t="s">
        <v>511</v>
      </c>
      <c r="D1733" s="33"/>
      <c r="E1733" s="33" t="n">
        <v>55</v>
      </c>
      <c r="F1733" s="33" t="s">
        <v>2160</v>
      </c>
      <c r="G1733" s="33" t="s">
        <v>514</v>
      </c>
      <c r="H1733" s="33" t="n">
        <v>1</v>
      </c>
      <c r="I1733" s="33" t="n">
        <v>1</v>
      </c>
      <c r="J1733" s="33" t="n">
        <v>1</v>
      </c>
      <c r="K1733" s="32" t="n">
        <v>75</v>
      </c>
      <c r="L1733" s="33" t="str">
        <f aca="false">IF($B1733="","",IFERROR(INDEX('Code Mapping'!$D$5:$D$1753,MATCH($B1733,'Code Mapping'!$A$5:$A$1753,0)),"Unmapped"))</f>
        <v>Unmapped</v>
      </c>
      <c r="M1733" s="33" t="str">
        <f aca="false">IF($B1733="","",IFERROR(INDEX('Code Mapping'!$E$5:$E$1753,MATCH($B1733,'Code Mapping'!$A$5:$A$1753,0)),"Unmapped"))</f>
        <v>Unmapped</v>
      </c>
      <c r="N1733" s="33" t="str">
        <f aca="false">IF($F1733="","",$F1733)</f>
        <v>InflataCity</v>
      </c>
    </row>
    <row r="1734" customFormat="false" ht="15" hidden="false" customHeight="false" outlineLevel="0" collapsed="false">
      <c r="A1734" s="33" t="n">
        <v>1539</v>
      </c>
      <c r="B1734" s="33" t="s">
        <v>512</v>
      </c>
      <c r="C1734" s="33" t="s">
        <v>513</v>
      </c>
      <c r="D1734" s="33"/>
      <c r="E1734" s="33" t="n">
        <v>55</v>
      </c>
      <c r="F1734" s="33" t="s">
        <v>2160</v>
      </c>
      <c r="G1734" s="33" t="s">
        <v>514</v>
      </c>
      <c r="H1734" s="33" t="n">
        <v>1</v>
      </c>
      <c r="I1734" s="33" t="n">
        <v>1</v>
      </c>
      <c r="J1734" s="33" t="n">
        <v>1</v>
      </c>
      <c r="K1734" s="32" t="n">
        <v>300</v>
      </c>
      <c r="L1734" s="33" t="str">
        <f aca="false">IF($B1734="","",IFERROR(INDEX('Code Mapping'!$D$5:$D$1753,MATCH($B1734,'Code Mapping'!$A$5:$A$1753,0)),"Unmapped"))</f>
        <v>Unmapped</v>
      </c>
      <c r="M1734" s="33" t="str">
        <f aca="false">IF($B1734="","",IFERROR(INDEX('Code Mapping'!$E$5:$E$1753,MATCH($B1734,'Code Mapping'!$A$5:$A$1753,0)),"Unmapped"))</f>
        <v>Unmapped</v>
      </c>
      <c r="N1734" s="33" t="str">
        <f aca="false">IF($F1734="","",$F1734)</f>
        <v>InflataCity</v>
      </c>
    </row>
    <row r="1735" customFormat="false" ht="15" hidden="false" customHeight="false" outlineLevel="0" collapsed="false">
      <c r="A1735" s="33" t="n">
        <v>1791</v>
      </c>
      <c r="B1735" s="33" t="s">
        <v>516</v>
      </c>
      <c r="C1735" s="33" t="s">
        <v>511</v>
      </c>
      <c r="D1735" s="33"/>
      <c r="E1735" s="33" t="n">
        <v>55</v>
      </c>
      <c r="F1735" s="33" t="s">
        <v>2160</v>
      </c>
      <c r="G1735" s="33" t="s">
        <v>514</v>
      </c>
      <c r="H1735" s="33" t="n">
        <v>1</v>
      </c>
      <c r="I1735" s="33" t="n">
        <v>1</v>
      </c>
      <c r="J1735" s="33" t="n">
        <v>1</v>
      </c>
      <c r="K1735" s="32" t="n">
        <v>75</v>
      </c>
      <c r="L1735" s="33" t="str">
        <f aca="false">IF($B1735="","",IFERROR(INDEX('Code Mapping'!$D$5:$D$1753,MATCH($B1735,'Code Mapping'!$A$5:$A$1753,0)),"Unmapped"))</f>
        <v>Unmapped</v>
      </c>
      <c r="M1735" s="33" t="str">
        <f aca="false">IF($B1735="","",IFERROR(INDEX('Code Mapping'!$E$5:$E$1753,MATCH($B1735,'Code Mapping'!$A$5:$A$1753,0)),"Unmapped"))</f>
        <v>Unmapped</v>
      </c>
      <c r="N1735" s="33" t="str">
        <f aca="false">IF($F1735="","",$F1735)</f>
        <v>InflataCity</v>
      </c>
    </row>
    <row r="1736" customFormat="false" ht="15" hidden="false" customHeight="false" outlineLevel="0" collapsed="false">
      <c r="A1736" s="33" t="n">
        <v>1869</v>
      </c>
      <c r="B1736" s="33" t="s">
        <v>517</v>
      </c>
      <c r="C1736" s="33" t="s">
        <v>511</v>
      </c>
      <c r="D1736" s="33"/>
      <c r="E1736" s="33" t="n">
        <v>55</v>
      </c>
      <c r="F1736" s="33" t="s">
        <v>2160</v>
      </c>
      <c r="G1736" s="33" t="s">
        <v>514</v>
      </c>
      <c r="H1736" s="33" t="n">
        <v>1</v>
      </c>
      <c r="I1736" s="33" t="n">
        <v>1</v>
      </c>
      <c r="J1736" s="33" t="n">
        <v>1</v>
      </c>
      <c r="K1736" s="32" t="n">
        <v>75</v>
      </c>
      <c r="L1736" s="33" t="str">
        <f aca="false">IF($B1736="","",IFERROR(INDEX('Code Mapping'!$D$5:$D$1753,MATCH($B1736,'Code Mapping'!$A$5:$A$1753,0)),"Unmapped"))</f>
        <v>Unmapped</v>
      </c>
      <c r="M1736" s="33" t="str">
        <f aca="false">IF($B1736="","",IFERROR(INDEX('Code Mapping'!$E$5:$E$1753,MATCH($B1736,'Code Mapping'!$A$5:$A$1753,0)),"Unmapped"))</f>
        <v>Unmapped</v>
      </c>
      <c r="N1736" s="33" t="str">
        <f aca="false">IF($F1736="","",$F1736)</f>
        <v>InflataCity</v>
      </c>
    </row>
    <row r="1737" customFormat="false" ht="15" hidden="false" customHeight="false" outlineLevel="0" collapsed="false">
      <c r="A1737" s="33" t="n">
        <v>1583</v>
      </c>
      <c r="B1737" s="33" t="s">
        <v>519</v>
      </c>
      <c r="C1737" s="33" t="s">
        <v>513</v>
      </c>
      <c r="D1737" s="33"/>
      <c r="E1737" s="33" t="n">
        <v>55</v>
      </c>
      <c r="F1737" s="33" t="s">
        <v>2160</v>
      </c>
      <c r="G1737" s="33" t="s">
        <v>514</v>
      </c>
      <c r="H1737" s="33" t="n">
        <v>1</v>
      </c>
      <c r="I1737" s="33" t="n">
        <v>1</v>
      </c>
      <c r="J1737" s="33" t="n">
        <v>1</v>
      </c>
      <c r="K1737" s="32" t="n">
        <v>300</v>
      </c>
      <c r="L1737" s="33" t="str">
        <f aca="false">IF($B1737="","",IFERROR(INDEX('Code Mapping'!$D$5:$D$1753,MATCH($B1737,'Code Mapping'!$A$5:$A$1753,0)),"Unmapped"))</f>
        <v>Unmapped</v>
      </c>
      <c r="M1737" s="33" t="str">
        <f aca="false">IF($B1737="","",IFERROR(INDEX('Code Mapping'!$E$5:$E$1753,MATCH($B1737,'Code Mapping'!$A$5:$A$1753,0)),"Unmapped"))</f>
        <v>Unmapped</v>
      </c>
      <c r="N1737" s="33" t="str">
        <f aca="false">IF($F1737="","",$F1737)</f>
        <v>InflataCity</v>
      </c>
    </row>
    <row r="1738" customFormat="false" ht="15" hidden="false" customHeight="false" outlineLevel="0" collapsed="false">
      <c r="A1738" s="33" t="n">
        <v>1894</v>
      </c>
      <c r="B1738" s="33" t="s">
        <v>520</v>
      </c>
      <c r="C1738" s="33" t="s">
        <v>511</v>
      </c>
      <c r="D1738" s="33"/>
      <c r="E1738" s="33" t="n">
        <v>55</v>
      </c>
      <c r="F1738" s="33" t="s">
        <v>2160</v>
      </c>
      <c r="G1738" s="33" t="s">
        <v>514</v>
      </c>
      <c r="H1738" s="33" t="n">
        <v>1</v>
      </c>
      <c r="I1738" s="33" t="n">
        <v>1</v>
      </c>
      <c r="J1738" s="33" t="n">
        <v>1</v>
      </c>
      <c r="K1738" s="32" t="n">
        <v>75</v>
      </c>
      <c r="L1738" s="33" t="str">
        <f aca="false">IF($B1738="","",IFERROR(INDEX('Code Mapping'!$D$5:$D$1753,MATCH($B1738,'Code Mapping'!$A$5:$A$1753,0)),"Unmapped"))</f>
        <v>Unmapped</v>
      </c>
      <c r="M1738" s="33" t="str">
        <f aca="false">IF($B1738="","",IFERROR(INDEX('Code Mapping'!$E$5:$E$1753,MATCH($B1738,'Code Mapping'!$A$5:$A$1753,0)),"Unmapped"))</f>
        <v>Unmapped</v>
      </c>
      <c r="N1738" s="33" t="str">
        <f aca="false">IF($F1738="","",$F1738)</f>
        <v>InflataCity</v>
      </c>
    </row>
    <row r="1739" customFormat="false" ht="15" hidden="false" customHeight="false" outlineLevel="0" collapsed="false">
      <c r="A1739" s="33" t="n">
        <v>1858</v>
      </c>
      <c r="B1739" s="33" t="s">
        <v>522</v>
      </c>
      <c r="C1739" s="33" t="s">
        <v>511</v>
      </c>
      <c r="D1739" s="33"/>
      <c r="E1739" s="33" t="n">
        <v>55</v>
      </c>
      <c r="F1739" s="33" t="s">
        <v>2160</v>
      </c>
      <c r="G1739" s="33" t="s">
        <v>514</v>
      </c>
      <c r="H1739" s="33" t="n">
        <v>1</v>
      </c>
      <c r="I1739" s="33" t="n">
        <v>1</v>
      </c>
      <c r="J1739" s="33" t="n">
        <v>1</v>
      </c>
      <c r="K1739" s="32" t="n">
        <v>75</v>
      </c>
      <c r="L1739" s="33" t="str">
        <f aca="false">IF($B1739="","",IFERROR(INDEX('Code Mapping'!$D$5:$D$1753,MATCH($B1739,'Code Mapping'!$A$5:$A$1753,0)),"Unmapped"))</f>
        <v>Unmapped</v>
      </c>
      <c r="M1739" s="33" t="str">
        <f aca="false">IF($B1739="","",IFERROR(INDEX('Code Mapping'!$E$5:$E$1753,MATCH($B1739,'Code Mapping'!$A$5:$A$1753,0)),"Unmapped"))</f>
        <v>Unmapped</v>
      </c>
      <c r="N1739" s="33" t="str">
        <f aca="false">IF($F1739="","",$F1739)</f>
        <v>InflataCity</v>
      </c>
    </row>
    <row r="1740" customFormat="false" ht="15" hidden="false" customHeight="false" outlineLevel="0" collapsed="false">
      <c r="A1740" s="33" t="n">
        <v>1817</v>
      </c>
      <c r="B1740" s="33" t="s">
        <v>523</v>
      </c>
      <c r="C1740" s="33" t="s">
        <v>511</v>
      </c>
      <c r="D1740" s="33"/>
      <c r="E1740" s="33" t="n">
        <v>55</v>
      </c>
      <c r="F1740" s="33" t="s">
        <v>2160</v>
      </c>
      <c r="G1740" s="33" t="s">
        <v>514</v>
      </c>
      <c r="H1740" s="33" t="n">
        <v>1</v>
      </c>
      <c r="I1740" s="33" t="n">
        <v>1</v>
      </c>
      <c r="J1740" s="33" t="n">
        <v>1</v>
      </c>
      <c r="K1740" s="32" t="n">
        <v>75</v>
      </c>
      <c r="L1740" s="33" t="str">
        <f aca="false">IF($B1740="","",IFERROR(INDEX('Code Mapping'!$D$5:$D$1753,MATCH($B1740,'Code Mapping'!$A$5:$A$1753,0)),"Unmapped"))</f>
        <v>Unmapped</v>
      </c>
      <c r="M1740" s="33" t="str">
        <f aca="false">IF($B1740="","",IFERROR(INDEX('Code Mapping'!$E$5:$E$1753,MATCH($B1740,'Code Mapping'!$A$5:$A$1753,0)),"Unmapped"))</f>
        <v>Unmapped</v>
      </c>
      <c r="N1740" s="33" t="str">
        <f aca="false">IF($F1740="","",$F1740)</f>
        <v>InflataCity</v>
      </c>
    </row>
    <row r="1741" customFormat="false" ht="15" hidden="false" customHeight="false" outlineLevel="0" collapsed="false">
      <c r="A1741" s="33" t="n">
        <v>1442</v>
      </c>
      <c r="B1741" s="33" t="s">
        <v>531</v>
      </c>
      <c r="C1741" s="33" t="s">
        <v>513</v>
      </c>
      <c r="D1741" s="33"/>
      <c r="E1741" s="33" t="n">
        <v>55</v>
      </c>
      <c r="F1741" s="33" t="s">
        <v>2160</v>
      </c>
      <c r="G1741" s="33" t="s">
        <v>514</v>
      </c>
      <c r="H1741" s="33" t="n">
        <v>1</v>
      </c>
      <c r="I1741" s="33" t="n">
        <v>1</v>
      </c>
      <c r="J1741" s="33" t="n">
        <v>1</v>
      </c>
      <c r="K1741" s="32" t="n">
        <v>300</v>
      </c>
      <c r="L1741" s="33" t="str">
        <f aca="false">IF($B1741="","",IFERROR(INDEX('Code Mapping'!$D$5:$D$1753,MATCH($B1741,'Code Mapping'!$A$5:$A$1753,0)),"Unmapped"))</f>
        <v>Unmapped</v>
      </c>
      <c r="M1741" s="33" t="str">
        <f aca="false">IF($B1741="","",IFERROR(INDEX('Code Mapping'!$E$5:$E$1753,MATCH($B1741,'Code Mapping'!$A$5:$A$1753,0)),"Unmapped"))</f>
        <v>Unmapped</v>
      </c>
      <c r="N1741" s="33" t="str">
        <f aca="false">IF($F1741="","",$F1741)</f>
        <v>InflataCity</v>
      </c>
    </row>
    <row r="1742" customFormat="false" ht="15" hidden="false" customHeight="false" outlineLevel="0" collapsed="false">
      <c r="A1742" s="33" t="n">
        <v>1500</v>
      </c>
      <c r="B1742" s="33" t="s">
        <v>550</v>
      </c>
      <c r="C1742" s="33" t="s">
        <v>513</v>
      </c>
      <c r="D1742" s="33"/>
      <c r="E1742" s="33" t="n">
        <v>55</v>
      </c>
      <c r="F1742" s="33" t="s">
        <v>2160</v>
      </c>
      <c r="G1742" s="33" t="s">
        <v>514</v>
      </c>
      <c r="H1742" s="33" t="n">
        <v>1</v>
      </c>
      <c r="I1742" s="33" t="n">
        <v>1</v>
      </c>
      <c r="J1742" s="33" t="n">
        <v>1</v>
      </c>
      <c r="K1742" s="32" t="n">
        <v>300</v>
      </c>
      <c r="L1742" s="33" t="str">
        <f aca="false">IF($B1742="","",IFERROR(INDEX('Code Mapping'!$D$5:$D$1753,MATCH($B1742,'Code Mapping'!$A$5:$A$1753,0)),"Unmapped"))</f>
        <v>Unmapped</v>
      </c>
      <c r="M1742" s="33" t="str">
        <f aca="false">IF($B1742="","",IFERROR(INDEX('Code Mapping'!$E$5:$E$1753,MATCH($B1742,'Code Mapping'!$A$5:$A$1753,0)),"Unmapped"))</f>
        <v>Unmapped</v>
      </c>
      <c r="N1742" s="33" t="str">
        <f aca="false">IF($F1742="","",$F1742)</f>
        <v>InflataCity</v>
      </c>
    </row>
    <row r="1743" customFormat="false" ht="15" hidden="false" customHeight="false" outlineLevel="0" collapsed="false">
      <c r="A1743" s="33" t="n">
        <v>1578</v>
      </c>
      <c r="B1743" s="33" t="s">
        <v>533</v>
      </c>
      <c r="C1743" s="33" t="s">
        <v>513</v>
      </c>
      <c r="D1743" s="33"/>
      <c r="E1743" s="33" t="n">
        <v>55</v>
      </c>
      <c r="F1743" s="33" t="s">
        <v>2160</v>
      </c>
      <c r="G1743" s="33" t="s">
        <v>514</v>
      </c>
      <c r="H1743" s="33" t="n">
        <v>1</v>
      </c>
      <c r="I1743" s="33" t="n">
        <v>1</v>
      </c>
      <c r="J1743" s="33" t="n">
        <v>1</v>
      </c>
      <c r="K1743" s="32" t="n">
        <v>300</v>
      </c>
      <c r="L1743" s="33" t="str">
        <f aca="false">IF($B1743="","",IFERROR(INDEX('Code Mapping'!$D$5:$D$1753,MATCH($B1743,'Code Mapping'!$A$5:$A$1753,0)),"Unmapped"))</f>
        <v>Unmapped</v>
      </c>
      <c r="M1743" s="33" t="str">
        <f aca="false">IF($B1743="","",IFERROR(INDEX('Code Mapping'!$E$5:$E$1753,MATCH($B1743,'Code Mapping'!$A$5:$A$1753,0)),"Unmapped"))</f>
        <v>Unmapped</v>
      </c>
      <c r="N1743" s="33" t="str">
        <f aca="false">IF($F1743="","",$F1743)</f>
        <v>InflataCity</v>
      </c>
    </row>
    <row r="1744" customFormat="false" ht="15" hidden="false" customHeight="false" outlineLevel="0" collapsed="false">
      <c r="A1744" s="33" t="n">
        <v>1529</v>
      </c>
      <c r="B1744" s="33" t="s">
        <v>534</v>
      </c>
      <c r="C1744" s="33" t="s">
        <v>513</v>
      </c>
      <c r="D1744" s="33"/>
      <c r="E1744" s="33" t="n">
        <v>55</v>
      </c>
      <c r="F1744" s="33" t="s">
        <v>2160</v>
      </c>
      <c r="G1744" s="33" t="s">
        <v>514</v>
      </c>
      <c r="H1744" s="33" t="n">
        <v>1</v>
      </c>
      <c r="I1744" s="33" t="n">
        <v>1</v>
      </c>
      <c r="J1744" s="33" t="n">
        <v>1</v>
      </c>
      <c r="K1744" s="32" t="n">
        <v>300</v>
      </c>
      <c r="L1744" s="33" t="str">
        <f aca="false">IF($B1744="","",IFERROR(INDEX('Code Mapping'!$D$5:$D$1753,MATCH($B1744,'Code Mapping'!$A$5:$A$1753,0)),"Unmapped"))</f>
        <v>Unmapped</v>
      </c>
      <c r="M1744" s="33" t="str">
        <f aca="false">IF($B1744="","",IFERROR(INDEX('Code Mapping'!$E$5:$E$1753,MATCH($B1744,'Code Mapping'!$A$5:$A$1753,0)),"Unmapped"))</f>
        <v>Unmapped</v>
      </c>
      <c r="N1744" s="33" t="str">
        <f aca="false">IF($F1744="","",$F1744)</f>
        <v>InflataCity</v>
      </c>
    </row>
    <row r="1745" customFormat="false" ht="15" hidden="false" customHeight="false" outlineLevel="0" collapsed="false">
      <c r="A1745" s="33" t="n">
        <v>1486</v>
      </c>
      <c r="B1745" s="33" t="s">
        <v>535</v>
      </c>
      <c r="C1745" s="33" t="s">
        <v>513</v>
      </c>
      <c r="D1745" s="33"/>
      <c r="E1745" s="33" t="n">
        <v>55</v>
      </c>
      <c r="F1745" s="33" t="s">
        <v>2160</v>
      </c>
      <c r="G1745" s="33" t="s">
        <v>514</v>
      </c>
      <c r="H1745" s="33" t="n">
        <v>1</v>
      </c>
      <c r="I1745" s="33" t="n">
        <v>1</v>
      </c>
      <c r="J1745" s="33" t="n">
        <v>1</v>
      </c>
      <c r="K1745" s="32" t="n">
        <v>300</v>
      </c>
      <c r="L1745" s="33" t="str">
        <f aca="false">IF($B1745="","",IFERROR(INDEX('Code Mapping'!$D$5:$D$1753,MATCH($B1745,'Code Mapping'!$A$5:$A$1753,0)),"Unmapped"))</f>
        <v>Unmapped</v>
      </c>
      <c r="M1745" s="33" t="str">
        <f aca="false">IF($B1745="","",IFERROR(INDEX('Code Mapping'!$E$5:$E$1753,MATCH($B1745,'Code Mapping'!$A$5:$A$1753,0)),"Unmapped"))</f>
        <v>Unmapped</v>
      </c>
      <c r="N1745" s="33" t="str">
        <f aca="false">IF($F1745="","",$F1745)</f>
        <v>InflataCity</v>
      </c>
    </row>
    <row r="1746" customFormat="false" ht="15" hidden="false" customHeight="false" outlineLevel="0" collapsed="false">
      <c r="A1746" s="33" t="n">
        <v>1903</v>
      </c>
      <c r="B1746" s="33" t="s">
        <v>536</v>
      </c>
      <c r="C1746" s="33" t="s">
        <v>511</v>
      </c>
      <c r="D1746" s="33"/>
      <c r="E1746" s="33" t="n">
        <v>55</v>
      </c>
      <c r="F1746" s="33" t="s">
        <v>2160</v>
      </c>
      <c r="G1746" s="33" t="s">
        <v>514</v>
      </c>
      <c r="H1746" s="33" t="n">
        <v>1</v>
      </c>
      <c r="I1746" s="33" t="n">
        <v>1</v>
      </c>
      <c r="J1746" s="33" t="n">
        <v>1</v>
      </c>
      <c r="K1746" s="32" t="n">
        <v>75</v>
      </c>
      <c r="L1746" s="33" t="str">
        <f aca="false">IF($B1746="","",IFERROR(INDEX('Code Mapping'!$D$5:$D$1753,MATCH($B1746,'Code Mapping'!$A$5:$A$1753,0)),"Unmapped"))</f>
        <v>Unmapped</v>
      </c>
      <c r="M1746" s="33" t="str">
        <f aca="false">IF($B1746="","",IFERROR(INDEX('Code Mapping'!$E$5:$E$1753,MATCH($B1746,'Code Mapping'!$A$5:$A$1753,0)),"Unmapped"))</f>
        <v>Unmapped</v>
      </c>
      <c r="N1746" s="33" t="str">
        <f aca="false">IF($F1746="","",$F1746)</f>
        <v>InflataCity</v>
      </c>
    </row>
    <row r="1747" customFormat="false" ht="15" hidden="false" customHeight="false" outlineLevel="0" collapsed="false">
      <c r="A1747" s="33" t="n">
        <v>1895</v>
      </c>
      <c r="B1747" s="33" t="s">
        <v>539</v>
      </c>
      <c r="C1747" s="33" t="s">
        <v>511</v>
      </c>
      <c r="D1747" s="33"/>
      <c r="E1747" s="33" t="n">
        <v>55</v>
      </c>
      <c r="F1747" s="33" t="s">
        <v>2160</v>
      </c>
      <c r="G1747" s="33" t="s">
        <v>514</v>
      </c>
      <c r="H1747" s="33" t="n">
        <v>1</v>
      </c>
      <c r="I1747" s="33" t="n">
        <v>1</v>
      </c>
      <c r="J1747" s="33" t="n">
        <v>1</v>
      </c>
      <c r="K1747" s="32" t="n">
        <v>75</v>
      </c>
      <c r="L1747" s="33" t="str">
        <f aca="false">IF($B1747="","",IFERROR(INDEX('Code Mapping'!$D$5:$D$1753,MATCH($B1747,'Code Mapping'!$A$5:$A$1753,0)),"Unmapped"))</f>
        <v>Unmapped</v>
      </c>
      <c r="M1747" s="33" t="str">
        <f aca="false">IF($B1747="","",IFERROR(INDEX('Code Mapping'!$E$5:$E$1753,MATCH($B1747,'Code Mapping'!$A$5:$A$1753,0)),"Unmapped"))</f>
        <v>Unmapped</v>
      </c>
      <c r="N1747" s="33" t="str">
        <f aca="false">IF($F1747="","",$F1747)</f>
        <v>InflataCity</v>
      </c>
    </row>
    <row r="1748" customFormat="false" ht="15" hidden="false" customHeight="false" outlineLevel="0" collapsed="false">
      <c r="A1748" s="33" t="n">
        <v>1497</v>
      </c>
      <c r="B1748" s="33" t="s">
        <v>542</v>
      </c>
      <c r="C1748" s="33" t="s">
        <v>513</v>
      </c>
      <c r="D1748" s="33"/>
      <c r="E1748" s="33" t="n">
        <v>55</v>
      </c>
      <c r="F1748" s="33" t="s">
        <v>2160</v>
      </c>
      <c r="G1748" s="33" t="s">
        <v>514</v>
      </c>
      <c r="H1748" s="33" t="n">
        <v>1</v>
      </c>
      <c r="I1748" s="33" t="n">
        <v>1</v>
      </c>
      <c r="J1748" s="33" t="n">
        <v>1</v>
      </c>
      <c r="K1748" s="32" t="n">
        <v>300</v>
      </c>
      <c r="L1748" s="33" t="str">
        <f aca="false">IF($B1748="","",IFERROR(INDEX('Code Mapping'!$D$5:$D$1753,MATCH($B1748,'Code Mapping'!$A$5:$A$1753,0)),"Unmapped"))</f>
        <v>Unmapped</v>
      </c>
      <c r="M1748" s="33" t="str">
        <f aca="false">IF($B1748="","",IFERROR(INDEX('Code Mapping'!$E$5:$E$1753,MATCH($B1748,'Code Mapping'!$A$5:$A$1753,0)),"Unmapped"))</f>
        <v>Unmapped</v>
      </c>
      <c r="N1748" s="33" t="str">
        <f aca="false">IF($F1748="","",$F1748)</f>
        <v>InflataCity</v>
      </c>
    </row>
    <row r="1749" customFormat="false" ht="15" hidden="false" customHeight="false" outlineLevel="0" collapsed="false">
      <c r="A1749" s="33" t="n">
        <v>1896</v>
      </c>
      <c r="B1749" s="33" t="s">
        <v>543</v>
      </c>
      <c r="C1749" s="33" t="s">
        <v>511</v>
      </c>
      <c r="D1749" s="33"/>
      <c r="E1749" s="33" t="n">
        <v>55</v>
      </c>
      <c r="F1749" s="33" t="s">
        <v>2160</v>
      </c>
      <c r="G1749" s="33" t="s">
        <v>514</v>
      </c>
      <c r="H1749" s="33" t="n">
        <v>1</v>
      </c>
      <c r="I1749" s="33" t="n">
        <v>1</v>
      </c>
      <c r="J1749" s="33" t="n">
        <v>1</v>
      </c>
      <c r="K1749" s="32" t="n">
        <v>75</v>
      </c>
      <c r="L1749" s="33" t="str">
        <f aca="false">IF($B1749="","",IFERROR(INDEX('Code Mapping'!$D$5:$D$1753,MATCH($B1749,'Code Mapping'!$A$5:$A$1753,0)),"Unmapped"))</f>
        <v>Unmapped</v>
      </c>
      <c r="M1749" s="33" t="str">
        <f aca="false">IF($B1749="","",IFERROR(INDEX('Code Mapping'!$E$5:$E$1753,MATCH($B1749,'Code Mapping'!$A$5:$A$1753,0)),"Unmapped"))</f>
        <v>Unmapped</v>
      </c>
      <c r="N1749" s="33" t="str">
        <f aca="false">IF($F1749="","",$F1749)</f>
        <v>InflataCity</v>
      </c>
    </row>
    <row r="1750" customFormat="false" ht="15" hidden="false" customHeight="false" outlineLevel="0" collapsed="false">
      <c r="A1750" s="33" t="n">
        <v>1556</v>
      </c>
      <c r="B1750" s="33" t="s">
        <v>548</v>
      </c>
      <c r="C1750" s="33" t="s">
        <v>513</v>
      </c>
      <c r="D1750" s="33"/>
      <c r="E1750" s="33" t="n">
        <v>55</v>
      </c>
      <c r="F1750" s="33" t="s">
        <v>2160</v>
      </c>
      <c r="G1750" s="33" t="s">
        <v>514</v>
      </c>
      <c r="H1750" s="33" t="n">
        <v>1</v>
      </c>
      <c r="I1750" s="33" t="n">
        <v>1</v>
      </c>
      <c r="J1750" s="33" t="n">
        <v>1</v>
      </c>
      <c r="K1750" s="32" t="n">
        <v>300</v>
      </c>
      <c r="L1750" s="33" t="str">
        <f aca="false">IF($B1750="","",IFERROR(INDEX('Code Mapping'!$D$5:$D$1753,MATCH($B1750,'Code Mapping'!$A$5:$A$1753,0)),"Unmapped"))</f>
        <v>Unmapped</v>
      </c>
      <c r="M1750" s="33" t="str">
        <f aca="false">IF($B1750="","",IFERROR(INDEX('Code Mapping'!$E$5:$E$1753,MATCH($B1750,'Code Mapping'!$A$5:$A$1753,0)),"Unmapped"))</f>
        <v>Unmapped</v>
      </c>
      <c r="N1750" s="33" t="str">
        <f aca="false">IF($F1750="","",$F1750)</f>
        <v>InflataCity</v>
      </c>
    </row>
    <row r="1751" customFormat="false" ht="15" hidden="false" customHeight="false" outlineLevel="0" collapsed="false">
      <c r="A1751" s="33" t="n">
        <v>1484</v>
      </c>
      <c r="B1751" s="33" t="s">
        <v>614</v>
      </c>
      <c r="C1751" s="33" t="s">
        <v>513</v>
      </c>
      <c r="D1751" s="33"/>
      <c r="E1751" s="33" t="n">
        <v>55</v>
      </c>
      <c r="F1751" s="33" t="s">
        <v>2160</v>
      </c>
      <c r="G1751" s="33" t="s">
        <v>514</v>
      </c>
      <c r="H1751" s="33" t="n">
        <v>1</v>
      </c>
      <c r="I1751" s="33" t="n">
        <v>1</v>
      </c>
      <c r="J1751" s="33" t="n">
        <v>1</v>
      </c>
      <c r="K1751" s="32" t="n">
        <v>300</v>
      </c>
      <c r="L1751" s="33" t="str">
        <f aca="false">IF($B1751="","",IFERROR(INDEX('Code Mapping'!$D$5:$D$1753,MATCH($B1751,'Code Mapping'!$A$5:$A$1753,0)),"Unmapped"))</f>
        <v>Unmapped</v>
      </c>
      <c r="M1751" s="33" t="str">
        <f aca="false">IF($B1751="","",IFERROR(INDEX('Code Mapping'!$E$5:$E$1753,MATCH($B1751,'Code Mapping'!$A$5:$A$1753,0)),"Unmapped"))</f>
        <v>Unmapped</v>
      </c>
      <c r="N1751" s="33" t="str">
        <f aca="false">IF($F1751="","",$F1751)</f>
        <v>InflataCity</v>
      </c>
    </row>
    <row r="1752" customFormat="false" ht="15" hidden="false" customHeight="false" outlineLevel="0" collapsed="false">
      <c r="A1752" s="33" t="n">
        <v>1446</v>
      </c>
      <c r="B1752" s="33" t="s">
        <v>532</v>
      </c>
      <c r="C1752" s="33" t="s">
        <v>513</v>
      </c>
      <c r="D1752" s="33"/>
      <c r="E1752" s="33" t="n">
        <v>55</v>
      </c>
      <c r="F1752" s="33" t="s">
        <v>2160</v>
      </c>
      <c r="G1752" s="33" t="s">
        <v>514</v>
      </c>
      <c r="H1752" s="33" t="n">
        <v>1</v>
      </c>
      <c r="I1752" s="33" t="n">
        <v>1</v>
      </c>
      <c r="J1752" s="33" t="n">
        <v>1</v>
      </c>
      <c r="K1752" s="32" t="n">
        <v>300</v>
      </c>
      <c r="L1752" s="33" t="str">
        <f aca="false">IF($B1752="","",IFERROR(INDEX('Code Mapping'!$D$5:$D$1753,MATCH($B1752,'Code Mapping'!$A$5:$A$1753,0)),"Unmapped"))</f>
        <v>Unmapped</v>
      </c>
      <c r="M1752" s="33" t="str">
        <f aca="false">IF($B1752="","",IFERROR(INDEX('Code Mapping'!$E$5:$E$1753,MATCH($B1752,'Code Mapping'!$A$5:$A$1753,0)),"Unmapped"))</f>
        <v>Unmapped</v>
      </c>
      <c r="N1752" s="33" t="str">
        <f aca="false">IF($F1752="","",$F1752)</f>
        <v>InflataCity</v>
      </c>
    </row>
    <row r="1753" customFormat="false" ht="15" hidden="false" customHeight="false" outlineLevel="0" collapsed="false">
      <c r="A1753" s="33" t="n">
        <v>1911</v>
      </c>
      <c r="B1753" s="33" t="s">
        <v>623</v>
      </c>
      <c r="C1753" s="33" t="s">
        <v>511</v>
      </c>
      <c r="D1753" s="33"/>
      <c r="E1753" s="33" t="n">
        <v>55</v>
      </c>
      <c r="F1753" s="33" t="s">
        <v>2160</v>
      </c>
      <c r="G1753" s="33" t="s">
        <v>514</v>
      </c>
      <c r="H1753" s="33" t="n">
        <v>1</v>
      </c>
      <c r="I1753" s="33" t="n">
        <v>1</v>
      </c>
      <c r="J1753" s="33" t="n">
        <v>1</v>
      </c>
      <c r="K1753" s="32" t="n">
        <v>75</v>
      </c>
      <c r="L1753" s="33" t="str">
        <f aca="false">IF($B1753="","",IFERROR(INDEX('Code Mapping'!$D$5:$D$1753,MATCH($B1753,'Code Mapping'!$A$5:$A$1753,0)),"Unmapped"))</f>
        <v>Unmapped</v>
      </c>
      <c r="M1753" s="33" t="str">
        <f aca="false">IF($B1753="","",IFERROR(INDEX('Code Mapping'!$E$5:$E$1753,MATCH($B1753,'Code Mapping'!$A$5:$A$1753,0)),"Unmapped"))</f>
        <v>Unmapped</v>
      </c>
      <c r="N1753" s="33" t="str">
        <f aca="false">IF($F1753="","",$F1753)</f>
        <v>InflataCity</v>
      </c>
    </row>
    <row r="1754" customFormat="false" ht="15" hidden="false" customHeight="false" outlineLevel="0" collapsed="false">
      <c r="A1754" s="33" t="n">
        <v>1789</v>
      </c>
      <c r="B1754" s="33" t="s">
        <v>700</v>
      </c>
      <c r="C1754" s="33" t="s">
        <v>511</v>
      </c>
      <c r="D1754" s="33"/>
      <c r="E1754" s="33" t="n">
        <v>55</v>
      </c>
      <c r="F1754" s="33" t="s">
        <v>2160</v>
      </c>
      <c r="G1754" s="33" t="s">
        <v>514</v>
      </c>
      <c r="H1754" s="33" t="n">
        <v>1</v>
      </c>
      <c r="I1754" s="33" t="n">
        <v>1</v>
      </c>
      <c r="J1754" s="33" t="n">
        <v>1</v>
      </c>
      <c r="K1754" s="32" t="n">
        <v>75</v>
      </c>
      <c r="L1754" s="33" t="str">
        <f aca="false">IF($B1754="","",IFERROR(INDEX('Code Mapping'!$D$5:$D$1753,MATCH($B1754,'Code Mapping'!$A$5:$A$1753,0)),"Unmapped"))</f>
        <v>Unmapped</v>
      </c>
      <c r="M1754" s="33" t="str">
        <f aca="false">IF($B1754="","",IFERROR(INDEX('Code Mapping'!$E$5:$E$1753,MATCH($B1754,'Code Mapping'!$A$5:$A$1753,0)),"Unmapped"))</f>
        <v>Unmapped</v>
      </c>
      <c r="N1754" s="33" t="str">
        <f aca="false">IF($F1754="","",$F1754)</f>
        <v>InflataCity</v>
      </c>
    </row>
    <row r="1755" customFormat="false" ht="15" hidden="false" customHeight="false" outlineLevel="0" collapsed="false">
      <c r="A1755" s="33" t="n">
        <v>1457</v>
      </c>
      <c r="B1755" s="33" t="s">
        <v>684</v>
      </c>
      <c r="C1755" s="33" t="s">
        <v>513</v>
      </c>
      <c r="D1755" s="33"/>
      <c r="E1755" s="33" t="n">
        <v>55</v>
      </c>
      <c r="F1755" s="33" t="s">
        <v>2160</v>
      </c>
      <c r="G1755" s="33" t="s">
        <v>514</v>
      </c>
      <c r="H1755" s="33" t="n">
        <v>1</v>
      </c>
      <c r="I1755" s="33" t="n">
        <v>1</v>
      </c>
      <c r="J1755" s="33" t="n">
        <v>1</v>
      </c>
      <c r="K1755" s="32" t="n">
        <v>300</v>
      </c>
      <c r="L1755" s="33" t="str">
        <f aca="false">IF($B1755="","",IFERROR(INDEX('Code Mapping'!$D$5:$D$1753,MATCH($B1755,'Code Mapping'!$A$5:$A$1753,0)),"Unmapped"))</f>
        <v>Unmapped</v>
      </c>
      <c r="M1755" s="33" t="str">
        <f aca="false">IF($B1755="","",IFERROR(INDEX('Code Mapping'!$E$5:$E$1753,MATCH($B1755,'Code Mapping'!$A$5:$A$1753,0)),"Unmapped"))</f>
        <v>Unmapped</v>
      </c>
      <c r="N1755" s="33" t="str">
        <f aca="false">IF($F1755="","",$F1755)</f>
        <v>InflataCity</v>
      </c>
    </row>
    <row r="1756" customFormat="false" ht="15" hidden="false" customHeight="false" outlineLevel="0" collapsed="false">
      <c r="A1756" s="33" t="n">
        <v>1873</v>
      </c>
      <c r="B1756" s="33" t="s">
        <v>687</v>
      </c>
      <c r="C1756" s="33" t="s">
        <v>511</v>
      </c>
      <c r="D1756" s="33"/>
      <c r="E1756" s="33" t="n">
        <v>55</v>
      </c>
      <c r="F1756" s="33" t="s">
        <v>2160</v>
      </c>
      <c r="G1756" s="33" t="s">
        <v>514</v>
      </c>
      <c r="H1756" s="33" t="n">
        <v>1</v>
      </c>
      <c r="I1756" s="33" t="n">
        <v>1</v>
      </c>
      <c r="J1756" s="33" t="n">
        <v>1</v>
      </c>
      <c r="K1756" s="32" t="n">
        <v>75</v>
      </c>
      <c r="L1756" s="33" t="str">
        <f aca="false">IF($B1756="","",IFERROR(INDEX('Code Mapping'!$D$5:$D$1753,MATCH($B1756,'Code Mapping'!$A$5:$A$1753,0)),"Unmapped"))</f>
        <v>Unmapped</v>
      </c>
      <c r="M1756" s="33" t="str">
        <f aca="false">IF($B1756="","",IFERROR(INDEX('Code Mapping'!$E$5:$E$1753,MATCH($B1756,'Code Mapping'!$A$5:$A$1753,0)),"Unmapped"))</f>
        <v>Unmapped</v>
      </c>
      <c r="N1756" s="33" t="str">
        <f aca="false">IF($F1756="","",$F1756)</f>
        <v>InflataCity</v>
      </c>
    </row>
    <row r="1757" customFormat="false" ht="15" hidden="false" customHeight="false" outlineLevel="0" collapsed="false">
      <c r="A1757" s="33" t="n">
        <v>1860</v>
      </c>
      <c r="B1757" s="33" t="s">
        <v>688</v>
      </c>
      <c r="C1757" s="33" t="s">
        <v>511</v>
      </c>
      <c r="D1757" s="33"/>
      <c r="E1757" s="33" t="n">
        <v>55</v>
      </c>
      <c r="F1757" s="33" t="s">
        <v>2160</v>
      </c>
      <c r="G1757" s="33" t="s">
        <v>514</v>
      </c>
      <c r="H1757" s="33" t="n">
        <v>1</v>
      </c>
      <c r="I1757" s="33" t="n">
        <v>1</v>
      </c>
      <c r="J1757" s="33" t="n">
        <v>1</v>
      </c>
      <c r="K1757" s="32" t="n">
        <v>75</v>
      </c>
      <c r="L1757" s="33" t="str">
        <f aca="false">IF($B1757="","",IFERROR(INDEX('Code Mapping'!$D$5:$D$1753,MATCH($B1757,'Code Mapping'!$A$5:$A$1753,0)),"Unmapped"))</f>
        <v>Unmapped</v>
      </c>
      <c r="M1757" s="33" t="str">
        <f aca="false">IF($B1757="","",IFERROR(INDEX('Code Mapping'!$E$5:$E$1753,MATCH($B1757,'Code Mapping'!$A$5:$A$1753,0)),"Unmapped"))</f>
        <v>Unmapped</v>
      </c>
      <c r="N1757" s="33" t="str">
        <f aca="false">IF($F1757="","",$F1757)</f>
        <v>InflataCity</v>
      </c>
    </row>
    <row r="1758" customFormat="false" ht="15" hidden="false" customHeight="false" outlineLevel="0" collapsed="false">
      <c r="A1758" s="33" t="n">
        <v>1843</v>
      </c>
      <c r="B1758" s="33" t="s">
        <v>689</v>
      </c>
      <c r="C1758" s="33" t="s">
        <v>511</v>
      </c>
      <c r="D1758" s="33"/>
      <c r="E1758" s="33" t="n">
        <v>55</v>
      </c>
      <c r="F1758" s="33" t="s">
        <v>2160</v>
      </c>
      <c r="G1758" s="33" t="s">
        <v>514</v>
      </c>
      <c r="H1758" s="33" t="n">
        <v>1</v>
      </c>
      <c r="I1758" s="33" t="n">
        <v>1</v>
      </c>
      <c r="J1758" s="33" t="n">
        <v>1</v>
      </c>
      <c r="K1758" s="32" t="n">
        <v>75</v>
      </c>
      <c r="L1758" s="33" t="str">
        <f aca="false">IF($B1758="","",IFERROR(INDEX('Code Mapping'!$D$5:$D$1753,MATCH($B1758,'Code Mapping'!$A$5:$A$1753,0)),"Unmapped"))</f>
        <v>Unmapped</v>
      </c>
      <c r="M1758" s="33" t="str">
        <f aca="false">IF($B1758="","",IFERROR(INDEX('Code Mapping'!$E$5:$E$1753,MATCH($B1758,'Code Mapping'!$A$5:$A$1753,0)),"Unmapped"))</f>
        <v>Unmapped</v>
      </c>
      <c r="N1758" s="33" t="str">
        <f aca="false">IF($F1758="","",$F1758)</f>
        <v>InflataCity</v>
      </c>
    </row>
    <row r="1759" customFormat="false" ht="15" hidden="false" customHeight="false" outlineLevel="0" collapsed="false">
      <c r="A1759" s="33" t="n">
        <v>1899</v>
      </c>
      <c r="B1759" s="33" t="s">
        <v>692</v>
      </c>
      <c r="C1759" s="33" t="s">
        <v>511</v>
      </c>
      <c r="D1759" s="33"/>
      <c r="E1759" s="33" t="n">
        <v>55</v>
      </c>
      <c r="F1759" s="33" t="s">
        <v>2160</v>
      </c>
      <c r="G1759" s="33" t="s">
        <v>514</v>
      </c>
      <c r="H1759" s="33" t="n">
        <v>1</v>
      </c>
      <c r="I1759" s="33" t="n">
        <v>1</v>
      </c>
      <c r="J1759" s="33" t="n">
        <v>1</v>
      </c>
      <c r="K1759" s="32" t="n">
        <v>75</v>
      </c>
      <c r="L1759" s="33" t="str">
        <f aca="false">IF($B1759="","",IFERROR(INDEX('Code Mapping'!$D$5:$D$1753,MATCH($B1759,'Code Mapping'!$A$5:$A$1753,0)),"Unmapped"))</f>
        <v>Unmapped</v>
      </c>
      <c r="M1759" s="33" t="str">
        <f aca="false">IF($B1759="","",IFERROR(INDEX('Code Mapping'!$E$5:$E$1753,MATCH($B1759,'Code Mapping'!$A$5:$A$1753,0)),"Unmapped"))</f>
        <v>Unmapped</v>
      </c>
      <c r="N1759" s="33" t="str">
        <f aca="false">IF($F1759="","",$F1759)</f>
        <v>InflataCity</v>
      </c>
    </row>
    <row r="1760" customFormat="false" ht="15" hidden="false" customHeight="false" outlineLevel="0" collapsed="false">
      <c r="A1760" s="33" t="n">
        <v>1538</v>
      </c>
      <c r="B1760" s="33" t="s">
        <v>693</v>
      </c>
      <c r="C1760" s="33" t="s">
        <v>513</v>
      </c>
      <c r="D1760" s="33"/>
      <c r="E1760" s="33" t="n">
        <v>55</v>
      </c>
      <c r="F1760" s="33" t="s">
        <v>2160</v>
      </c>
      <c r="G1760" s="33" t="s">
        <v>514</v>
      </c>
      <c r="H1760" s="33" t="n">
        <v>1</v>
      </c>
      <c r="I1760" s="33" t="n">
        <v>1</v>
      </c>
      <c r="J1760" s="33" t="n">
        <v>1</v>
      </c>
      <c r="K1760" s="32" t="n">
        <v>300</v>
      </c>
      <c r="L1760" s="33" t="str">
        <f aca="false">IF($B1760="","",IFERROR(INDEX('Code Mapping'!$D$5:$D$1753,MATCH($B1760,'Code Mapping'!$A$5:$A$1753,0)),"Unmapped"))</f>
        <v>Unmapped</v>
      </c>
      <c r="M1760" s="33" t="str">
        <f aca="false">IF($B1760="","",IFERROR(INDEX('Code Mapping'!$E$5:$E$1753,MATCH($B1760,'Code Mapping'!$A$5:$A$1753,0)),"Unmapped"))</f>
        <v>Unmapped</v>
      </c>
      <c r="N1760" s="33" t="str">
        <f aca="false">IF($F1760="","",$F1760)</f>
        <v>InflataCity</v>
      </c>
    </row>
    <row r="1761" customFormat="false" ht="15" hidden="false" customHeight="false" outlineLevel="0" collapsed="false">
      <c r="A1761" s="33" t="n">
        <v>1920</v>
      </c>
      <c r="B1761" s="33" t="s">
        <v>697</v>
      </c>
      <c r="C1761" s="33" t="s">
        <v>511</v>
      </c>
      <c r="D1761" s="33"/>
      <c r="E1761" s="33" t="n">
        <v>55</v>
      </c>
      <c r="F1761" s="33" t="s">
        <v>2160</v>
      </c>
      <c r="G1761" s="33" t="s">
        <v>514</v>
      </c>
      <c r="H1761" s="33" t="n">
        <v>1</v>
      </c>
      <c r="I1761" s="33" t="n">
        <v>1</v>
      </c>
      <c r="J1761" s="33" t="n">
        <v>1</v>
      </c>
      <c r="K1761" s="32" t="n">
        <v>75</v>
      </c>
      <c r="L1761" s="33" t="str">
        <f aca="false">IF($B1761="","",IFERROR(INDEX('Code Mapping'!$D$5:$D$1753,MATCH($B1761,'Code Mapping'!$A$5:$A$1753,0)),"Unmapped"))</f>
        <v>Unmapped</v>
      </c>
      <c r="M1761" s="33" t="str">
        <f aca="false">IF($B1761="","",IFERROR(INDEX('Code Mapping'!$E$5:$E$1753,MATCH($B1761,'Code Mapping'!$A$5:$A$1753,0)),"Unmapped"))</f>
        <v>Unmapped</v>
      </c>
      <c r="N1761" s="33" t="str">
        <f aca="false">IF($F1761="","",$F1761)</f>
        <v>InflataCity</v>
      </c>
    </row>
    <row r="1762" customFormat="false" ht="15" hidden="false" customHeight="false" outlineLevel="0" collapsed="false">
      <c r="A1762" s="33" t="n">
        <v>1771</v>
      </c>
      <c r="B1762" s="33" t="s">
        <v>699</v>
      </c>
      <c r="C1762" s="33" t="s">
        <v>511</v>
      </c>
      <c r="D1762" s="33"/>
      <c r="E1762" s="33" t="n">
        <v>55</v>
      </c>
      <c r="F1762" s="33" t="s">
        <v>2160</v>
      </c>
      <c r="G1762" s="33" t="s">
        <v>514</v>
      </c>
      <c r="H1762" s="33" t="n">
        <v>1</v>
      </c>
      <c r="I1762" s="33" t="n">
        <v>1</v>
      </c>
      <c r="J1762" s="33" t="n">
        <v>1</v>
      </c>
      <c r="K1762" s="32" t="n">
        <v>75</v>
      </c>
      <c r="L1762" s="33" t="str">
        <f aca="false">IF($B1762="","",IFERROR(INDEX('Code Mapping'!$D$5:$D$1753,MATCH($B1762,'Code Mapping'!$A$5:$A$1753,0)),"Unmapped"))</f>
        <v>Unmapped</v>
      </c>
      <c r="M1762" s="33" t="str">
        <f aca="false">IF($B1762="","",IFERROR(INDEX('Code Mapping'!$E$5:$E$1753,MATCH($B1762,'Code Mapping'!$A$5:$A$1753,0)),"Unmapped"))</f>
        <v>Unmapped</v>
      </c>
      <c r="N1762" s="33" t="str">
        <f aca="false">IF($F1762="","",$F1762)</f>
        <v>InflataCity</v>
      </c>
    </row>
    <row r="1763" customFormat="false" ht="15" hidden="false" customHeight="false" outlineLevel="0" collapsed="false">
      <c r="A1763" s="33" t="n">
        <v>1930</v>
      </c>
      <c r="B1763" s="33" t="s">
        <v>701</v>
      </c>
      <c r="C1763" s="33" t="s">
        <v>511</v>
      </c>
      <c r="D1763" s="33"/>
      <c r="E1763" s="33" t="n">
        <v>55</v>
      </c>
      <c r="F1763" s="33" t="s">
        <v>2160</v>
      </c>
      <c r="G1763" s="33" t="s">
        <v>514</v>
      </c>
      <c r="H1763" s="33" t="n">
        <v>1</v>
      </c>
      <c r="I1763" s="33" t="n">
        <v>1</v>
      </c>
      <c r="J1763" s="33" t="n">
        <v>1</v>
      </c>
      <c r="K1763" s="32" t="n">
        <v>75</v>
      </c>
      <c r="L1763" s="33" t="str">
        <f aca="false">IF($B1763="","",IFERROR(INDEX('Code Mapping'!$D$5:$D$1753,MATCH($B1763,'Code Mapping'!$A$5:$A$1753,0)),"Unmapped"))</f>
        <v>Unmapped</v>
      </c>
      <c r="M1763" s="33" t="str">
        <f aca="false">IF($B1763="","",IFERROR(INDEX('Code Mapping'!$E$5:$E$1753,MATCH($B1763,'Code Mapping'!$A$5:$A$1753,0)),"Unmapped"))</f>
        <v>Unmapped</v>
      </c>
      <c r="N1763" s="33" t="str">
        <f aca="false">IF($F1763="","",$F1763)</f>
        <v>InflataCity</v>
      </c>
    </row>
    <row r="1764" customFormat="false" ht="15" hidden="false" customHeight="false" outlineLevel="0" collapsed="false">
      <c r="A1764" s="33" t="n">
        <v>1846</v>
      </c>
      <c r="B1764" s="33" t="s">
        <v>678</v>
      </c>
      <c r="C1764" s="33" t="s">
        <v>511</v>
      </c>
      <c r="D1764" s="33"/>
      <c r="E1764" s="33" t="n">
        <v>55</v>
      </c>
      <c r="F1764" s="33" t="s">
        <v>2160</v>
      </c>
      <c r="G1764" s="33" t="s">
        <v>514</v>
      </c>
      <c r="H1764" s="33" t="n">
        <v>1</v>
      </c>
      <c r="I1764" s="33" t="n">
        <v>1</v>
      </c>
      <c r="J1764" s="33" t="n">
        <v>1</v>
      </c>
      <c r="K1764" s="32" t="n">
        <v>75</v>
      </c>
      <c r="L1764" s="33" t="str">
        <f aca="false">IF($B1764="","",IFERROR(INDEX('Code Mapping'!$D$5:$D$1753,MATCH($B1764,'Code Mapping'!$A$5:$A$1753,0)),"Unmapped"))</f>
        <v>Unmapped</v>
      </c>
      <c r="M1764" s="33" t="str">
        <f aca="false">IF($B1764="","",IFERROR(INDEX('Code Mapping'!$E$5:$E$1753,MATCH($B1764,'Code Mapping'!$A$5:$A$1753,0)),"Unmapped"))</f>
        <v>Unmapped</v>
      </c>
      <c r="N1764" s="33" t="str">
        <f aca="false">IF($F1764="","",$F1764)</f>
        <v>InflataCity</v>
      </c>
    </row>
    <row r="1765" customFormat="false" ht="15" hidden="false" customHeight="false" outlineLevel="0" collapsed="false">
      <c r="A1765" s="33" t="n">
        <v>1480</v>
      </c>
      <c r="B1765" s="33" t="s">
        <v>702</v>
      </c>
      <c r="C1765" s="33" t="s">
        <v>513</v>
      </c>
      <c r="D1765" s="33"/>
      <c r="E1765" s="33" t="n">
        <v>55</v>
      </c>
      <c r="F1765" s="33" t="s">
        <v>2160</v>
      </c>
      <c r="G1765" s="33" t="s">
        <v>514</v>
      </c>
      <c r="H1765" s="33" t="n">
        <v>1</v>
      </c>
      <c r="I1765" s="33" t="n">
        <v>1</v>
      </c>
      <c r="J1765" s="33" t="n">
        <v>1</v>
      </c>
      <c r="K1765" s="32" t="n">
        <v>300</v>
      </c>
      <c r="L1765" s="33" t="str">
        <f aca="false">IF($B1765="","",IFERROR(INDEX('Code Mapping'!$D$5:$D$1753,MATCH($B1765,'Code Mapping'!$A$5:$A$1753,0)),"Unmapped"))</f>
        <v>Unmapped</v>
      </c>
      <c r="M1765" s="33" t="str">
        <f aca="false">IF($B1765="","",IFERROR(INDEX('Code Mapping'!$E$5:$E$1753,MATCH($B1765,'Code Mapping'!$A$5:$A$1753,0)),"Unmapped"))</f>
        <v>Unmapped</v>
      </c>
      <c r="N1765" s="33" t="str">
        <f aca="false">IF($F1765="","",$F1765)</f>
        <v>InflataCity</v>
      </c>
    </row>
    <row r="1766" customFormat="false" ht="15" hidden="false" customHeight="false" outlineLevel="0" collapsed="false">
      <c r="A1766" s="33" t="n">
        <v>1945</v>
      </c>
      <c r="B1766" s="33" t="s">
        <v>708</v>
      </c>
      <c r="C1766" s="33" t="s">
        <v>511</v>
      </c>
      <c r="D1766" s="33"/>
      <c r="E1766" s="33" t="n">
        <v>55</v>
      </c>
      <c r="F1766" s="33" t="s">
        <v>2160</v>
      </c>
      <c r="G1766" s="33" t="s">
        <v>514</v>
      </c>
      <c r="H1766" s="33" t="n">
        <v>1</v>
      </c>
      <c r="I1766" s="33" t="n">
        <v>1</v>
      </c>
      <c r="J1766" s="33" t="n">
        <v>1</v>
      </c>
      <c r="K1766" s="32" t="n">
        <v>75</v>
      </c>
      <c r="L1766" s="33" t="str">
        <f aca="false">IF($B1766="","",IFERROR(INDEX('Code Mapping'!$D$5:$D$1753,MATCH($B1766,'Code Mapping'!$A$5:$A$1753,0)),"Unmapped"))</f>
        <v>Unmapped</v>
      </c>
      <c r="M1766" s="33" t="str">
        <f aca="false">IF($B1766="","",IFERROR(INDEX('Code Mapping'!$E$5:$E$1753,MATCH($B1766,'Code Mapping'!$A$5:$A$1753,0)),"Unmapped"))</f>
        <v>Unmapped</v>
      </c>
      <c r="N1766" s="33" t="str">
        <f aca="false">IF($F1766="","",$F1766)</f>
        <v>InflataCity</v>
      </c>
    </row>
    <row r="1767" customFormat="false" ht="15" hidden="false" customHeight="false" outlineLevel="0" collapsed="false">
      <c r="A1767" s="33" t="n">
        <v>1914</v>
      </c>
      <c r="B1767" s="33" t="s">
        <v>709</v>
      </c>
      <c r="C1767" s="33" t="s">
        <v>511</v>
      </c>
      <c r="D1767" s="33"/>
      <c r="E1767" s="33" t="n">
        <v>55</v>
      </c>
      <c r="F1767" s="33" t="s">
        <v>2160</v>
      </c>
      <c r="G1767" s="33" t="s">
        <v>514</v>
      </c>
      <c r="H1767" s="33" t="n">
        <v>1</v>
      </c>
      <c r="I1767" s="33" t="n">
        <v>1</v>
      </c>
      <c r="J1767" s="33" t="n">
        <v>1</v>
      </c>
      <c r="K1767" s="32" t="n">
        <v>75</v>
      </c>
      <c r="L1767" s="33" t="str">
        <f aca="false">IF($B1767="","",IFERROR(INDEX('Code Mapping'!$D$5:$D$1753,MATCH($B1767,'Code Mapping'!$A$5:$A$1753,0)),"Unmapped"))</f>
        <v>Unmapped</v>
      </c>
      <c r="M1767" s="33" t="str">
        <f aca="false">IF($B1767="","",IFERROR(INDEX('Code Mapping'!$E$5:$E$1753,MATCH($B1767,'Code Mapping'!$A$5:$A$1753,0)),"Unmapped"))</f>
        <v>Unmapped</v>
      </c>
      <c r="N1767" s="33" t="str">
        <f aca="false">IF($F1767="","",$F1767)</f>
        <v>InflataCity</v>
      </c>
    </row>
    <row r="1768" customFormat="false" ht="15" hidden="false" customHeight="false" outlineLevel="0" collapsed="false">
      <c r="A1768" s="33" t="n">
        <v>1555</v>
      </c>
      <c r="B1768" s="33" t="s">
        <v>712</v>
      </c>
      <c r="C1768" s="33" t="s">
        <v>513</v>
      </c>
      <c r="D1768" s="33"/>
      <c r="E1768" s="33" t="n">
        <v>55</v>
      </c>
      <c r="F1768" s="33" t="s">
        <v>2160</v>
      </c>
      <c r="G1768" s="33" t="s">
        <v>514</v>
      </c>
      <c r="H1768" s="33" t="n">
        <v>1</v>
      </c>
      <c r="I1768" s="33" t="n">
        <v>1</v>
      </c>
      <c r="J1768" s="33" t="n">
        <v>1</v>
      </c>
      <c r="K1768" s="32" t="n">
        <v>300</v>
      </c>
      <c r="L1768" s="33" t="str">
        <f aca="false">IF($B1768="","",IFERROR(INDEX('Code Mapping'!$D$5:$D$1753,MATCH($B1768,'Code Mapping'!$A$5:$A$1753,0)),"Unmapped"))</f>
        <v>Unmapped</v>
      </c>
      <c r="M1768" s="33" t="str">
        <f aca="false">IF($B1768="","",IFERROR(INDEX('Code Mapping'!$E$5:$E$1753,MATCH($B1768,'Code Mapping'!$A$5:$A$1753,0)),"Unmapped"))</f>
        <v>Unmapped</v>
      </c>
      <c r="N1768" s="33" t="str">
        <f aca="false">IF($F1768="","",$F1768)</f>
        <v>InflataCity</v>
      </c>
    </row>
    <row r="1769" customFormat="false" ht="15" hidden="false" customHeight="false" outlineLevel="0" collapsed="false">
      <c r="A1769" s="33" t="n">
        <v>1777</v>
      </c>
      <c r="B1769" s="33" t="s">
        <v>714</v>
      </c>
      <c r="C1769" s="33" t="s">
        <v>511</v>
      </c>
      <c r="D1769" s="33"/>
      <c r="E1769" s="33" t="n">
        <v>55</v>
      </c>
      <c r="F1769" s="33" t="s">
        <v>2160</v>
      </c>
      <c r="G1769" s="33" t="s">
        <v>514</v>
      </c>
      <c r="H1769" s="33" t="n">
        <v>1</v>
      </c>
      <c r="I1769" s="33" t="n">
        <v>1</v>
      </c>
      <c r="J1769" s="33" t="n">
        <v>1</v>
      </c>
      <c r="K1769" s="32" t="n">
        <v>75</v>
      </c>
      <c r="L1769" s="33" t="str">
        <f aca="false">IF($B1769="","",IFERROR(INDEX('Code Mapping'!$D$5:$D$1753,MATCH($B1769,'Code Mapping'!$A$5:$A$1753,0)),"Unmapped"))</f>
        <v>Unmapped</v>
      </c>
      <c r="M1769" s="33" t="str">
        <f aca="false">IF($B1769="","",IFERROR(INDEX('Code Mapping'!$E$5:$E$1753,MATCH($B1769,'Code Mapping'!$A$5:$A$1753,0)),"Unmapped"))</f>
        <v>Unmapped</v>
      </c>
      <c r="N1769" s="33" t="str">
        <f aca="false">IF($F1769="","",$F1769)</f>
        <v>InflataCity</v>
      </c>
    </row>
    <row r="1770" customFormat="false" ht="15" hidden="false" customHeight="false" outlineLevel="0" collapsed="false">
      <c r="A1770" s="33" t="n">
        <v>1456</v>
      </c>
      <c r="B1770" s="33" t="s">
        <v>715</v>
      </c>
      <c r="C1770" s="33" t="s">
        <v>513</v>
      </c>
      <c r="D1770" s="33"/>
      <c r="E1770" s="33" t="n">
        <v>55</v>
      </c>
      <c r="F1770" s="33" t="s">
        <v>2160</v>
      </c>
      <c r="G1770" s="33" t="s">
        <v>514</v>
      </c>
      <c r="H1770" s="33" t="n">
        <v>1</v>
      </c>
      <c r="I1770" s="33" t="n">
        <v>1</v>
      </c>
      <c r="J1770" s="33" t="n">
        <v>1</v>
      </c>
      <c r="K1770" s="32" t="n">
        <v>300</v>
      </c>
      <c r="L1770" s="33" t="str">
        <f aca="false">IF($B1770="","",IFERROR(INDEX('Code Mapping'!$D$5:$D$1753,MATCH($B1770,'Code Mapping'!$A$5:$A$1753,0)),"Unmapped"))</f>
        <v>Unmapped</v>
      </c>
      <c r="M1770" s="33" t="str">
        <f aca="false">IF($B1770="","",IFERROR(INDEX('Code Mapping'!$E$5:$E$1753,MATCH($B1770,'Code Mapping'!$A$5:$A$1753,0)),"Unmapped"))</f>
        <v>Unmapped</v>
      </c>
      <c r="N1770" s="33" t="str">
        <f aca="false">IF($F1770="","",$F1770)</f>
        <v>InflataCity</v>
      </c>
    </row>
    <row r="1771" customFormat="false" ht="15" hidden="false" customHeight="false" outlineLevel="0" collapsed="false">
      <c r="A1771" s="33" t="n">
        <v>1463</v>
      </c>
      <c r="B1771" s="33" t="s">
        <v>625</v>
      </c>
      <c r="C1771" s="33" t="s">
        <v>513</v>
      </c>
      <c r="D1771" s="33"/>
      <c r="E1771" s="33" t="n">
        <v>55</v>
      </c>
      <c r="F1771" s="33" t="s">
        <v>2160</v>
      </c>
      <c r="G1771" s="33" t="s">
        <v>514</v>
      </c>
      <c r="H1771" s="33" t="n">
        <v>1</v>
      </c>
      <c r="I1771" s="33" t="n">
        <v>1</v>
      </c>
      <c r="J1771" s="33" t="n">
        <v>1</v>
      </c>
      <c r="K1771" s="32" t="n">
        <v>300</v>
      </c>
      <c r="L1771" s="33" t="str">
        <f aca="false">IF($B1771="","",IFERROR(INDEX('Code Mapping'!$D$5:$D$1753,MATCH($B1771,'Code Mapping'!$A$5:$A$1753,0)),"Unmapped"))</f>
        <v>Unmapped</v>
      </c>
      <c r="M1771" s="33" t="str">
        <f aca="false">IF($B1771="","",IFERROR(INDEX('Code Mapping'!$E$5:$E$1753,MATCH($B1771,'Code Mapping'!$A$5:$A$1753,0)),"Unmapped"))</f>
        <v>Unmapped</v>
      </c>
      <c r="N1771" s="33" t="str">
        <f aca="false">IF($F1771="","",$F1771)</f>
        <v>InflataCity</v>
      </c>
    </row>
    <row r="1772" customFormat="false" ht="15" hidden="false" customHeight="false" outlineLevel="0" collapsed="false">
      <c r="A1772" s="33" t="n">
        <v>1142</v>
      </c>
      <c r="B1772" s="33" t="s">
        <v>717</v>
      </c>
      <c r="C1772" s="33" t="s">
        <v>569</v>
      </c>
      <c r="D1772" s="33"/>
      <c r="E1772" s="33" t="n">
        <v>55</v>
      </c>
      <c r="F1772" s="33" t="s">
        <v>2160</v>
      </c>
      <c r="G1772" s="33" t="s">
        <v>514</v>
      </c>
      <c r="H1772" s="33" t="n">
        <v>1</v>
      </c>
      <c r="I1772" s="33" t="n">
        <v>1</v>
      </c>
      <c r="J1772" s="33" t="n">
        <v>1</v>
      </c>
      <c r="K1772" s="32" t="n">
        <v>250</v>
      </c>
      <c r="L1772" s="33" t="str">
        <f aca="false">IF($B1772="","",IFERROR(INDEX('Code Mapping'!$D$5:$D$1753,MATCH($B1772,'Code Mapping'!$A$5:$A$1753,0)),"Unmapped"))</f>
        <v>Unmapped</v>
      </c>
      <c r="M1772" s="33" t="str">
        <f aca="false">IF($B1772="","",IFERROR(INDEX('Code Mapping'!$E$5:$E$1753,MATCH($B1772,'Code Mapping'!$A$5:$A$1753,0)),"Unmapped"))</f>
        <v>Unmapped</v>
      </c>
      <c r="N1772" s="33" t="str">
        <f aca="false">IF($F1772="","",$F1772)</f>
        <v>InflataCity</v>
      </c>
    </row>
    <row r="1773" customFormat="false" ht="15" hidden="false" customHeight="false" outlineLevel="0" collapsed="false">
      <c r="A1773" s="33" t="n">
        <v>1927</v>
      </c>
      <c r="B1773" s="33" t="s">
        <v>681</v>
      </c>
      <c r="C1773" s="33" t="s">
        <v>511</v>
      </c>
      <c r="D1773" s="33"/>
      <c r="E1773" s="33" t="n">
        <v>55</v>
      </c>
      <c r="F1773" s="33" t="s">
        <v>2160</v>
      </c>
      <c r="G1773" s="33" t="s">
        <v>514</v>
      </c>
      <c r="H1773" s="33" t="n">
        <v>1</v>
      </c>
      <c r="I1773" s="33" t="n">
        <v>1</v>
      </c>
      <c r="J1773" s="33" t="n">
        <v>1</v>
      </c>
      <c r="K1773" s="32" t="n">
        <v>75</v>
      </c>
      <c r="L1773" s="33" t="str">
        <f aca="false">IF($B1773="","",IFERROR(INDEX('Code Mapping'!$D$5:$D$1753,MATCH($B1773,'Code Mapping'!$A$5:$A$1753,0)),"Unmapped"))</f>
        <v>Unmapped</v>
      </c>
      <c r="M1773" s="33" t="str">
        <f aca="false">IF($B1773="","",IFERROR(INDEX('Code Mapping'!$E$5:$E$1753,MATCH($B1773,'Code Mapping'!$A$5:$A$1753,0)),"Unmapped"))</f>
        <v>Unmapped</v>
      </c>
      <c r="N1773" s="33" t="str">
        <f aca="false">IF($F1773="","",$F1773)</f>
        <v>InflataCity</v>
      </c>
    </row>
    <row r="1774" customFormat="false" ht="15" hidden="false" customHeight="false" outlineLevel="0" collapsed="false">
      <c r="A1774" s="33" t="n">
        <v>1776</v>
      </c>
      <c r="B1774" s="33" t="s">
        <v>710</v>
      </c>
      <c r="C1774" s="33" t="s">
        <v>511</v>
      </c>
      <c r="D1774" s="33"/>
      <c r="E1774" s="33" t="n">
        <v>55</v>
      </c>
      <c r="F1774" s="33" t="s">
        <v>2160</v>
      </c>
      <c r="G1774" s="33" t="s">
        <v>514</v>
      </c>
      <c r="H1774" s="33" t="n">
        <v>1</v>
      </c>
      <c r="I1774" s="33" t="n">
        <v>1</v>
      </c>
      <c r="J1774" s="33" t="n">
        <v>1</v>
      </c>
      <c r="K1774" s="32" t="n">
        <v>75</v>
      </c>
      <c r="L1774" s="33" t="str">
        <f aca="false">IF($B1774="","",IFERROR(INDEX('Code Mapping'!$D$5:$D$1753,MATCH($B1774,'Code Mapping'!$A$5:$A$1753,0)),"Unmapped"))</f>
        <v>Unmapped</v>
      </c>
      <c r="M1774" s="33" t="str">
        <f aca="false">IF($B1774="","",IFERROR(INDEX('Code Mapping'!$E$5:$E$1753,MATCH($B1774,'Code Mapping'!$A$5:$A$1753,0)),"Unmapped"))</f>
        <v>Unmapped</v>
      </c>
      <c r="N1774" s="33" t="str">
        <f aca="false">IF($F1774="","",$F1774)</f>
        <v>InflataCity</v>
      </c>
    </row>
    <row r="1775" customFormat="false" ht="15" hidden="false" customHeight="false" outlineLevel="0" collapsed="false">
      <c r="A1775" s="33" t="n">
        <v>1917</v>
      </c>
      <c r="B1775" s="33" t="s">
        <v>672</v>
      </c>
      <c r="C1775" s="33" t="s">
        <v>511</v>
      </c>
      <c r="D1775" s="33"/>
      <c r="E1775" s="33" t="n">
        <v>55</v>
      </c>
      <c r="F1775" s="33" t="s">
        <v>2160</v>
      </c>
      <c r="G1775" s="33" t="s">
        <v>514</v>
      </c>
      <c r="H1775" s="33" t="n">
        <v>1</v>
      </c>
      <c r="I1775" s="33" t="n">
        <v>1</v>
      </c>
      <c r="J1775" s="33" t="n">
        <v>1</v>
      </c>
      <c r="K1775" s="32" t="n">
        <v>75</v>
      </c>
      <c r="L1775" s="33" t="str">
        <f aca="false">IF($B1775="","",IFERROR(INDEX('Code Mapping'!$D$5:$D$1753,MATCH($B1775,'Code Mapping'!$A$5:$A$1753,0)),"Unmapped"))</f>
        <v>Unmapped</v>
      </c>
      <c r="M1775" s="33" t="str">
        <f aca="false">IF($B1775="","",IFERROR(INDEX('Code Mapping'!$E$5:$E$1753,MATCH($B1775,'Code Mapping'!$A$5:$A$1753,0)),"Unmapped"))</f>
        <v>Unmapped</v>
      </c>
      <c r="N1775" s="33" t="str">
        <f aca="false">IF($F1775="","",$F1775)</f>
        <v>InflataCity</v>
      </c>
    </row>
    <row r="1776" customFormat="false" ht="15" hidden="false" customHeight="false" outlineLevel="0" collapsed="false">
      <c r="A1776" s="33" t="n">
        <v>1492</v>
      </c>
      <c r="B1776" s="33" t="s">
        <v>647</v>
      </c>
      <c r="C1776" s="33" t="s">
        <v>513</v>
      </c>
      <c r="D1776" s="33"/>
      <c r="E1776" s="33" t="n">
        <v>55</v>
      </c>
      <c r="F1776" s="33" t="s">
        <v>2160</v>
      </c>
      <c r="G1776" s="33" t="s">
        <v>514</v>
      </c>
      <c r="H1776" s="33" t="n">
        <v>1</v>
      </c>
      <c r="I1776" s="33" t="n">
        <v>1</v>
      </c>
      <c r="J1776" s="33" t="n">
        <v>1</v>
      </c>
      <c r="K1776" s="32" t="n">
        <v>300</v>
      </c>
      <c r="L1776" s="33" t="str">
        <f aca="false">IF($B1776="","",IFERROR(INDEX('Code Mapping'!$D$5:$D$1753,MATCH($B1776,'Code Mapping'!$A$5:$A$1753,0)),"Unmapped"))</f>
        <v>Unmapped</v>
      </c>
      <c r="M1776" s="33" t="str">
        <f aca="false">IF($B1776="","",IFERROR(INDEX('Code Mapping'!$E$5:$E$1753,MATCH($B1776,'Code Mapping'!$A$5:$A$1753,0)),"Unmapped"))</f>
        <v>Unmapped</v>
      </c>
      <c r="N1776" s="33" t="str">
        <f aca="false">IF($F1776="","",$F1776)</f>
        <v>InflataCity</v>
      </c>
    </row>
    <row r="1777" customFormat="false" ht="15" hidden="false" customHeight="false" outlineLevel="0" collapsed="false">
      <c r="A1777" s="33" t="n">
        <v>1581</v>
      </c>
      <c r="B1777" s="33" t="s">
        <v>628</v>
      </c>
      <c r="C1777" s="33" t="s">
        <v>513</v>
      </c>
      <c r="D1777" s="33"/>
      <c r="E1777" s="33" t="n">
        <v>55</v>
      </c>
      <c r="F1777" s="33" t="s">
        <v>2160</v>
      </c>
      <c r="G1777" s="33" t="s">
        <v>514</v>
      </c>
      <c r="H1777" s="33" t="n">
        <v>1</v>
      </c>
      <c r="I1777" s="33" t="n">
        <v>1</v>
      </c>
      <c r="J1777" s="33" t="n">
        <v>1</v>
      </c>
      <c r="K1777" s="32" t="n">
        <v>300</v>
      </c>
      <c r="L1777" s="33" t="str">
        <f aca="false">IF($B1777="","",IFERROR(INDEX('Code Mapping'!$D$5:$D$1753,MATCH($B1777,'Code Mapping'!$A$5:$A$1753,0)),"Unmapped"))</f>
        <v>Unmapped</v>
      </c>
      <c r="M1777" s="33" t="str">
        <f aca="false">IF($B1777="","",IFERROR(INDEX('Code Mapping'!$E$5:$E$1753,MATCH($B1777,'Code Mapping'!$A$5:$A$1753,0)),"Unmapped"))</f>
        <v>Unmapped</v>
      </c>
      <c r="N1777" s="33" t="str">
        <f aca="false">IF($F1777="","",$F1777)</f>
        <v>InflataCity</v>
      </c>
    </row>
    <row r="1778" customFormat="false" ht="15" hidden="false" customHeight="false" outlineLevel="0" collapsed="false">
      <c r="A1778" s="33" t="n">
        <v>1580</v>
      </c>
      <c r="B1778" s="33" t="s">
        <v>627</v>
      </c>
      <c r="C1778" s="33" t="s">
        <v>513</v>
      </c>
      <c r="D1778" s="33"/>
      <c r="E1778" s="33" t="n">
        <v>55</v>
      </c>
      <c r="F1778" s="33" t="s">
        <v>2160</v>
      </c>
      <c r="G1778" s="33" t="s">
        <v>514</v>
      </c>
      <c r="H1778" s="33" t="n">
        <v>1</v>
      </c>
      <c r="I1778" s="33" t="n">
        <v>1</v>
      </c>
      <c r="J1778" s="33" t="n">
        <v>1</v>
      </c>
      <c r="K1778" s="32" t="n">
        <v>300</v>
      </c>
      <c r="L1778" s="33" t="str">
        <f aca="false">IF($B1778="","",IFERROR(INDEX('Code Mapping'!$D$5:$D$1753,MATCH($B1778,'Code Mapping'!$A$5:$A$1753,0)),"Unmapped"))</f>
        <v>Unmapped</v>
      </c>
      <c r="M1778" s="33" t="str">
        <f aca="false">IF($B1778="","",IFERROR(INDEX('Code Mapping'!$E$5:$E$1753,MATCH($B1778,'Code Mapping'!$A$5:$A$1753,0)),"Unmapped"))</f>
        <v>Unmapped</v>
      </c>
      <c r="N1778" s="33" t="str">
        <f aca="false">IF($F1778="","",$F1778)</f>
        <v>InflataCity</v>
      </c>
    </row>
    <row r="1779" customFormat="false" ht="15" hidden="false" customHeight="false" outlineLevel="0" collapsed="false">
      <c r="A1779" s="33" t="n">
        <v>1537</v>
      </c>
      <c r="B1779" s="33" t="s">
        <v>668</v>
      </c>
      <c r="C1779" s="33" t="s">
        <v>513</v>
      </c>
      <c r="D1779" s="33"/>
      <c r="E1779" s="33" t="n">
        <v>55</v>
      </c>
      <c r="F1779" s="33" t="s">
        <v>2160</v>
      </c>
      <c r="G1779" s="33" t="s">
        <v>514</v>
      </c>
      <c r="H1779" s="33" t="n">
        <v>1</v>
      </c>
      <c r="I1779" s="33" t="n">
        <v>1</v>
      </c>
      <c r="J1779" s="33" t="n">
        <v>1</v>
      </c>
      <c r="K1779" s="32" t="n">
        <v>300</v>
      </c>
      <c r="L1779" s="33" t="str">
        <f aca="false">IF($B1779="","",IFERROR(INDEX('Code Mapping'!$D$5:$D$1753,MATCH($B1779,'Code Mapping'!$A$5:$A$1753,0)),"Unmapped"))</f>
        <v>Unmapped</v>
      </c>
      <c r="M1779" s="33" t="str">
        <f aca="false">IF($B1779="","",IFERROR(INDEX('Code Mapping'!$E$5:$E$1753,MATCH($B1779,'Code Mapping'!$A$5:$A$1753,0)),"Unmapped"))</f>
        <v>Unmapped</v>
      </c>
      <c r="N1779" s="33" t="str">
        <f aca="false">IF($F1779="","",$F1779)</f>
        <v>InflataCity</v>
      </c>
    </row>
    <row r="1780" customFormat="false" ht="15" hidden="false" customHeight="false" outlineLevel="0" collapsed="false">
      <c r="A1780" s="33" t="n">
        <v>1445</v>
      </c>
      <c r="B1780" s="33" t="s">
        <v>630</v>
      </c>
      <c r="C1780" s="33" t="s">
        <v>513</v>
      </c>
      <c r="D1780" s="33"/>
      <c r="E1780" s="33" t="n">
        <v>55</v>
      </c>
      <c r="F1780" s="33" t="s">
        <v>2160</v>
      </c>
      <c r="G1780" s="33" t="s">
        <v>514</v>
      </c>
      <c r="H1780" s="33" t="n">
        <v>1</v>
      </c>
      <c r="I1780" s="33" t="n">
        <v>1</v>
      </c>
      <c r="J1780" s="33" t="n">
        <v>1</v>
      </c>
      <c r="K1780" s="32" t="n">
        <v>300</v>
      </c>
      <c r="L1780" s="33" t="str">
        <f aca="false">IF($B1780="","",IFERROR(INDEX('Code Mapping'!$D$5:$D$1753,MATCH($B1780,'Code Mapping'!$A$5:$A$1753,0)),"Unmapped"))</f>
        <v>Unmapped</v>
      </c>
      <c r="M1780" s="33" t="str">
        <f aca="false">IF($B1780="","",IFERROR(INDEX('Code Mapping'!$E$5:$E$1753,MATCH($B1780,'Code Mapping'!$A$5:$A$1753,0)),"Unmapped"))</f>
        <v>Unmapped</v>
      </c>
      <c r="N1780" s="33" t="str">
        <f aca="false">IF($F1780="","",$F1780)</f>
        <v>InflataCity</v>
      </c>
    </row>
    <row r="1781" customFormat="false" ht="15" hidden="false" customHeight="false" outlineLevel="0" collapsed="false">
      <c r="A1781" s="33" t="n">
        <v>1586</v>
      </c>
      <c r="B1781" s="33" t="s">
        <v>635</v>
      </c>
      <c r="C1781" s="33" t="s">
        <v>513</v>
      </c>
      <c r="D1781" s="33"/>
      <c r="E1781" s="33" t="n">
        <v>55</v>
      </c>
      <c r="F1781" s="33" t="s">
        <v>2160</v>
      </c>
      <c r="G1781" s="33" t="s">
        <v>514</v>
      </c>
      <c r="H1781" s="33" t="n">
        <v>1</v>
      </c>
      <c r="I1781" s="33" t="n">
        <v>1</v>
      </c>
      <c r="J1781" s="33" t="n">
        <v>1</v>
      </c>
      <c r="K1781" s="32" t="n">
        <v>300</v>
      </c>
      <c r="L1781" s="33" t="str">
        <f aca="false">IF($B1781="","",IFERROR(INDEX('Code Mapping'!$D$5:$D$1753,MATCH($B1781,'Code Mapping'!$A$5:$A$1753,0)),"Unmapped"))</f>
        <v>Unmapped</v>
      </c>
      <c r="M1781" s="33" t="str">
        <f aca="false">IF($B1781="","",IFERROR(INDEX('Code Mapping'!$E$5:$E$1753,MATCH($B1781,'Code Mapping'!$A$5:$A$1753,0)),"Unmapped"))</f>
        <v>Unmapped</v>
      </c>
      <c r="N1781" s="33" t="str">
        <f aca="false">IF($F1781="","",$F1781)</f>
        <v>InflataCity</v>
      </c>
    </row>
    <row r="1782" customFormat="false" ht="15" hidden="false" customHeight="false" outlineLevel="0" collapsed="false">
      <c r="A1782" s="33" t="n">
        <v>1845</v>
      </c>
      <c r="B1782" s="33" t="s">
        <v>639</v>
      </c>
      <c r="C1782" s="33" t="s">
        <v>511</v>
      </c>
      <c r="D1782" s="33"/>
      <c r="E1782" s="33" t="n">
        <v>55</v>
      </c>
      <c r="F1782" s="33" t="s">
        <v>2160</v>
      </c>
      <c r="G1782" s="33" t="s">
        <v>514</v>
      </c>
      <c r="H1782" s="33" t="n">
        <v>1</v>
      </c>
      <c r="I1782" s="33" t="n">
        <v>1</v>
      </c>
      <c r="J1782" s="33" t="n">
        <v>1</v>
      </c>
      <c r="K1782" s="32" t="n">
        <v>75</v>
      </c>
      <c r="L1782" s="33" t="str">
        <f aca="false">IF($B1782="","",IFERROR(INDEX('Code Mapping'!$D$5:$D$1753,MATCH($B1782,'Code Mapping'!$A$5:$A$1753,0)),"Unmapped"))</f>
        <v>Unmapped</v>
      </c>
      <c r="M1782" s="33" t="str">
        <f aca="false">IF($B1782="","",IFERROR(INDEX('Code Mapping'!$E$5:$E$1753,MATCH($B1782,'Code Mapping'!$A$5:$A$1753,0)),"Unmapped"))</f>
        <v>Unmapped</v>
      </c>
      <c r="N1782" s="33" t="str">
        <f aca="false">IF($F1782="","",$F1782)</f>
        <v>InflataCity</v>
      </c>
    </row>
    <row r="1783" customFormat="false" ht="15" hidden="false" customHeight="false" outlineLevel="0" collapsed="false">
      <c r="A1783" s="33" t="n">
        <v>1775</v>
      </c>
      <c r="B1783" s="33" t="s">
        <v>644</v>
      </c>
      <c r="C1783" s="33" t="s">
        <v>511</v>
      </c>
      <c r="D1783" s="33"/>
      <c r="E1783" s="33" t="n">
        <v>55</v>
      </c>
      <c r="F1783" s="33" t="s">
        <v>2160</v>
      </c>
      <c r="G1783" s="33" t="s">
        <v>514</v>
      </c>
      <c r="H1783" s="33" t="n">
        <v>1</v>
      </c>
      <c r="I1783" s="33" t="n">
        <v>1</v>
      </c>
      <c r="J1783" s="33" t="n">
        <v>1</v>
      </c>
      <c r="K1783" s="32" t="n">
        <v>75</v>
      </c>
      <c r="L1783" s="33" t="str">
        <f aca="false">IF($B1783="","",IFERROR(INDEX('Code Mapping'!$D$5:$D$1753,MATCH($B1783,'Code Mapping'!$A$5:$A$1753,0)),"Unmapped"))</f>
        <v>Unmapped</v>
      </c>
      <c r="M1783" s="33" t="str">
        <f aca="false">IF($B1783="","",IFERROR(INDEX('Code Mapping'!$E$5:$E$1753,MATCH($B1783,'Code Mapping'!$A$5:$A$1753,0)),"Unmapped"))</f>
        <v>Unmapped</v>
      </c>
      <c r="N1783" s="33" t="str">
        <f aca="false">IF($F1783="","",$F1783)</f>
        <v>InflataCity</v>
      </c>
    </row>
    <row r="1784" customFormat="false" ht="15" hidden="false" customHeight="false" outlineLevel="0" collapsed="false">
      <c r="A1784" s="33" t="n">
        <v>1922</v>
      </c>
      <c r="B1784" s="33" t="s">
        <v>645</v>
      </c>
      <c r="C1784" s="33" t="s">
        <v>511</v>
      </c>
      <c r="D1784" s="33"/>
      <c r="E1784" s="33" t="n">
        <v>55</v>
      </c>
      <c r="F1784" s="33" t="s">
        <v>2160</v>
      </c>
      <c r="G1784" s="33" t="s">
        <v>514</v>
      </c>
      <c r="H1784" s="33" t="n">
        <v>1</v>
      </c>
      <c r="I1784" s="33" t="n">
        <v>1</v>
      </c>
      <c r="J1784" s="33" t="n">
        <v>1</v>
      </c>
      <c r="K1784" s="32" t="n">
        <v>75</v>
      </c>
      <c r="L1784" s="33" t="str">
        <f aca="false">IF($B1784="","",IFERROR(INDEX('Code Mapping'!$D$5:$D$1753,MATCH($B1784,'Code Mapping'!$A$5:$A$1753,0)),"Unmapped"))</f>
        <v>Unmapped</v>
      </c>
      <c r="M1784" s="33" t="str">
        <f aca="false">IF($B1784="","",IFERROR(INDEX('Code Mapping'!$E$5:$E$1753,MATCH($B1784,'Code Mapping'!$A$5:$A$1753,0)),"Unmapped"))</f>
        <v>Unmapped</v>
      </c>
      <c r="N1784" s="33" t="str">
        <f aca="false">IF($F1784="","",$F1784)</f>
        <v>InflataCity</v>
      </c>
    </row>
    <row r="1785" customFormat="false" ht="15" hidden="false" customHeight="false" outlineLevel="0" collapsed="false">
      <c r="A1785" s="33" t="n">
        <v>1778</v>
      </c>
      <c r="B1785" s="33" t="s">
        <v>629</v>
      </c>
      <c r="C1785" s="33" t="s">
        <v>511</v>
      </c>
      <c r="D1785" s="33"/>
      <c r="E1785" s="33" t="n">
        <v>55</v>
      </c>
      <c r="F1785" s="33" t="s">
        <v>2160</v>
      </c>
      <c r="G1785" s="33" t="s">
        <v>514</v>
      </c>
      <c r="H1785" s="33" t="n">
        <v>1</v>
      </c>
      <c r="I1785" s="33" t="n">
        <v>1</v>
      </c>
      <c r="J1785" s="33" t="n">
        <v>1</v>
      </c>
      <c r="K1785" s="32" t="n">
        <v>75</v>
      </c>
      <c r="L1785" s="33" t="str">
        <f aca="false">IF($B1785="","",IFERROR(INDEX('Code Mapping'!$D$5:$D$1753,MATCH($B1785,'Code Mapping'!$A$5:$A$1753,0)),"Unmapped"))</f>
        <v>Unmapped</v>
      </c>
      <c r="M1785" s="33" t="str">
        <f aca="false">IF($B1785="","",IFERROR(INDEX('Code Mapping'!$E$5:$E$1753,MATCH($B1785,'Code Mapping'!$A$5:$A$1753,0)),"Unmapped"))</f>
        <v>Unmapped</v>
      </c>
      <c r="N1785" s="33" t="str">
        <f aca="false">IF($F1785="","",$F1785)</f>
        <v>InflataCity</v>
      </c>
    </row>
    <row r="1786" customFormat="false" ht="15" hidden="false" customHeight="false" outlineLevel="0" collapsed="false">
      <c r="A1786" s="33" t="n">
        <v>1857</v>
      </c>
      <c r="B1786" s="33" t="s">
        <v>648</v>
      </c>
      <c r="C1786" s="33" t="s">
        <v>511</v>
      </c>
      <c r="D1786" s="33"/>
      <c r="E1786" s="33" t="n">
        <v>55</v>
      </c>
      <c r="F1786" s="33" t="s">
        <v>2160</v>
      </c>
      <c r="G1786" s="33" t="s">
        <v>514</v>
      </c>
      <c r="H1786" s="33" t="n">
        <v>1</v>
      </c>
      <c r="I1786" s="33" t="n">
        <v>1</v>
      </c>
      <c r="J1786" s="33" t="n">
        <v>1</v>
      </c>
      <c r="K1786" s="32" t="n">
        <v>75</v>
      </c>
      <c r="L1786" s="33" t="str">
        <f aca="false">IF($B1786="","",IFERROR(INDEX('Code Mapping'!$D$5:$D$1753,MATCH($B1786,'Code Mapping'!$A$5:$A$1753,0)),"Unmapped"))</f>
        <v>Unmapped</v>
      </c>
      <c r="M1786" s="33" t="str">
        <f aca="false">IF($B1786="","",IFERROR(INDEX('Code Mapping'!$E$5:$E$1753,MATCH($B1786,'Code Mapping'!$A$5:$A$1753,0)),"Unmapped"))</f>
        <v>Unmapped</v>
      </c>
      <c r="N1786" s="33" t="str">
        <f aca="false">IF($F1786="","",$F1786)</f>
        <v>InflataCity</v>
      </c>
    </row>
    <row r="1787" customFormat="false" ht="15" hidden="false" customHeight="false" outlineLevel="0" collapsed="false">
      <c r="A1787" s="33" t="n">
        <v>1474</v>
      </c>
      <c r="B1787" s="33" t="s">
        <v>655</v>
      </c>
      <c r="C1787" s="33" t="s">
        <v>513</v>
      </c>
      <c r="D1787" s="33"/>
      <c r="E1787" s="33" t="n">
        <v>55</v>
      </c>
      <c r="F1787" s="33" t="s">
        <v>2160</v>
      </c>
      <c r="G1787" s="33" t="s">
        <v>514</v>
      </c>
      <c r="H1787" s="33" t="n">
        <v>1</v>
      </c>
      <c r="I1787" s="33" t="n">
        <v>1</v>
      </c>
      <c r="J1787" s="33" t="n">
        <v>1</v>
      </c>
      <c r="K1787" s="32" t="n">
        <v>300</v>
      </c>
      <c r="L1787" s="33" t="str">
        <f aca="false">IF($B1787="","",IFERROR(INDEX('Code Mapping'!$D$5:$D$1753,MATCH($B1787,'Code Mapping'!$A$5:$A$1753,0)),"Unmapped"))</f>
        <v>Unmapped</v>
      </c>
      <c r="M1787" s="33" t="str">
        <f aca="false">IF($B1787="","",IFERROR(INDEX('Code Mapping'!$E$5:$E$1753,MATCH($B1787,'Code Mapping'!$A$5:$A$1753,0)),"Unmapped"))</f>
        <v>Unmapped</v>
      </c>
      <c r="N1787" s="33" t="str">
        <f aca="false">IF($F1787="","",$F1787)</f>
        <v>InflataCity</v>
      </c>
    </row>
    <row r="1788" customFormat="false" ht="15" hidden="false" customHeight="false" outlineLevel="0" collapsed="false">
      <c r="A1788" s="33" t="n">
        <v>1825</v>
      </c>
      <c r="B1788" s="33" t="s">
        <v>666</v>
      </c>
      <c r="C1788" s="33" t="s">
        <v>511</v>
      </c>
      <c r="D1788" s="33"/>
      <c r="E1788" s="33" t="n">
        <v>55</v>
      </c>
      <c r="F1788" s="33" t="s">
        <v>2160</v>
      </c>
      <c r="G1788" s="33" t="s">
        <v>514</v>
      </c>
      <c r="H1788" s="33" t="n">
        <v>1</v>
      </c>
      <c r="I1788" s="33" t="n">
        <v>1</v>
      </c>
      <c r="J1788" s="33" t="n">
        <v>1</v>
      </c>
      <c r="K1788" s="32" t="n">
        <v>75</v>
      </c>
      <c r="L1788" s="33" t="str">
        <f aca="false">IF($B1788="","",IFERROR(INDEX('Code Mapping'!$D$5:$D$1753,MATCH($B1788,'Code Mapping'!$A$5:$A$1753,0)),"Unmapped"))</f>
        <v>Unmapped</v>
      </c>
      <c r="M1788" s="33" t="str">
        <f aca="false">IF($B1788="","",IFERROR(INDEX('Code Mapping'!$E$5:$E$1753,MATCH($B1788,'Code Mapping'!$A$5:$A$1753,0)),"Unmapped"))</f>
        <v>Unmapped</v>
      </c>
      <c r="N1788" s="33" t="str">
        <f aca="false">IF($F1788="","",$F1788)</f>
        <v>InflataCity</v>
      </c>
    </row>
    <row r="1789" customFormat="false" ht="15" hidden="false" customHeight="false" outlineLevel="0" collapsed="false">
      <c r="A1789" s="33" t="n">
        <v>1803</v>
      </c>
      <c r="B1789" s="33" t="s">
        <v>661</v>
      </c>
      <c r="C1789" s="33" t="s">
        <v>511</v>
      </c>
      <c r="D1789" s="33"/>
      <c r="E1789" s="33" t="n">
        <v>55</v>
      </c>
      <c r="F1789" s="33" t="s">
        <v>2160</v>
      </c>
      <c r="G1789" s="33" t="s">
        <v>514</v>
      </c>
      <c r="H1789" s="33" t="n">
        <v>1</v>
      </c>
      <c r="I1789" s="33" t="n">
        <v>1</v>
      </c>
      <c r="J1789" s="33" t="n">
        <v>1</v>
      </c>
      <c r="K1789" s="32" t="n">
        <v>75</v>
      </c>
      <c r="L1789" s="33" t="str">
        <f aca="false">IF($B1789="","",IFERROR(INDEX('Code Mapping'!$D$5:$D$1753,MATCH($B1789,'Code Mapping'!$A$5:$A$1753,0)),"Unmapped"))</f>
        <v>Unmapped</v>
      </c>
      <c r="M1789" s="33" t="str">
        <f aca="false">IF($B1789="","",IFERROR(INDEX('Code Mapping'!$E$5:$E$1753,MATCH($B1789,'Code Mapping'!$A$5:$A$1753,0)),"Unmapped"))</f>
        <v>Unmapped</v>
      </c>
      <c r="N1789" s="33" t="str">
        <f aca="false">IF($F1789="","",$F1789)</f>
        <v>InflataCity</v>
      </c>
    </row>
    <row r="1790" customFormat="false" ht="15" hidden="false" customHeight="false" outlineLevel="0" collapsed="false">
      <c r="A1790" s="33" t="n">
        <v>1585</v>
      </c>
      <c r="B1790" s="33" t="s">
        <v>660</v>
      </c>
      <c r="C1790" s="33" t="s">
        <v>513</v>
      </c>
      <c r="D1790" s="33"/>
      <c r="E1790" s="33" t="n">
        <v>55</v>
      </c>
      <c r="F1790" s="33" t="s">
        <v>2160</v>
      </c>
      <c r="G1790" s="33" t="s">
        <v>514</v>
      </c>
      <c r="H1790" s="33" t="n">
        <v>1</v>
      </c>
      <c r="I1790" s="33" t="n">
        <v>1</v>
      </c>
      <c r="J1790" s="33" t="n">
        <v>1</v>
      </c>
      <c r="K1790" s="32" t="n">
        <v>300</v>
      </c>
      <c r="L1790" s="33" t="str">
        <f aca="false">IF($B1790="","",IFERROR(INDEX('Code Mapping'!$D$5:$D$1753,MATCH($B1790,'Code Mapping'!$A$5:$A$1753,0)),"Unmapped"))</f>
        <v>Unmapped</v>
      </c>
      <c r="M1790" s="33" t="str">
        <f aca="false">IF($B1790="","",IFERROR(INDEX('Code Mapping'!$E$5:$E$1753,MATCH($B1790,'Code Mapping'!$A$5:$A$1753,0)),"Unmapped"))</f>
        <v>Unmapped</v>
      </c>
      <c r="N1790" s="33" t="str">
        <f aca="false">IF($F1790="","",$F1790)</f>
        <v>InflataCity</v>
      </c>
    </row>
    <row r="1791" customFormat="false" ht="15" hidden="false" customHeight="false" outlineLevel="0" collapsed="false">
      <c r="A1791" s="33" t="n">
        <v>1924</v>
      </c>
      <c r="B1791" s="33" t="s">
        <v>664</v>
      </c>
      <c r="C1791" s="33" t="s">
        <v>511</v>
      </c>
      <c r="D1791" s="33"/>
      <c r="E1791" s="33" t="n">
        <v>55</v>
      </c>
      <c r="F1791" s="33" t="s">
        <v>2160</v>
      </c>
      <c r="G1791" s="33" t="s">
        <v>514</v>
      </c>
      <c r="H1791" s="33" t="n">
        <v>1</v>
      </c>
      <c r="I1791" s="33" t="n">
        <v>1</v>
      </c>
      <c r="J1791" s="33" t="n">
        <v>1</v>
      </c>
      <c r="K1791" s="32" t="n">
        <v>75</v>
      </c>
      <c r="L1791" s="33" t="str">
        <f aca="false">IF($B1791="","",IFERROR(INDEX('Code Mapping'!$D$5:$D$1753,MATCH($B1791,'Code Mapping'!$A$5:$A$1753,0)),"Unmapped"))</f>
        <v>Unmapped</v>
      </c>
      <c r="M1791" s="33" t="str">
        <f aca="false">IF($B1791="","",IFERROR(INDEX('Code Mapping'!$E$5:$E$1753,MATCH($B1791,'Code Mapping'!$A$5:$A$1753,0)),"Unmapped"))</f>
        <v>Unmapped</v>
      </c>
      <c r="N1791" s="33" t="str">
        <f aca="false">IF($F1791="","",$F1791)</f>
        <v>InflataCity</v>
      </c>
    </row>
    <row r="1792" customFormat="false" ht="15" hidden="false" customHeight="false" outlineLevel="0" collapsed="false">
      <c r="A1792" s="33" t="n">
        <v>1934</v>
      </c>
      <c r="B1792" s="33" t="s">
        <v>651</v>
      </c>
      <c r="C1792" s="33" t="s">
        <v>511</v>
      </c>
      <c r="D1792" s="33"/>
      <c r="E1792" s="33" t="n">
        <v>55</v>
      </c>
      <c r="F1792" s="33" t="s">
        <v>2160</v>
      </c>
      <c r="G1792" s="33" t="s">
        <v>514</v>
      </c>
      <c r="H1792" s="33" t="n">
        <v>1</v>
      </c>
      <c r="I1792" s="33" t="n">
        <v>2</v>
      </c>
      <c r="J1792" s="33" t="n">
        <v>2</v>
      </c>
      <c r="K1792" s="32" t="n">
        <v>150</v>
      </c>
      <c r="L1792" s="33" t="str">
        <f aca="false">IF($B1792="","",IFERROR(INDEX('Code Mapping'!$D$5:$D$1753,MATCH($B1792,'Code Mapping'!$A$5:$A$1753,0)),"Unmapped"))</f>
        <v>Unmapped</v>
      </c>
      <c r="M1792" s="33" t="str">
        <f aca="false">IF($B1792="","",IFERROR(INDEX('Code Mapping'!$E$5:$E$1753,MATCH($B1792,'Code Mapping'!$A$5:$A$1753,0)),"Unmapped"))</f>
        <v>Unmapped</v>
      </c>
      <c r="N1792" s="33" t="str">
        <f aca="false">IF($F1792="","",$F1792)</f>
        <v>InflataCity</v>
      </c>
    </row>
    <row r="1793" customFormat="false" ht="15" hidden="false" customHeight="false" outlineLevel="0" collapsed="false">
      <c r="A1793" s="33" t="n">
        <v>1582</v>
      </c>
      <c r="B1793" s="33" t="s">
        <v>649</v>
      </c>
      <c r="C1793" s="33" t="s">
        <v>513</v>
      </c>
      <c r="D1793" s="33"/>
      <c r="E1793" s="33" t="n">
        <v>55</v>
      </c>
      <c r="F1793" s="33" t="s">
        <v>2160</v>
      </c>
      <c r="G1793" s="33" t="s">
        <v>514</v>
      </c>
      <c r="H1793" s="33" t="n">
        <v>1</v>
      </c>
      <c r="I1793" s="33" t="n">
        <v>1</v>
      </c>
      <c r="J1793" s="33" t="n">
        <v>1</v>
      </c>
      <c r="K1793" s="32" t="n">
        <v>300</v>
      </c>
      <c r="L1793" s="33" t="str">
        <f aca="false">IF($B1793="","",IFERROR(INDEX('Code Mapping'!$D$5:$D$1753,MATCH($B1793,'Code Mapping'!$A$5:$A$1753,0)),"Unmapped"))</f>
        <v>Unmapped</v>
      </c>
      <c r="M1793" s="33" t="str">
        <f aca="false">IF($B1793="","",IFERROR(INDEX('Code Mapping'!$E$5:$E$1753,MATCH($B1793,'Code Mapping'!$A$5:$A$1753,0)),"Unmapped"))</f>
        <v>Unmapped</v>
      </c>
      <c r="N1793" s="33" t="str">
        <f aca="false">IF($F1793="","",$F1793)</f>
        <v>InflataCity</v>
      </c>
    </row>
    <row r="1794" customFormat="false" ht="15" hidden="false" customHeight="false" outlineLevel="0" collapsed="false">
      <c r="A1794" s="33" t="n">
        <v>139</v>
      </c>
      <c r="B1794" s="33" t="s">
        <v>1093</v>
      </c>
      <c r="C1794" s="33"/>
      <c r="D1794" s="33"/>
      <c r="E1794" s="33" t="n">
        <v>41</v>
      </c>
      <c r="F1794" s="33" t="s">
        <v>36</v>
      </c>
      <c r="G1794" s="33" t="s">
        <v>2101</v>
      </c>
      <c r="H1794" s="33" t="n">
        <v>1</v>
      </c>
      <c r="I1794" s="33" t="n">
        <v>1</v>
      </c>
      <c r="J1794" s="33" t="n">
        <v>1</v>
      </c>
      <c r="K1794" s="32" t="n">
        <v>3</v>
      </c>
      <c r="L1794" s="33" t="str">
        <f aca="false">IF($B1794="","",IFERROR(INDEX('Code Mapping'!$D$5:$D$1753,MATCH($B1794,'Code Mapping'!$A$5:$A$1753,0)),"Unmapped"))</f>
        <v>Unmapped</v>
      </c>
      <c r="M1794" s="33" t="str">
        <f aca="false">IF($B1794="","",IFERROR(INDEX('Code Mapping'!$E$5:$E$1753,MATCH($B1794,'Code Mapping'!$A$5:$A$1753,0)),"Unmapped"))</f>
        <v>Unmapped</v>
      </c>
      <c r="N1794" s="33" t="str">
        <f aca="false">IF($F1794="","",$F1794)</f>
        <v>InflataPark</v>
      </c>
    </row>
    <row r="1795" customFormat="false" ht="15" hidden="false" customHeight="false" outlineLevel="0" collapsed="false">
      <c r="A1795" s="33" t="n">
        <v>1132</v>
      </c>
      <c r="B1795" s="33" t="s">
        <v>2102</v>
      </c>
      <c r="C1795" s="33" t="s">
        <v>2103</v>
      </c>
      <c r="D1795" s="33"/>
      <c r="E1795" s="33" t="n">
        <v>41</v>
      </c>
      <c r="F1795" s="33" t="s">
        <v>36</v>
      </c>
      <c r="G1795" s="33" t="s">
        <v>2101</v>
      </c>
      <c r="H1795" s="33" t="n">
        <v>2</v>
      </c>
      <c r="I1795" s="33" t="n">
        <v>2</v>
      </c>
      <c r="J1795" s="33" t="n">
        <v>2</v>
      </c>
      <c r="K1795" s="32" t="n">
        <v>68</v>
      </c>
      <c r="L1795" s="33" t="str">
        <f aca="false">IF($B1795="","",IFERROR(INDEX('Code Mapping'!$D$5:$D$1753,MATCH($B1795,'Code Mapping'!$A$5:$A$1753,0)),"Unmapped"))</f>
        <v>Al Jazeera Imtiyazat</v>
      </c>
      <c r="M1795" s="33" t="str">
        <f aca="false">IF($B1795="","",IFERROR(INDEX('Code Mapping'!$E$5:$E$1753,MATCH($B1795,'Code Mapping'!$A$5:$A$1753,0)),"Unmapped"))</f>
        <v>Corporate discount</v>
      </c>
      <c r="N1795" s="33" t="str">
        <f aca="false">IF($F1795="","",$F1795)</f>
        <v>InflataPark</v>
      </c>
    </row>
    <row r="1796" customFormat="false" ht="15" hidden="false" customHeight="false" outlineLevel="0" collapsed="false">
      <c r="A1796" s="33" t="n">
        <v>1133</v>
      </c>
      <c r="B1796" s="33" t="s">
        <v>2104</v>
      </c>
      <c r="C1796" s="33" t="s">
        <v>2105</v>
      </c>
      <c r="D1796" s="33"/>
      <c r="E1796" s="33" t="n">
        <v>41</v>
      </c>
      <c r="F1796" s="33" t="s">
        <v>36</v>
      </c>
      <c r="G1796" s="33" t="s">
        <v>2101</v>
      </c>
      <c r="H1796" s="33" t="n">
        <v>1</v>
      </c>
      <c r="I1796" s="33" t="n">
        <v>1</v>
      </c>
      <c r="J1796" s="33" t="n">
        <v>1</v>
      </c>
      <c r="K1796" s="32" t="n">
        <v>34</v>
      </c>
      <c r="L1796" s="33" t="str">
        <f aca="false">IF($B1796="","",IFERROR(INDEX('Code Mapping'!$D$5:$D$1753,MATCH($B1796,'Code Mapping'!$A$5:$A$1753,0)),"Unmapped"))</f>
        <v>Al Jazeera Imtiyazat</v>
      </c>
      <c r="M1796" s="33" t="str">
        <f aca="false">IF($B1796="","",IFERROR(INDEX('Code Mapping'!$E$5:$E$1753,MATCH($B1796,'Code Mapping'!$A$5:$A$1753,0)),"Unmapped"))</f>
        <v>Corporate discount</v>
      </c>
      <c r="N1796" s="33" t="str">
        <f aca="false">IF($F1796="","",$F1796)</f>
        <v>InflataPark</v>
      </c>
    </row>
    <row r="1797" customFormat="false" ht="15" hidden="false" customHeight="false" outlineLevel="0" collapsed="false">
      <c r="A1797" s="33" t="n">
        <v>1134</v>
      </c>
      <c r="B1797" s="33" t="s">
        <v>2106</v>
      </c>
      <c r="C1797" s="33" t="s">
        <v>2107</v>
      </c>
      <c r="D1797" s="33"/>
      <c r="E1797" s="33" t="n">
        <v>41</v>
      </c>
      <c r="F1797" s="33" t="s">
        <v>36</v>
      </c>
      <c r="G1797" s="33" t="s">
        <v>2101</v>
      </c>
      <c r="H1797" s="33" t="n">
        <v>1</v>
      </c>
      <c r="I1797" s="33" t="n">
        <v>1</v>
      </c>
      <c r="J1797" s="33" t="n">
        <v>1</v>
      </c>
      <c r="K1797" s="32" t="n">
        <v>34</v>
      </c>
      <c r="L1797" s="33" t="str">
        <f aca="false">IF($B1797="","",IFERROR(INDEX('Code Mapping'!$D$5:$D$1753,MATCH($B1797,'Code Mapping'!$A$5:$A$1753,0)),"Unmapped"))</f>
        <v>Al Jazeera Imtiyazat</v>
      </c>
      <c r="M1797" s="33" t="str">
        <f aca="false">IF($B1797="","",IFERROR(INDEX('Code Mapping'!$E$5:$E$1753,MATCH($B1797,'Code Mapping'!$A$5:$A$1753,0)),"Unmapped"))</f>
        <v>Corporate discount</v>
      </c>
      <c r="N1797" s="33" t="str">
        <f aca="false">IF($F1797="","",$F1797)</f>
        <v>InflataPark</v>
      </c>
    </row>
    <row r="1798" customFormat="false" ht="15" hidden="false" customHeight="false" outlineLevel="0" collapsed="false">
      <c r="A1798" s="33" t="n">
        <v>1131</v>
      </c>
      <c r="B1798" s="33" t="s">
        <v>2099</v>
      </c>
      <c r="C1798" s="33" t="s">
        <v>2100</v>
      </c>
      <c r="D1798" s="33"/>
      <c r="E1798" s="33" t="n">
        <v>41</v>
      </c>
      <c r="F1798" s="33" t="s">
        <v>36</v>
      </c>
      <c r="G1798" s="33" t="s">
        <v>2101</v>
      </c>
      <c r="H1798" s="33" t="n">
        <v>1</v>
      </c>
      <c r="I1798" s="33" t="n">
        <v>1</v>
      </c>
      <c r="J1798" s="33" t="n">
        <v>1</v>
      </c>
      <c r="K1798" s="32" t="n">
        <v>34</v>
      </c>
      <c r="L1798" s="33" t="str">
        <f aca="false">IF($B1798="","",IFERROR(INDEX('Code Mapping'!$D$5:$D$1753,MATCH($B1798,'Code Mapping'!$A$5:$A$1753,0)),"Unmapped"))</f>
        <v>Al Jazeera Imtiyazat</v>
      </c>
      <c r="M1798" s="33" t="str">
        <f aca="false">IF($B1798="","",IFERROR(INDEX('Code Mapping'!$E$5:$E$1753,MATCH($B1798,'Code Mapping'!$A$5:$A$1753,0)),"Unmapped"))</f>
        <v>Corporate discount</v>
      </c>
      <c r="N1798" s="33" t="str">
        <f aca="false">IF($F1798="","",$F1798)</f>
        <v>InflataPark</v>
      </c>
    </row>
    <row r="1799" customFormat="false" ht="15" hidden="false" customHeight="false" outlineLevel="0" collapsed="false">
      <c r="A1799" s="33" t="n">
        <v>923</v>
      </c>
      <c r="B1799" s="33" t="s">
        <v>1892</v>
      </c>
      <c r="C1799" s="33" t="s">
        <v>1880</v>
      </c>
      <c r="D1799" s="33"/>
      <c r="E1799" s="33" t="n">
        <v>54</v>
      </c>
      <c r="F1799" s="33" t="s">
        <v>2161</v>
      </c>
      <c r="G1799" s="33" t="s">
        <v>1796</v>
      </c>
      <c r="H1799" s="33" t="n">
        <v>1</v>
      </c>
      <c r="I1799" s="33" t="n">
        <v>1</v>
      </c>
      <c r="J1799" s="33" t="n">
        <v>1</v>
      </c>
      <c r="K1799" s="32" t="n">
        <v>125</v>
      </c>
      <c r="L1799" s="33" t="str">
        <f aca="false">IF($B1799="","",IFERROR(INDEX('Code Mapping'!$D$5:$D$1753,MATCH($B1799,'Code Mapping'!$A$5:$A$1753,0)),"Unmapped"))</f>
        <v>Unmapped</v>
      </c>
      <c r="M1799" s="33" t="str">
        <f aca="false">IF($B1799="","",IFERROR(INDEX('Code Mapping'!$E$5:$E$1753,MATCH($B1799,'Code Mapping'!$A$5:$A$1753,0)),"Unmapped"))</f>
        <v>Unmapped</v>
      </c>
      <c r="N1799" s="33" t="str">
        <f aca="false">IF($F1799="","",$F1799)</f>
        <v>LEGO Shows Qatar</v>
      </c>
    </row>
    <row r="1800" customFormat="false" ht="15" hidden="false" customHeight="false" outlineLevel="0" collapsed="false">
      <c r="A1800" s="33" t="n">
        <v>523</v>
      </c>
      <c r="B1800" s="33" t="s">
        <v>1893</v>
      </c>
      <c r="C1800" s="33" t="s">
        <v>1894</v>
      </c>
      <c r="D1800" s="33"/>
      <c r="E1800" s="33" t="n">
        <v>54</v>
      </c>
      <c r="F1800" s="33" t="s">
        <v>2161</v>
      </c>
      <c r="G1800" s="33" t="s">
        <v>1796</v>
      </c>
      <c r="H1800" s="33" t="n">
        <v>1</v>
      </c>
      <c r="I1800" s="33" t="n">
        <v>4</v>
      </c>
      <c r="J1800" s="33" t="n">
        <v>4</v>
      </c>
      <c r="K1800" s="32" t="n">
        <v>500</v>
      </c>
      <c r="L1800" s="33" t="str">
        <f aca="false">IF($B1800="","",IFERROR(INDEX('Code Mapping'!$D$5:$D$1753,MATCH($B1800,'Code Mapping'!$A$5:$A$1753,0)),"Unmapped"))</f>
        <v>Unmapped</v>
      </c>
      <c r="M1800" s="33" t="str">
        <f aca="false">IF($B1800="","",IFERROR(INDEX('Code Mapping'!$E$5:$E$1753,MATCH($B1800,'Code Mapping'!$A$5:$A$1753,0)),"Unmapped"))</f>
        <v>Unmapped</v>
      </c>
      <c r="N1800" s="33" t="str">
        <f aca="false">IF($F1800="","",$F1800)</f>
        <v>LEGO Shows Qatar</v>
      </c>
    </row>
    <row r="1801" customFormat="false" ht="15" hidden="false" customHeight="false" outlineLevel="0" collapsed="false">
      <c r="A1801" s="33" t="n">
        <v>536</v>
      </c>
      <c r="B1801" s="33" t="s">
        <v>1897</v>
      </c>
      <c r="C1801" s="33" t="s">
        <v>1894</v>
      </c>
      <c r="D1801" s="33"/>
      <c r="E1801" s="33" t="n">
        <v>54</v>
      </c>
      <c r="F1801" s="33" t="s">
        <v>2161</v>
      </c>
      <c r="G1801" s="33" t="s">
        <v>1796</v>
      </c>
      <c r="H1801" s="33" t="n">
        <v>1</v>
      </c>
      <c r="I1801" s="33" t="n">
        <v>1</v>
      </c>
      <c r="J1801" s="33" t="n">
        <v>1</v>
      </c>
      <c r="K1801" s="32" t="n">
        <v>125</v>
      </c>
      <c r="L1801" s="33" t="str">
        <f aca="false">IF($B1801="","",IFERROR(INDEX('Code Mapping'!$D$5:$D$1753,MATCH($B1801,'Code Mapping'!$A$5:$A$1753,0)),"Unmapped"))</f>
        <v>Unmapped</v>
      </c>
      <c r="M1801" s="33" t="str">
        <f aca="false">IF($B1801="","",IFERROR(INDEX('Code Mapping'!$E$5:$E$1753,MATCH($B1801,'Code Mapping'!$A$5:$A$1753,0)),"Unmapped"))</f>
        <v>Unmapped</v>
      </c>
      <c r="N1801" s="33" t="str">
        <f aca="false">IF($F1801="","",$F1801)</f>
        <v>LEGO Shows Qatar</v>
      </c>
    </row>
    <row r="1802" customFormat="false" ht="15" hidden="false" customHeight="false" outlineLevel="0" collapsed="false">
      <c r="A1802" s="33" t="n">
        <v>516</v>
      </c>
      <c r="B1802" s="33" t="s">
        <v>1895</v>
      </c>
      <c r="C1802" s="33" t="s">
        <v>1894</v>
      </c>
      <c r="D1802" s="33"/>
      <c r="E1802" s="33" t="n">
        <v>54</v>
      </c>
      <c r="F1802" s="33" t="s">
        <v>2161</v>
      </c>
      <c r="G1802" s="33" t="s">
        <v>1796</v>
      </c>
      <c r="H1802" s="33" t="n">
        <v>1</v>
      </c>
      <c r="I1802" s="33" t="n">
        <v>3</v>
      </c>
      <c r="J1802" s="33" t="n">
        <v>3</v>
      </c>
      <c r="K1802" s="32" t="n">
        <v>375</v>
      </c>
      <c r="L1802" s="33" t="str">
        <f aca="false">IF($B1802="","",IFERROR(INDEX('Code Mapping'!$D$5:$D$1753,MATCH($B1802,'Code Mapping'!$A$5:$A$1753,0)),"Unmapped"))</f>
        <v>Unmapped</v>
      </c>
      <c r="M1802" s="33" t="str">
        <f aca="false">IF($B1802="","",IFERROR(INDEX('Code Mapping'!$E$5:$E$1753,MATCH($B1802,'Code Mapping'!$A$5:$A$1753,0)),"Unmapped"))</f>
        <v>Unmapped</v>
      </c>
      <c r="N1802" s="33" t="str">
        <f aca="false">IF($F1802="","",$F1802)</f>
        <v>LEGO Shows Qatar</v>
      </c>
    </row>
    <row r="1803" customFormat="false" ht="15" hidden="false" customHeight="false" outlineLevel="0" collapsed="false">
      <c r="A1803" s="33" t="n">
        <v>520</v>
      </c>
      <c r="B1803" s="33" t="s">
        <v>1896</v>
      </c>
      <c r="C1803" s="33" t="s">
        <v>1894</v>
      </c>
      <c r="D1803" s="33"/>
      <c r="E1803" s="33" t="n">
        <v>54</v>
      </c>
      <c r="F1803" s="33" t="s">
        <v>2161</v>
      </c>
      <c r="G1803" s="33" t="s">
        <v>1796</v>
      </c>
      <c r="H1803" s="33" t="n">
        <v>1</v>
      </c>
      <c r="I1803" s="33" t="n">
        <v>10</v>
      </c>
      <c r="J1803" s="33" t="n">
        <v>10</v>
      </c>
      <c r="K1803" s="32" t="n">
        <v>1250</v>
      </c>
      <c r="L1803" s="33" t="str">
        <f aca="false">IF($B1803="","",IFERROR(INDEX('Code Mapping'!$D$5:$D$1753,MATCH($B1803,'Code Mapping'!$A$5:$A$1753,0)),"Unmapped"))</f>
        <v>Unmapped</v>
      </c>
      <c r="M1803" s="33" t="str">
        <f aca="false">IF($B1803="","",IFERROR(INDEX('Code Mapping'!$E$5:$E$1753,MATCH($B1803,'Code Mapping'!$A$5:$A$1753,0)),"Unmapped"))</f>
        <v>Unmapped</v>
      </c>
      <c r="N1803" s="33" t="str">
        <f aca="false">IF($F1803="","",$F1803)</f>
        <v>LEGO Shows Qatar</v>
      </c>
    </row>
    <row r="1804" customFormat="false" ht="15" hidden="false" customHeight="false" outlineLevel="0" collapsed="false">
      <c r="A1804" s="33" t="n">
        <v>644</v>
      </c>
      <c r="B1804" s="33" t="s">
        <v>1901</v>
      </c>
      <c r="C1804" s="33" t="s">
        <v>1894</v>
      </c>
      <c r="D1804" s="33"/>
      <c r="E1804" s="33" t="n">
        <v>54</v>
      </c>
      <c r="F1804" s="33" t="s">
        <v>2161</v>
      </c>
      <c r="G1804" s="33" t="s">
        <v>1796</v>
      </c>
      <c r="H1804" s="33" t="n">
        <v>1</v>
      </c>
      <c r="I1804" s="33" t="n">
        <v>1</v>
      </c>
      <c r="J1804" s="33" t="n">
        <v>1</v>
      </c>
      <c r="K1804" s="32" t="n">
        <v>125</v>
      </c>
      <c r="L1804" s="33" t="str">
        <f aca="false">IF($B1804="","",IFERROR(INDEX('Code Mapping'!$D$5:$D$1753,MATCH($B1804,'Code Mapping'!$A$5:$A$1753,0)),"Unmapped"))</f>
        <v>Unmapped</v>
      </c>
      <c r="M1804" s="33" t="str">
        <f aca="false">IF($B1804="","",IFERROR(INDEX('Code Mapping'!$E$5:$E$1753,MATCH($B1804,'Code Mapping'!$A$5:$A$1753,0)),"Unmapped"))</f>
        <v>Unmapped</v>
      </c>
      <c r="N1804" s="33" t="str">
        <f aca="false">IF($F1804="","",$F1804)</f>
        <v>LEGO Shows Qatar</v>
      </c>
    </row>
    <row r="1805" customFormat="false" ht="15" hidden="false" customHeight="false" outlineLevel="0" collapsed="false">
      <c r="A1805" s="33" t="n">
        <v>648</v>
      </c>
      <c r="B1805" s="33" t="s">
        <v>1898</v>
      </c>
      <c r="C1805" s="33" t="s">
        <v>1894</v>
      </c>
      <c r="D1805" s="33"/>
      <c r="E1805" s="33" t="n">
        <v>54</v>
      </c>
      <c r="F1805" s="33" t="s">
        <v>2161</v>
      </c>
      <c r="G1805" s="33" t="s">
        <v>1796</v>
      </c>
      <c r="H1805" s="33" t="n">
        <v>1</v>
      </c>
      <c r="I1805" s="33" t="n">
        <v>1</v>
      </c>
      <c r="J1805" s="33" t="n">
        <v>1</v>
      </c>
      <c r="K1805" s="32" t="n">
        <v>125</v>
      </c>
      <c r="L1805" s="33" t="str">
        <f aca="false">IF($B1805="","",IFERROR(INDEX('Code Mapping'!$D$5:$D$1753,MATCH($B1805,'Code Mapping'!$A$5:$A$1753,0)),"Unmapped"))</f>
        <v>Unmapped</v>
      </c>
      <c r="M1805" s="33" t="str">
        <f aca="false">IF($B1805="","",IFERROR(INDEX('Code Mapping'!$E$5:$E$1753,MATCH($B1805,'Code Mapping'!$A$5:$A$1753,0)),"Unmapped"))</f>
        <v>Unmapped</v>
      </c>
      <c r="N1805" s="33" t="str">
        <f aca="false">IF($F1805="","",$F1805)</f>
        <v>LEGO Shows Qatar</v>
      </c>
    </row>
    <row r="1806" customFormat="false" ht="15" hidden="false" customHeight="false" outlineLevel="0" collapsed="false">
      <c r="A1806" s="33" t="n">
        <v>773</v>
      </c>
      <c r="B1806" s="33" t="s">
        <v>1899</v>
      </c>
      <c r="C1806" s="33" t="s">
        <v>1894</v>
      </c>
      <c r="D1806" s="33"/>
      <c r="E1806" s="33" t="n">
        <v>54</v>
      </c>
      <c r="F1806" s="33" t="s">
        <v>2161</v>
      </c>
      <c r="G1806" s="33" t="s">
        <v>1796</v>
      </c>
      <c r="H1806" s="33" t="n">
        <v>1</v>
      </c>
      <c r="I1806" s="33" t="n">
        <v>5</v>
      </c>
      <c r="J1806" s="33" t="n">
        <v>5</v>
      </c>
      <c r="K1806" s="32" t="n">
        <v>625</v>
      </c>
      <c r="L1806" s="33" t="str">
        <f aca="false">IF($B1806="","",IFERROR(INDEX('Code Mapping'!$D$5:$D$1753,MATCH($B1806,'Code Mapping'!$A$5:$A$1753,0)),"Unmapped"))</f>
        <v>Unmapped</v>
      </c>
      <c r="M1806" s="33" t="str">
        <f aca="false">IF($B1806="","",IFERROR(INDEX('Code Mapping'!$E$5:$E$1753,MATCH($B1806,'Code Mapping'!$A$5:$A$1753,0)),"Unmapped"))</f>
        <v>Unmapped</v>
      </c>
      <c r="N1806" s="33" t="str">
        <f aca="false">IF($F1806="","",$F1806)</f>
        <v>LEGO Shows Qatar</v>
      </c>
    </row>
    <row r="1807" customFormat="false" ht="15" hidden="false" customHeight="false" outlineLevel="0" collapsed="false">
      <c r="A1807" s="33" t="n">
        <v>521</v>
      </c>
      <c r="B1807" s="33" t="s">
        <v>1900</v>
      </c>
      <c r="C1807" s="33" t="s">
        <v>1894</v>
      </c>
      <c r="D1807" s="33"/>
      <c r="E1807" s="33" t="n">
        <v>54</v>
      </c>
      <c r="F1807" s="33" t="s">
        <v>2161</v>
      </c>
      <c r="G1807" s="33" t="s">
        <v>1796</v>
      </c>
      <c r="H1807" s="33" t="n">
        <v>1</v>
      </c>
      <c r="I1807" s="33" t="n">
        <v>4</v>
      </c>
      <c r="J1807" s="33" t="n">
        <v>4</v>
      </c>
      <c r="K1807" s="32" t="n">
        <v>500</v>
      </c>
      <c r="L1807" s="33" t="str">
        <f aca="false">IF($B1807="","",IFERROR(INDEX('Code Mapping'!$D$5:$D$1753,MATCH($B1807,'Code Mapping'!$A$5:$A$1753,0)),"Unmapped"))</f>
        <v>Unmapped</v>
      </c>
      <c r="M1807" s="33" t="str">
        <f aca="false">IF($B1807="","",IFERROR(INDEX('Code Mapping'!$E$5:$E$1753,MATCH($B1807,'Code Mapping'!$A$5:$A$1753,0)),"Unmapped"))</f>
        <v>Unmapped</v>
      </c>
      <c r="N1807" s="33" t="str">
        <f aca="false">IF($F1807="","",$F1807)</f>
        <v>LEGO Shows Qatar</v>
      </c>
    </row>
    <row r="1808" customFormat="false" ht="15" hidden="false" customHeight="false" outlineLevel="0" collapsed="false">
      <c r="A1808" s="33" t="n">
        <v>653</v>
      </c>
      <c r="B1808" s="33" t="s">
        <v>1903</v>
      </c>
      <c r="C1808" s="33" t="s">
        <v>1894</v>
      </c>
      <c r="D1808" s="33"/>
      <c r="E1808" s="33" t="n">
        <v>54</v>
      </c>
      <c r="F1808" s="33" t="s">
        <v>2161</v>
      </c>
      <c r="G1808" s="33" t="s">
        <v>1796</v>
      </c>
      <c r="H1808" s="33" t="n">
        <v>1</v>
      </c>
      <c r="I1808" s="33" t="n">
        <v>1</v>
      </c>
      <c r="J1808" s="33" t="n">
        <v>1</v>
      </c>
      <c r="K1808" s="32" t="n">
        <v>125</v>
      </c>
      <c r="L1808" s="33" t="str">
        <f aca="false">IF($B1808="","",IFERROR(INDEX('Code Mapping'!$D$5:$D$1753,MATCH($B1808,'Code Mapping'!$A$5:$A$1753,0)),"Unmapped"))</f>
        <v>Unmapped</v>
      </c>
      <c r="M1808" s="33" t="str">
        <f aca="false">IF($B1808="","",IFERROR(INDEX('Code Mapping'!$E$5:$E$1753,MATCH($B1808,'Code Mapping'!$A$5:$A$1753,0)),"Unmapped"))</f>
        <v>Unmapped</v>
      </c>
      <c r="N1808" s="33" t="str">
        <f aca="false">IF($F1808="","",$F1808)</f>
        <v>LEGO Shows Qatar</v>
      </c>
    </row>
    <row r="1809" customFormat="false" ht="15" hidden="false" customHeight="false" outlineLevel="0" collapsed="false">
      <c r="A1809" s="33" t="n">
        <v>914</v>
      </c>
      <c r="B1809" s="33" t="s">
        <v>1890</v>
      </c>
      <c r="C1809" s="33" t="s">
        <v>1880</v>
      </c>
      <c r="D1809" s="33"/>
      <c r="E1809" s="33" t="n">
        <v>54</v>
      </c>
      <c r="F1809" s="33" t="s">
        <v>2161</v>
      </c>
      <c r="G1809" s="33" t="s">
        <v>1796</v>
      </c>
      <c r="H1809" s="33" t="n">
        <v>1</v>
      </c>
      <c r="I1809" s="33" t="n">
        <v>3</v>
      </c>
      <c r="J1809" s="33" t="n">
        <v>3</v>
      </c>
      <c r="K1809" s="32" t="n">
        <v>375</v>
      </c>
      <c r="L1809" s="33" t="str">
        <f aca="false">IF($B1809="","",IFERROR(INDEX('Code Mapping'!$D$5:$D$1753,MATCH($B1809,'Code Mapping'!$A$5:$A$1753,0)),"Unmapped"))</f>
        <v>Unmapped</v>
      </c>
      <c r="M1809" s="33" t="str">
        <f aca="false">IF($B1809="","",IFERROR(INDEX('Code Mapping'!$E$5:$E$1753,MATCH($B1809,'Code Mapping'!$A$5:$A$1753,0)),"Unmapped"))</f>
        <v>Unmapped</v>
      </c>
      <c r="N1809" s="33" t="str">
        <f aca="false">IF($F1809="","",$F1809)</f>
        <v>LEGO Shows Qatar</v>
      </c>
    </row>
    <row r="1810" customFormat="false" ht="15" hidden="false" customHeight="false" outlineLevel="0" collapsed="false">
      <c r="A1810" s="33" t="n">
        <v>636</v>
      </c>
      <c r="B1810" s="33" t="s">
        <v>1902</v>
      </c>
      <c r="C1810" s="33" t="s">
        <v>1894</v>
      </c>
      <c r="D1810" s="33"/>
      <c r="E1810" s="33" t="n">
        <v>54</v>
      </c>
      <c r="F1810" s="33" t="s">
        <v>2161</v>
      </c>
      <c r="G1810" s="33" t="s">
        <v>1796</v>
      </c>
      <c r="H1810" s="33" t="n">
        <v>1</v>
      </c>
      <c r="I1810" s="33" t="n">
        <v>1</v>
      </c>
      <c r="J1810" s="33" t="n">
        <v>1</v>
      </c>
      <c r="K1810" s="32" t="n">
        <v>125</v>
      </c>
      <c r="L1810" s="33" t="str">
        <f aca="false">IF($B1810="","",IFERROR(INDEX('Code Mapping'!$D$5:$D$1753,MATCH($B1810,'Code Mapping'!$A$5:$A$1753,0)),"Unmapped"))</f>
        <v>Unmapped</v>
      </c>
      <c r="M1810" s="33" t="str">
        <f aca="false">IF($B1810="","",IFERROR(INDEX('Code Mapping'!$E$5:$E$1753,MATCH($B1810,'Code Mapping'!$A$5:$A$1753,0)),"Unmapped"))</f>
        <v>Unmapped</v>
      </c>
      <c r="N1810" s="33" t="str">
        <f aca="false">IF($F1810="","",$F1810)</f>
        <v>LEGO Shows Qatar</v>
      </c>
    </row>
    <row r="1811" customFormat="false" ht="15" hidden="false" customHeight="false" outlineLevel="0" collapsed="false">
      <c r="A1811" s="33" t="n">
        <v>929</v>
      </c>
      <c r="B1811" s="33" t="s">
        <v>1891</v>
      </c>
      <c r="C1811" s="33" t="s">
        <v>1880</v>
      </c>
      <c r="D1811" s="33"/>
      <c r="E1811" s="33" t="n">
        <v>54</v>
      </c>
      <c r="F1811" s="33" t="s">
        <v>2161</v>
      </c>
      <c r="G1811" s="33" t="s">
        <v>1796</v>
      </c>
      <c r="H1811" s="33" t="n">
        <v>1</v>
      </c>
      <c r="I1811" s="33" t="n">
        <v>1</v>
      </c>
      <c r="J1811" s="33" t="n">
        <v>1</v>
      </c>
      <c r="K1811" s="32" t="n">
        <v>125</v>
      </c>
      <c r="L1811" s="33" t="str">
        <f aca="false">IF($B1811="","",IFERROR(INDEX('Code Mapping'!$D$5:$D$1753,MATCH($B1811,'Code Mapping'!$A$5:$A$1753,0)),"Unmapped"))</f>
        <v>Unmapped</v>
      </c>
      <c r="M1811" s="33" t="str">
        <f aca="false">IF($B1811="","",IFERROR(INDEX('Code Mapping'!$E$5:$E$1753,MATCH($B1811,'Code Mapping'!$A$5:$A$1753,0)),"Unmapped"))</f>
        <v>Unmapped</v>
      </c>
      <c r="N1811" s="33" t="str">
        <f aca="false">IF($F1811="","",$F1811)</f>
        <v>LEGO Shows Qatar</v>
      </c>
    </row>
    <row r="1812" customFormat="false" ht="15" hidden="false" customHeight="false" outlineLevel="0" collapsed="false">
      <c r="A1812" s="33" t="n">
        <v>961</v>
      </c>
      <c r="B1812" s="33" t="s">
        <v>1877</v>
      </c>
      <c r="C1812" s="33" t="s">
        <v>1878</v>
      </c>
      <c r="D1812" s="33"/>
      <c r="E1812" s="33" t="n">
        <v>54</v>
      </c>
      <c r="F1812" s="33" t="s">
        <v>2161</v>
      </c>
      <c r="G1812" s="33" t="s">
        <v>1796</v>
      </c>
      <c r="H1812" s="33" t="n">
        <v>1</v>
      </c>
      <c r="I1812" s="33" t="n">
        <v>3</v>
      </c>
      <c r="J1812" s="33" t="n">
        <v>3</v>
      </c>
      <c r="K1812" s="32" t="n">
        <v>375</v>
      </c>
      <c r="L1812" s="33" t="str">
        <f aca="false">IF($B1812="","",IFERROR(INDEX('Code Mapping'!$D$5:$D$1753,MATCH($B1812,'Code Mapping'!$A$5:$A$1753,0)),"Unmapped"))</f>
        <v>Unmapped</v>
      </c>
      <c r="M1812" s="33" t="str">
        <f aca="false">IF($B1812="","",IFERROR(INDEX('Code Mapping'!$E$5:$E$1753,MATCH($B1812,'Code Mapping'!$A$5:$A$1753,0)),"Unmapped"))</f>
        <v>Unmapped</v>
      </c>
      <c r="N1812" s="33" t="str">
        <f aca="false">IF($F1812="","",$F1812)</f>
        <v>LEGO Shows Qatar</v>
      </c>
    </row>
    <row r="1813" customFormat="false" ht="15" hidden="false" customHeight="false" outlineLevel="0" collapsed="false">
      <c r="A1813" s="33" t="n">
        <v>924</v>
      </c>
      <c r="B1813" s="33" t="s">
        <v>1889</v>
      </c>
      <c r="C1813" s="33" t="s">
        <v>1880</v>
      </c>
      <c r="D1813" s="33"/>
      <c r="E1813" s="33" t="n">
        <v>54</v>
      </c>
      <c r="F1813" s="33" t="s">
        <v>2161</v>
      </c>
      <c r="G1813" s="33" t="s">
        <v>1796</v>
      </c>
      <c r="H1813" s="33" t="n">
        <v>1</v>
      </c>
      <c r="I1813" s="33" t="n">
        <v>1</v>
      </c>
      <c r="J1813" s="33" t="n">
        <v>1</v>
      </c>
      <c r="K1813" s="32" t="n">
        <v>125</v>
      </c>
      <c r="L1813" s="33" t="str">
        <f aca="false">IF($B1813="","",IFERROR(INDEX('Code Mapping'!$D$5:$D$1753,MATCH($B1813,'Code Mapping'!$A$5:$A$1753,0)),"Unmapped"))</f>
        <v>Unmapped</v>
      </c>
      <c r="M1813" s="33" t="str">
        <f aca="false">IF($B1813="","",IFERROR(INDEX('Code Mapping'!$E$5:$E$1753,MATCH($B1813,'Code Mapping'!$A$5:$A$1753,0)),"Unmapped"))</f>
        <v>Unmapped</v>
      </c>
      <c r="N1813" s="33" t="str">
        <f aca="false">IF($F1813="","",$F1813)</f>
        <v>LEGO Shows Qatar</v>
      </c>
    </row>
    <row r="1814" customFormat="false" ht="15" hidden="false" customHeight="false" outlineLevel="0" collapsed="false">
      <c r="A1814" s="33" t="n">
        <v>928</v>
      </c>
      <c r="B1814" s="33" t="s">
        <v>1888</v>
      </c>
      <c r="C1814" s="33" t="s">
        <v>1880</v>
      </c>
      <c r="D1814" s="33"/>
      <c r="E1814" s="33" t="n">
        <v>54</v>
      </c>
      <c r="F1814" s="33" t="s">
        <v>2161</v>
      </c>
      <c r="G1814" s="33" t="s">
        <v>1796</v>
      </c>
      <c r="H1814" s="33" t="n">
        <v>1</v>
      </c>
      <c r="I1814" s="33" t="n">
        <v>1</v>
      </c>
      <c r="J1814" s="33" t="n">
        <v>1</v>
      </c>
      <c r="K1814" s="32" t="n">
        <v>125</v>
      </c>
      <c r="L1814" s="33" t="str">
        <f aca="false">IF($B1814="","",IFERROR(INDEX('Code Mapping'!$D$5:$D$1753,MATCH($B1814,'Code Mapping'!$A$5:$A$1753,0)),"Unmapped"))</f>
        <v>Unmapped</v>
      </c>
      <c r="M1814" s="33" t="str">
        <f aca="false">IF($B1814="","",IFERROR(INDEX('Code Mapping'!$E$5:$E$1753,MATCH($B1814,'Code Mapping'!$A$5:$A$1753,0)),"Unmapped"))</f>
        <v>Unmapped</v>
      </c>
      <c r="N1814" s="33" t="str">
        <f aca="false">IF($F1814="","",$F1814)</f>
        <v>LEGO Shows Qatar</v>
      </c>
    </row>
    <row r="1815" customFormat="false" ht="15" hidden="false" customHeight="false" outlineLevel="0" collapsed="false">
      <c r="A1815" s="33" t="n">
        <v>925</v>
      </c>
      <c r="B1815" s="33" t="s">
        <v>1887</v>
      </c>
      <c r="C1815" s="33" t="s">
        <v>1880</v>
      </c>
      <c r="D1815" s="33"/>
      <c r="E1815" s="33" t="n">
        <v>54</v>
      </c>
      <c r="F1815" s="33" t="s">
        <v>2161</v>
      </c>
      <c r="G1815" s="33" t="s">
        <v>1796</v>
      </c>
      <c r="H1815" s="33" t="n">
        <v>1</v>
      </c>
      <c r="I1815" s="33" t="n">
        <v>1</v>
      </c>
      <c r="J1815" s="33" t="n">
        <v>1</v>
      </c>
      <c r="K1815" s="32" t="n">
        <v>125</v>
      </c>
      <c r="L1815" s="33" t="str">
        <f aca="false">IF($B1815="","",IFERROR(INDEX('Code Mapping'!$D$5:$D$1753,MATCH($B1815,'Code Mapping'!$A$5:$A$1753,0)),"Unmapped"))</f>
        <v>Unmapped</v>
      </c>
      <c r="M1815" s="33" t="str">
        <f aca="false">IF($B1815="","",IFERROR(INDEX('Code Mapping'!$E$5:$E$1753,MATCH($B1815,'Code Mapping'!$A$5:$A$1753,0)),"Unmapped"))</f>
        <v>Unmapped</v>
      </c>
      <c r="N1815" s="33" t="str">
        <f aca="false">IF($F1815="","",$F1815)</f>
        <v>LEGO Shows Qatar</v>
      </c>
    </row>
    <row r="1816" customFormat="false" ht="15" hidden="false" customHeight="false" outlineLevel="0" collapsed="false">
      <c r="A1816" s="33" t="n">
        <v>938</v>
      </c>
      <c r="B1816" s="33" t="s">
        <v>1886</v>
      </c>
      <c r="C1816" s="33" t="s">
        <v>1880</v>
      </c>
      <c r="D1816" s="33"/>
      <c r="E1816" s="33" t="n">
        <v>54</v>
      </c>
      <c r="F1816" s="33" t="s">
        <v>2161</v>
      </c>
      <c r="G1816" s="33" t="s">
        <v>1796</v>
      </c>
      <c r="H1816" s="33" t="n">
        <v>1</v>
      </c>
      <c r="I1816" s="33" t="n">
        <v>1</v>
      </c>
      <c r="J1816" s="33" t="n">
        <v>1</v>
      </c>
      <c r="K1816" s="32" t="n">
        <v>125</v>
      </c>
      <c r="L1816" s="33" t="str">
        <f aca="false">IF($B1816="","",IFERROR(INDEX('Code Mapping'!$D$5:$D$1753,MATCH($B1816,'Code Mapping'!$A$5:$A$1753,0)),"Unmapped"))</f>
        <v>Unmapped</v>
      </c>
      <c r="M1816" s="33" t="str">
        <f aca="false">IF($B1816="","",IFERROR(INDEX('Code Mapping'!$E$5:$E$1753,MATCH($B1816,'Code Mapping'!$A$5:$A$1753,0)),"Unmapped"))</f>
        <v>Unmapped</v>
      </c>
      <c r="N1816" s="33" t="str">
        <f aca="false">IF($F1816="","",$F1816)</f>
        <v>LEGO Shows Qatar</v>
      </c>
    </row>
    <row r="1817" customFormat="false" ht="15" hidden="false" customHeight="false" outlineLevel="0" collapsed="false">
      <c r="A1817" s="33" t="n">
        <v>962</v>
      </c>
      <c r="B1817" s="33" t="s">
        <v>1885</v>
      </c>
      <c r="C1817" s="33" t="s">
        <v>1878</v>
      </c>
      <c r="D1817" s="33"/>
      <c r="E1817" s="33" t="n">
        <v>54</v>
      </c>
      <c r="F1817" s="33" t="s">
        <v>2161</v>
      </c>
      <c r="G1817" s="33" t="s">
        <v>1796</v>
      </c>
      <c r="H1817" s="33" t="n">
        <v>1</v>
      </c>
      <c r="I1817" s="33" t="n">
        <v>4</v>
      </c>
      <c r="J1817" s="33" t="n">
        <v>4</v>
      </c>
      <c r="K1817" s="32" t="n">
        <v>500</v>
      </c>
      <c r="L1817" s="33" t="str">
        <f aca="false">IF($B1817="","",IFERROR(INDEX('Code Mapping'!$D$5:$D$1753,MATCH($B1817,'Code Mapping'!$A$5:$A$1753,0)),"Unmapped"))</f>
        <v>Unmapped</v>
      </c>
      <c r="M1817" s="33" t="str">
        <f aca="false">IF($B1817="","",IFERROR(INDEX('Code Mapping'!$E$5:$E$1753,MATCH($B1817,'Code Mapping'!$A$5:$A$1753,0)),"Unmapped"))</f>
        <v>Unmapped</v>
      </c>
      <c r="N1817" s="33" t="str">
        <f aca="false">IF($F1817="","",$F1817)</f>
        <v>LEGO Shows Qatar</v>
      </c>
    </row>
    <row r="1818" customFormat="false" ht="15" hidden="false" customHeight="false" outlineLevel="0" collapsed="false">
      <c r="A1818" s="33" t="n">
        <v>922</v>
      </c>
      <c r="B1818" s="33" t="s">
        <v>1884</v>
      </c>
      <c r="C1818" s="33" t="s">
        <v>1880</v>
      </c>
      <c r="D1818" s="33"/>
      <c r="E1818" s="33" t="n">
        <v>54</v>
      </c>
      <c r="F1818" s="33" t="s">
        <v>2161</v>
      </c>
      <c r="G1818" s="33" t="s">
        <v>1796</v>
      </c>
      <c r="H1818" s="33" t="n">
        <v>1</v>
      </c>
      <c r="I1818" s="33" t="n">
        <v>1</v>
      </c>
      <c r="J1818" s="33" t="n">
        <v>1</v>
      </c>
      <c r="K1818" s="32" t="n">
        <v>125</v>
      </c>
      <c r="L1818" s="33" t="str">
        <f aca="false">IF($B1818="","",IFERROR(INDEX('Code Mapping'!$D$5:$D$1753,MATCH($B1818,'Code Mapping'!$A$5:$A$1753,0)),"Unmapped"))</f>
        <v>Unmapped</v>
      </c>
      <c r="M1818" s="33" t="str">
        <f aca="false">IF($B1818="","",IFERROR(INDEX('Code Mapping'!$E$5:$E$1753,MATCH($B1818,'Code Mapping'!$A$5:$A$1753,0)),"Unmapped"))</f>
        <v>Unmapped</v>
      </c>
      <c r="N1818" s="33" t="str">
        <f aca="false">IF($F1818="","",$F1818)</f>
        <v>LEGO Shows Qatar</v>
      </c>
    </row>
    <row r="1819" customFormat="false" ht="15" hidden="false" customHeight="false" outlineLevel="0" collapsed="false">
      <c r="A1819" s="33" t="n">
        <v>927</v>
      </c>
      <c r="B1819" s="33" t="s">
        <v>1883</v>
      </c>
      <c r="C1819" s="33" t="s">
        <v>1880</v>
      </c>
      <c r="D1819" s="33"/>
      <c r="E1819" s="33" t="n">
        <v>54</v>
      </c>
      <c r="F1819" s="33" t="s">
        <v>2161</v>
      </c>
      <c r="G1819" s="33" t="s">
        <v>1796</v>
      </c>
      <c r="H1819" s="33" t="n">
        <v>1</v>
      </c>
      <c r="I1819" s="33" t="n">
        <v>1</v>
      </c>
      <c r="J1819" s="33" t="n">
        <v>1</v>
      </c>
      <c r="K1819" s="32" t="n">
        <v>125</v>
      </c>
      <c r="L1819" s="33" t="str">
        <f aca="false">IF($B1819="","",IFERROR(INDEX('Code Mapping'!$D$5:$D$1753,MATCH($B1819,'Code Mapping'!$A$5:$A$1753,0)),"Unmapped"))</f>
        <v>Unmapped</v>
      </c>
      <c r="M1819" s="33" t="str">
        <f aca="false">IF($B1819="","",IFERROR(INDEX('Code Mapping'!$E$5:$E$1753,MATCH($B1819,'Code Mapping'!$A$5:$A$1753,0)),"Unmapped"))</f>
        <v>Unmapped</v>
      </c>
      <c r="N1819" s="33" t="str">
        <f aca="false">IF($F1819="","",$F1819)</f>
        <v>LEGO Shows Qatar</v>
      </c>
    </row>
    <row r="1820" customFormat="false" ht="15" hidden="false" customHeight="false" outlineLevel="0" collapsed="false">
      <c r="A1820" s="33" t="n">
        <v>939</v>
      </c>
      <c r="B1820" s="33" t="s">
        <v>1882</v>
      </c>
      <c r="C1820" s="33" t="s">
        <v>1880</v>
      </c>
      <c r="D1820" s="33"/>
      <c r="E1820" s="33" t="n">
        <v>54</v>
      </c>
      <c r="F1820" s="33" t="s">
        <v>2161</v>
      </c>
      <c r="G1820" s="33" t="s">
        <v>1796</v>
      </c>
      <c r="H1820" s="33" t="n">
        <v>1</v>
      </c>
      <c r="I1820" s="33" t="n">
        <v>1</v>
      </c>
      <c r="J1820" s="33" t="n">
        <v>1</v>
      </c>
      <c r="K1820" s="32" t="n">
        <v>125</v>
      </c>
      <c r="L1820" s="33" t="str">
        <f aca="false">IF($B1820="","",IFERROR(INDEX('Code Mapping'!$D$5:$D$1753,MATCH($B1820,'Code Mapping'!$A$5:$A$1753,0)),"Unmapped"))</f>
        <v>Unmapped</v>
      </c>
      <c r="M1820" s="33" t="str">
        <f aca="false">IF($B1820="","",IFERROR(INDEX('Code Mapping'!$E$5:$E$1753,MATCH($B1820,'Code Mapping'!$A$5:$A$1753,0)),"Unmapped"))</f>
        <v>Unmapped</v>
      </c>
      <c r="N1820" s="33" t="str">
        <f aca="false">IF($F1820="","",$F1820)</f>
        <v>LEGO Shows Qatar</v>
      </c>
    </row>
    <row r="1821" customFormat="false" ht="15" hidden="false" customHeight="false" outlineLevel="0" collapsed="false">
      <c r="A1821" s="33" t="n">
        <v>960</v>
      </c>
      <c r="B1821" s="33" t="s">
        <v>1881</v>
      </c>
      <c r="C1821" s="33" t="s">
        <v>1878</v>
      </c>
      <c r="D1821" s="33"/>
      <c r="E1821" s="33" t="n">
        <v>54</v>
      </c>
      <c r="F1821" s="33" t="s">
        <v>2161</v>
      </c>
      <c r="G1821" s="33" t="s">
        <v>1796</v>
      </c>
      <c r="H1821" s="33" t="n">
        <v>1</v>
      </c>
      <c r="I1821" s="33" t="n">
        <v>3</v>
      </c>
      <c r="J1821" s="33" t="n">
        <v>3</v>
      </c>
      <c r="K1821" s="32" t="n">
        <v>375</v>
      </c>
      <c r="L1821" s="33" t="str">
        <f aca="false">IF($B1821="","",IFERROR(INDEX('Code Mapping'!$D$5:$D$1753,MATCH($B1821,'Code Mapping'!$A$5:$A$1753,0)),"Unmapped"))</f>
        <v>Unmapped</v>
      </c>
      <c r="M1821" s="33" t="str">
        <f aca="false">IF($B1821="","",IFERROR(INDEX('Code Mapping'!$E$5:$E$1753,MATCH($B1821,'Code Mapping'!$A$5:$A$1753,0)),"Unmapped"))</f>
        <v>Unmapped</v>
      </c>
      <c r="N1821" s="33" t="str">
        <f aca="false">IF($F1821="","",$F1821)</f>
        <v>LEGO Shows Qatar</v>
      </c>
    </row>
    <row r="1822" customFormat="false" ht="15" hidden="false" customHeight="false" outlineLevel="0" collapsed="false">
      <c r="A1822" s="33" t="n">
        <v>926</v>
      </c>
      <c r="B1822" s="33" t="s">
        <v>1879</v>
      </c>
      <c r="C1822" s="33" t="s">
        <v>1880</v>
      </c>
      <c r="D1822" s="33"/>
      <c r="E1822" s="33" t="n">
        <v>54</v>
      </c>
      <c r="F1822" s="33" t="s">
        <v>2161</v>
      </c>
      <c r="G1822" s="33" t="s">
        <v>1796</v>
      </c>
      <c r="H1822" s="33" t="n">
        <v>1</v>
      </c>
      <c r="I1822" s="33" t="n">
        <v>1</v>
      </c>
      <c r="J1822" s="33" t="n">
        <v>1</v>
      </c>
      <c r="K1822" s="32" t="n">
        <v>125</v>
      </c>
      <c r="L1822" s="33" t="str">
        <f aca="false">IF($B1822="","",IFERROR(INDEX('Code Mapping'!$D$5:$D$1753,MATCH($B1822,'Code Mapping'!$A$5:$A$1753,0)),"Unmapped"))</f>
        <v>Unmapped</v>
      </c>
      <c r="M1822" s="33" t="str">
        <f aca="false">IF($B1822="","",IFERROR(INDEX('Code Mapping'!$E$5:$E$1753,MATCH($B1822,'Code Mapping'!$A$5:$A$1753,0)),"Unmapped"))</f>
        <v>Unmapped</v>
      </c>
      <c r="N1822" s="33" t="str">
        <f aca="false">IF($F1822="","",$F1822)</f>
        <v>LEGO Shows Qatar</v>
      </c>
    </row>
    <row r="1823" customFormat="false" ht="15" hidden="false" customHeight="false" outlineLevel="0" collapsed="false">
      <c r="A1823" s="33" t="n">
        <v>1129</v>
      </c>
      <c r="B1823" s="33" t="s">
        <v>1870</v>
      </c>
      <c r="C1823" s="33" t="s">
        <v>1859</v>
      </c>
      <c r="D1823" s="33"/>
      <c r="E1823" s="33" t="n">
        <v>54</v>
      </c>
      <c r="F1823" s="33" t="s">
        <v>2161</v>
      </c>
      <c r="G1823" s="33" t="s">
        <v>1796</v>
      </c>
      <c r="H1823" s="33" t="n">
        <v>1</v>
      </c>
      <c r="I1823" s="33" t="n">
        <v>9</v>
      </c>
      <c r="J1823" s="33" t="n">
        <v>9</v>
      </c>
      <c r="K1823" s="32" t="n">
        <v>562.5</v>
      </c>
      <c r="L1823" s="33" t="str">
        <f aca="false">IF($B1823="","",IFERROR(INDEX('Code Mapping'!$D$5:$D$1753,MATCH($B1823,'Code Mapping'!$A$5:$A$1753,0)),"Unmapped"))</f>
        <v>Unmapped</v>
      </c>
      <c r="M1823" s="33" t="str">
        <f aca="false">IF($B1823="","",IFERROR(INDEX('Code Mapping'!$E$5:$E$1753,MATCH($B1823,'Code Mapping'!$A$5:$A$1753,0)),"Unmapped"))</f>
        <v>Unmapped</v>
      </c>
      <c r="N1823" s="33" t="str">
        <f aca="false">IF($F1823="","",$F1823)</f>
        <v>LEGO Shows Qatar</v>
      </c>
    </row>
    <row r="1824" customFormat="false" ht="15" hidden="false" customHeight="false" outlineLevel="0" collapsed="false">
      <c r="A1824" s="33" t="n">
        <v>1109</v>
      </c>
      <c r="B1824" s="33" t="s">
        <v>1869</v>
      </c>
      <c r="C1824" s="33" t="s">
        <v>1859</v>
      </c>
      <c r="D1824" s="33"/>
      <c r="E1824" s="33" t="n">
        <v>54</v>
      </c>
      <c r="F1824" s="33" t="s">
        <v>2161</v>
      </c>
      <c r="G1824" s="33" t="s">
        <v>1796</v>
      </c>
      <c r="H1824" s="33" t="n">
        <v>1</v>
      </c>
      <c r="I1824" s="33" t="n">
        <v>2</v>
      </c>
      <c r="J1824" s="33" t="n">
        <v>2</v>
      </c>
      <c r="K1824" s="32" t="n">
        <v>125</v>
      </c>
      <c r="L1824" s="33" t="str">
        <f aca="false">IF($B1824="","",IFERROR(INDEX('Code Mapping'!$D$5:$D$1753,MATCH($B1824,'Code Mapping'!$A$5:$A$1753,0)),"Unmapped"))</f>
        <v>Unmapped</v>
      </c>
      <c r="M1824" s="33" t="str">
        <f aca="false">IF($B1824="","",IFERROR(INDEX('Code Mapping'!$E$5:$E$1753,MATCH($B1824,'Code Mapping'!$A$5:$A$1753,0)),"Unmapped"))</f>
        <v>Unmapped</v>
      </c>
      <c r="N1824" s="33" t="str">
        <f aca="false">IF($F1824="","",$F1824)</f>
        <v>LEGO Shows Qatar</v>
      </c>
    </row>
    <row r="1825" customFormat="false" ht="15" hidden="false" customHeight="false" outlineLevel="0" collapsed="false">
      <c r="A1825" s="33" t="n">
        <v>661</v>
      </c>
      <c r="B1825" s="33" t="s">
        <v>1905</v>
      </c>
      <c r="C1825" s="33" t="s">
        <v>1894</v>
      </c>
      <c r="D1825" s="33"/>
      <c r="E1825" s="33" t="n">
        <v>54</v>
      </c>
      <c r="F1825" s="33" t="s">
        <v>2161</v>
      </c>
      <c r="G1825" s="33" t="s">
        <v>1796</v>
      </c>
      <c r="H1825" s="33" t="n">
        <v>1</v>
      </c>
      <c r="I1825" s="33" t="n">
        <v>1</v>
      </c>
      <c r="J1825" s="33" t="n">
        <v>1</v>
      </c>
      <c r="K1825" s="32" t="n">
        <v>125</v>
      </c>
      <c r="L1825" s="33" t="str">
        <f aca="false">IF($B1825="","",IFERROR(INDEX('Code Mapping'!$D$5:$D$1753,MATCH($B1825,'Code Mapping'!$A$5:$A$1753,0)),"Unmapped"))</f>
        <v>Unmapped</v>
      </c>
      <c r="M1825" s="33" t="str">
        <f aca="false">IF($B1825="","",IFERROR(INDEX('Code Mapping'!$E$5:$E$1753,MATCH($B1825,'Code Mapping'!$A$5:$A$1753,0)),"Unmapped"))</f>
        <v>Unmapped</v>
      </c>
      <c r="N1825" s="33" t="str">
        <f aca="false">IF($F1825="","",$F1825)</f>
        <v>LEGO Shows Qatar</v>
      </c>
    </row>
    <row r="1826" customFormat="false" ht="15" hidden="false" customHeight="false" outlineLevel="0" collapsed="false">
      <c r="A1826" s="33" t="n">
        <v>1107</v>
      </c>
      <c r="B1826" s="33" t="s">
        <v>1868</v>
      </c>
      <c r="C1826" s="33" t="s">
        <v>1859</v>
      </c>
      <c r="D1826" s="33"/>
      <c r="E1826" s="33" t="n">
        <v>54</v>
      </c>
      <c r="F1826" s="33" t="s">
        <v>2161</v>
      </c>
      <c r="G1826" s="33" t="s">
        <v>1796</v>
      </c>
      <c r="H1826" s="33" t="n">
        <v>1</v>
      </c>
      <c r="I1826" s="33" t="n">
        <v>4</v>
      </c>
      <c r="J1826" s="33" t="n">
        <v>4</v>
      </c>
      <c r="K1826" s="32" t="n">
        <v>250</v>
      </c>
      <c r="L1826" s="33" t="str">
        <f aca="false">IF($B1826="","",IFERROR(INDEX('Code Mapping'!$D$5:$D$1753,MATCH($B1826,'Code Mapping'!$A$5:$A$1753,0)),"Unmapped"))</f>
        <v>Unmapped</v>
      </c>
      <c r="M1826" s="33" t="str">
        <f aca="false">IF($B1826="","",IFERROR(INDEX('Code Mapping'!$E$5:$E$1753,MATCH($B1826,'Code Mapping'!$A$5:$A$1753,0)),"Unmapped"))</f>
        <v>Unmapped</v>
      </c>
      <c r="N1826" s="33" t="str">
        <f aca="false">IF($F1826="","",$F1826)</f>
        <v>LEGO Shows Qatar</v>
      </c>
    </row>
    <row r="1827" customFormat="false" ht="15" hidden="false" customHeight="false" outlineLevel="0" collapsed="false">
      <c r="A1827" s="33" t="n">
        <v>734</v>
      </c>
      <c r="B1827" s="33" t="s">
        <v>1904</v>
      </c>
      <c r="C1827" s="33" t="s">
        <v>1894</v>
      </c>
      <c r="D1827" s="33"/>
      <c r="E1827" s="33" t="n">
        <v>54</v>
      </c>
      <c r="F1827" s="33" t="s">
        <v>2161</v>
      </c>
      <c r="G1827" s="33" t="s">
        <v>1796</v>
      </c>
      <c r="H1827" s="33" t="n">
        <v>1</v>
      </c>
      <c r="I1827" s="33" t="n">
        <v>1</v>
      </c>
      <c r="J1827" s="33" t="n">
        <v>1</v>
      </c>
      <c r="K1827" s="32" t="n">
        <v>125</v>
      </c>
      <c r="L1827" s="33" t="str">
        <f aca="false">IF($B1827="","",IFERROR(INDEX('Code Mapping'!$D$5:$D$1753,MATCH($B1827,'Code Mapping'!$A$5:$A$1753,0)),"Unmapped"))</f>
        <v>Unmapped</v>
      </c>
      <c r="M1827" s="33" t="str">
        <f aca="false">IF($B1827="","",IFERROR(INDEX('Code Mapping'!$E$5:$E$1753,MATCH($B1827,'Code Mapping'!$A$5:$A$1753,0)),"Unmapped"))</f>
        <v>Unmapped</v>
      </c>
      <c r="N1827" s="33" t="str">
        <f aca="false">IF($F1827="","",$F1827)</f>
        <v>LEGO Shows Qatar</v>
      </c>
    </row>
    <row r="1828" customFormat="false" ht="15" hidden="false" customHeight="false" outlineLevel="0" collapsed="false">
      <c r="A1828" s="33" t="n">
        <v>555</v>
      </c>
      <c r="B1828" s="33" t="s">
        <v>1928</v>
      </c>
      <c r="C1828" s="33" t="s">
        <v>1894</v>
      </c>
      <c r="D1828" s="33"/>
      <c r="E1828" s="33" t="n">
        <v>54</v>
      </c>
      <c r="F1828" s="33" t="s">
        <v>2161</v>
      </c>
      <c r="G1828" s="33" t="s">
        <v>1796</v>
      </c>
      <c r="H1828" s="33" t="n">
        <v>1</v>
      </c>
      <c r="I1828" s="33" t="n">
        <v>1</v>
      </c>
      <c r="J1828" s="33" t="n">
        <v>1</v>
      </c>
      <c r="K1828" s="32" t="n">
        <v>125</v>
      </c>
      <c r="L1828" s="33" t="str">
        <f aca="false">IF($B1828="","",IFERROR(INDEX('Code Mapping'!$D$5:$D$1753,MATCH($B1828,'Code Mapping'!$A$5:$A$1753,0)),"Unmapped"))</f>
        <v>Unmapped</v>
      </c>
      <c r="M1828" s="33" t="str">
        <f aca="false">IF($B1828="","",IFERROR(INDEX('Code Mapping'!$E$5:$E$1753,MATCH($B1828,'Code Mapping'!$A$5:$A$1753,0)),"Unmapped"))</f>
        <v>Unmapped</v>
      </c>
      <c r="N1828" s="33" t="str">
        <f aca="false">IF($F1828="","",$F1828)</f>
        <v>LEGO Shows Qatar</v>
      </c>
    </row>
    <row r="1829" customFormat="false" ht="15" hidden="false" customHeight="false" outlineLevel="0" collapsed="false">
      <c r="A1829" s="33" t="n">
        <v>594</v>
      </c>
      <c r="B1829" s="33" t="s">
        <v>1906</v>
      </c>
      <c r="C1829" s="33" t="s">
        <v>1894</v>
      </c>
      <c r="D1829" s="33"/>
      <c r="E1829" s="33" t="n">
        <v>54</v>
      </c>
      <c r="F1829" s="33" t="s">
        <v>2161</v>
      </c>
      <c r="G1829" s="33" t="s">
        <v>1796</v>
      </c>
      <c r="H1829" s="33" t="n">
        <v>1</v>
      </c>
      <c r="I1829" s="33" t="n">
        <v>1</v>
      </c>
      <c r="J1829" s="33" t="n">
        <v>1</v>
      </c>
      <c r="K1829" s="32" t="n">
        <v>125</v>
      </c>
      <c r="L1829" s="33" t="str">
        <f aca="false">IF($B1829="","",IFERROR(INDEX('Code Mapping'!$D$5:$D$1753,MATCH($B1829,'Code Mapping'!$A$5:$A$1753,0)),"Unmapped"))</f>
        <v>Unmapped</v>
      </c>
      <c r="M1829" s="33" t="str">
        <f aca="false">IF($B1829="","",IFERROR(INDEX('Code Mapping'!$E$5:$E$1753,MATCH($B1829,'Code Mapping'!$A$5:$A$1753,0)),"Unmapped"))</f>
        <v>Unmapped</v>
      </c>
      <c r="N1829" s="33" t="str">
        <f aca="false">IF($F1829="","",$F1829)</f>
        <v>LEGO Shows Qatar</v>
      </c>
    </row>
    <row r="1830" customFormat="false" ht="15" hidden="false" customHeight="false" outlineLevel="0" collapsed="false">
      <c r="A1830" s="33" t="n">
        <v>556</v>
      </c>
      <c r="B1830" s="33" t="s">
        <v>1907</v>
      </c>
      <c r="C1830" s="33" t="s">
        <v>1894</v>
      </c>
      <c r="D1830" s="33"/>
      <c r="E1830" s="33" t="n">
        <v>54</v>
      </c>
      <c r="F1830" s="33" t="s">
        <v>2161</v>
      </c>
      <c r="G1830" s="33" t="s">
        <v>1796</v>
      </c>
      <c r="H1830" s="33" t="n">
        <v>1</v>
      </c>
      <c r="I1830" s="33" t="n">
        <v>17</v>
      </c>
      <c r="J1830" s="33" t="n">
        <v>17</v>
      </c>
      <c r="K1830" s="32" t="n">
        <v>2125</v>
      </c>
      <c r="L1830" s="33" t="str">
        <f aca="false">IF($B1830="","",IFERROR(INDEX('Code Mapping'!$D$5:$D$1753,MATCH($B1830,'Code Mapping'!$A$5:$A$1753,0)),"Unmapped"))</f>
        <v>Unmapped</v>
      </c>
      <c r="M1830" s="33" t="str">
        <f aca="false">IF($B1830="","",IFERROR(INDEX('Code Mapping'!$E$5:$E$1753,MATCH($B1830,'Code Mapping'!$A$5:$A$1753,0)),"Unmapped"))</f>
        <v>Unmapped</v>
      </c>
      <c r="N1830" s="33" t="str">
        <f aca="false">IF($F1830="","",$F1830)</f>
        <v>LEGO Shows Qatar</v>
      </c>
    </row>
    <row r="1831" customFormat="false" ht="15" hidden="false" customHeight="false" outlineLevel="0" collapsed="false">
      <c r="A1831" s="33" t="n">
        <v>1044</v>
      </c>
      <c r="B1831" s="33" t="s">
        <v>1865</v>
      </c>
      <c r="C1831" s="33" t="s">
        <v>1859</v>
      </c>
      <c r="D1831" s="33"/>
      <c r="E1831" s="33" t="n">
        <v>54</v>
      </c>
      <c r="F1831" s="33" t="s">
        <v>2161</v>
      </c>
      <c r="G1831" s="33" t="s">
        <v>1796</v>
      </c>
      <c r="H1831" s="33" t="n">
        <v>1</v>
      </c>
      <c r="I1831" s="33" t="n">
        <v>2</v>
      </c>
      <c r="J1831" s="33" t="n">
        <v>2</v>
      </c>
      <c r="K1831" s="32" t="n">
        <v>125</v>
      </c>
      <c r="L1831" s="33" t="str">
        <f aca="false">IF($B1831="","",IFERROR(INDEX('Code Mapping'!$D$5:$D$1753,MATCH($B1831,'Code Mapping'!$A$5:$A$1753,0)),"Unmapped"))</f>
        <v>Unmapped</v>
      </c>
      <c r="M1831" s="33" t="str">
        <f aca="false">IF($B1831="","",IFERROR(INDEX('Code Mapping'!$E$5:$E$1753,MATCH($B1831,'Code Mapping'!$A$5:$A$1753,0)),"Unmapped"))</f>
        <v>Unmapped</v>
      </c>
      <c r="N1831" s="33" t="str">
        <f aca="false">IF($F1831="","",$F1831)</f>
        <v>LEGO Shows Qatar</v>
      </c>
    </row>
    <row r="1832" customFormat="false" ht="15" hidden="false" customHeight="false" outlineLevel="0" collapsed="false">
      <c r="A1832" s="33" t="n">
        <v>1002</v>
      </c>
      <c r="B1832" s="33" t="s">
        <v>2017</v>
      </c>
      <c r="C1832" s="33" t="s">
        <v>2018</v>
      </c>
      <c r="D1832" s="33"/>
      <c r="E1832" s="33" t="n">
        <v>54</v>
      </c>
      <c r="F1832" s="33" t="s">
        <v>2161</v>
      </c>
      <c r="G1832" s="33" t="s">
        <v>1796</v>
      </c>
      <c r="H1832" s="33" t="n">
        <v>1</v>
      </c>
      <c r="I1832" s="33" t="n">
        <v>3</v>
      </c>
      <c r="J1832" s="33" t="n">
        <v>3</v>
      </c>
      <c r="K1832" s="32" t="n">
        <v>75</v>
      </c>
      <c r="L1832" s="33" t="str">
        <f aca="false">IF($B1832="","",IFERROR(INDEX('Code Mapping'!$D$5:$D$1753,MATCH($B1832,'Code Mapping'!$A$5:$A$1753,0)),"Unmapped"))</f>
        <v>Unmapped</v>
      </c>
      <c r="M1832" s="33" t="str">
        <f aca="false">IF($B1832="","",IFERROR(INDEX('Code Mapping'!$E$5:$E$1753,MATCH($B1832,'Code Mapping'!$A$5:$A$1753,0)),"Unmapped"))</f>
        <v>Unmapped</v>
      </c>
      <c r="N1832" s="33" t="str">
        <f aca="false">IF($F1832="","",$F1832)</f>
        <v>LEGO Shows Qatar</v>
      </c>
    </row>
    <row r="1833" customFormat="false" ht="15" hidden="false" customHeight="false" outlineLevel="0" collapsed="false">
      <c r="A1833" s="33" t="n">
        <v>1062</v>
      </c>
      <c r="B1833" s="33" t="s">
        <v>1975</v>
      </c>
      <c r="C1833" s="33" t="s">
        <v>1976</v>
      </c>
      <c r="D1833" s="33"/>
      <c r="E1833" s="33" t="n">
        <v>54</v>
      </c>
      <c r="F1833" s="33" t="s">
        <v>2161</v>
      </c>
      <c r="G1833" s="33" t="s">
        <v>1796</v>
      </c>
      <c r="H1833" s="33" t="n">
        <v>19</v>
      </c>
      <c r="I1833" s="33" t="n">
        <v>63</v>
      </c>
      <c r="J1833" s="33" t="n">
        <v>63</v>
      </c>
      <c r="K1833" s="32" t="n">
        <v>1575</v>
      </c>
      <c r="L1833" s="33" t="str">
        <f aca="false">IF($B1833="","",IFERROR(INDEX('Code Mapping'!$D$5:$D$1753,MATCH($B1833,'Code Mapping'!$A$5:$A$1753,0)),"Unmapped"))</f>
        <v>Qatar Foundation</v>
      </c>
      <c r="M1833" s="33" t="str">
        <f aca="false">IF($B1833="","",IFERROR(INDEX('Code Mapping'!$E$5:$E$1753,MATCH($B1833,'Code Mapping'!$A$5:$A$1753,0)),"Unmapped"))</f>
        <v>Corporate discount</v>
      </c>
      <c r="N1833" s="33" t="str">
        <f aca="false">IF($F1833="","",$F1833)</f>
        <v>LEGO Shows Qatar</v>
      </c>
    </row>
    <row r="1834" customFormat="false" ht="15" hidden="false" customHeight="false" outlineLevel="0" collapsed="false">
      <c r="A1834" s="33" t="n">
        <v>988</v>
      </c>
      <c r="B1834" s="33" t="s">
        <v>1956</v>
      </c>
      <c r="C1834" s="33" t="s">
        <v>1957</v>
      </c>
      <c r="D1834" s="33"/>
      <c r="E1834" s="33" t="n">
        <v>54</v>
      </c>
      <c r="F1834" s="33" t="s">
        <v>2161</v>
      </c>
      <c r="G1834" s="33" t="s">
        <v>1796</v>
      </c>
      <c r="H1834" s="33" t="n">
        <v>7</v>
      </c>
      <c r="I1834" s="33" t="n">
        <v>21</v>
      </c>
      <c r="J1834" s="33" t="n">
        <v>21</v>
      </c>
      <c r="K1834" s="32" t="n">
        <v>525</v>
      </c>
      <c r="L1834" s="33" t="str">
        <f aca="false">IF($B1834="","",IFERROR(INDEX('Code Mapping'!$D$5:$D$1753,MATCH($B1834,'Code Mapping'!$A$5:$A$1753,0)),"Unmapped"))</f>
        <v>Unmapped</v>
      </c>
      <c r="M1834" s="33" t="str">
        <f aca="false">IF($B1834="","",IFERROR(INDEX('Code Mapping'!$E$5:$E$1753,MATCH($B1834,'Code Mapping'!$A$5:$A$1753,0)),"Unmapped"))</f>
        <v>Unmapped</v>
      </c>
      <c r="N1834" s="33" t="str">
        <f aca="false">IF($F1834="","",$F1834)</f>
        <v>LEGO Shows Qatar</v>
      </c>
    </row>
    <row r="1835" customFormat="false" ht="15" hidden="false" customHeight="false" outlineLevel="0" collapsed="false">
      <c r="A1835" s="33" t="n">
        <v>537</v>
      </c>
      <c r="B1835" s="33" t="s">
        <v>1932</v>
      </c>
      <c r="C1835" s="33" t="s">
        <v>1894</v>
      </c>
      <c r="D1835" s="33"/>
      <c r="E1835" s="33" t="n">
        <v>54</v>
      </c>
      <c r="F1835" s="33" t="s">
        <v>2161</v>
      </c>
      <c r="G1835" s="33" t="s">
        <v>1796</v>
      </c>
      <c r="H1835" s="33" t="n">
        <v>1</v>
      </c>
      <c r="I1835" s="33" t="n">
        <v>3</v>
      </c>
      <c r="J1835" s="33" t="n">
        <v>3</v>
      </c>
      <c r="K1835" s="32" t="n">
        <v>375</v>
      </c>
      <c r="L1835" s="33" t="str">
        <f aca="false">IF($B1835="","",IFERROR(INDEX('Code Mapping'!$D$5:$D$1753,MATCH($B1835,'Code Mapping'!$A$5:$A$1753,0)),"Unmapped"))</f>
        <v>Unmapped</v>
      </c>
      <c r="M1835" s="33" t="str">
        <f aca="false">IF($B1835="","",IFERROR(INDEX('Code Mapping'!$E$5:$E$1753,MATCH($B1835,'Code Mapping'!$A$5:$A$1753,0)),"Unmapped"))</f>
        <v>Unmapped</v>
      </c>
      <c r="N1835" s="33" t="str">
        <f aca="false">IF($F1835="","",$F1835)</f>
        <v>LEGO Shows Qatar</v>
      </c>
    </row>
    <row r="1836" customFormat="false" ht="15" hidden="false" customHeight="false" outlineLevel="0" collapsed="false">
      <c r="A1836" s="33" t="n">
        <v>635</v>
      </c>
      <c r="B1836" s="33" t="s">
        <v>1931</v>
      </c>
      <c r="C1836" s="33" t="s">
        <v>1894</v>
      </c>
      <c r="D1836" s="33"/>
      <c r="E1836" s="33" t="n">
        <v>54</v>
      </c>
      <c r="F1836" s="33" t="s">
        <v>2161</v>
      </c>
      <c r="G1836" s="33" t="s">
        <v>1796</v>
      </c>
      <c r="H1836" s="33" t="n">
        <v>1</v>
      </c>
      <c r="I1836" s="33" t="n">
        <v>1</v>
      </c>
      <c r="J1836" s="33" t="n">
        <v>1</v>
      </c>
      <c r="K1836" s="32" t="n">
        <v>125</v>
      </c>
      <c r="L1836" s="33" t="str">
        <f aca="false">IF($B1836="","",IFERROR(INDEX('Code Mapping'!$D$5:$D$1753,MATCH($B1836,'Code Mapping'!$A$5:$A$1753,0)),"Unmapped"))</f>
        <v>Unmapped</v>
      </c>
      <c r="M1836" s="33" t="str">
        <f aca="false">IF($B1836="","",IFERROR(INDEX('Code Mapping'!$E$5:$E$1753,MATCH($B1836,'Code Mapping'!$A$5:$A$1753,0)),"Unmapped"))</f>
        <v>Unmapped</v>
      </c>
      <c r="N1836" s="33" t="str">
        <f aca="false">IF($F1836="","",$F1836)</f>
        <v>LEGO Shows Qatar</v>
      </c>
    </row>
    <row r="1837" customFormat="false" ht="15" hidden="false" customHeight="false" outlineLevel="0" collapsed="false">
      <c r="A1837" s="33" t="n">
        <v>514</v>
      </c>
      <c r="B1837" s="33" t="s">
        <v>1930</v>
      </c>
      <c r="C1837" s="33" t="s">
        <v>1894</v>
      </c>
      <c r="D1837" s="33"/>
      <c r="E1837" s="33" t="n">
        <v>54</v>
      </c>
      <c r="F1837" s="33" t="s">
        <v>2161</v>
      </c>
      <c r="G1837" s="33" t="s">
        <v>1796</v>
      </c>
      <c r="H1837" s="33" t="n">
        <v>1</v>
      </c>
      <c r="I1837" s="33" t="n">
        <v>1</v>
      </c>
      <c r="J1837" s="33" t="n">
        <v>1</v>
      </c>
      <c r="K1837" s="32" t="n">
        <v>125</v>
      </c>
      <c r="L1837" s="33" t="str">
        <f aca="false">IF($B1837="","",IFERROR(INDEX('Code Mapping'!$D$5:$D$1753,MATCH($B1837,'Code Mapping'!$A$5:$A$1753,0)),"Unmapped"))</f>
        <v>Unmapped</v>
      </c>
      <c r="M1837" s="33" t="str">
        <f aca="false">IF($B1837="","",IFERROR(INDEX('Code Mapping'!$E$5:$E$1753,MATCH($B1837,'Code Mapping'!$A$5:$A$1753,0)),"Unmapped"))</f>
        <v>Unmapped</v>
      </c>
      <c r="N1837" s="33" t="str">
        <f aca="false">IF($F1837="","",$F1837)</f>
        <v>LEGO Shows Qatar</v>
      </c>
    </row>
    <row r="1838" customFormat="false" ht="15" hidden="false" customHeight="false" outlineLevel="0" collapsed="false">
      <c r="A1838" s="33" t="n">
        <v>617</v>
      </c>
      <c r="B1838" s="33" t="s">
        <v>1929</v>
      </c>
      <c r="C1838" s="33" t="s">
        <v>1894</v>
      </c>
      <c r="D1838" s="33"/>
      <c r="E1838" s="33" t="n">
        <v>54</v>
      </c>
      <c r="F1838" s="33" t="s">
        <v>2161</v>
      </c>
      <c r="G1838" s="33" t="s">
        <v>1796</v>
      </c>
      <c r="H1838" s="33" t="n">
        <v>1</v>
      </c>
      <c r="I1838" s="33" t="n">
        <v>1</v>
      </c>
      <c r="J1838" s="33" t="n">
        <v>1</v>
      </c>
      <c r="K1838" s="32" t="n">
        <v>125</v>
      </c>
      <c r="L1838" s="33" t="str">
        <f aca="false">IF($B1838="","",IFERROR(INDEX('Code Mapping'!$D$5:$D$1753,MATCH($B1838,'Code Mapping'!$A$5:$A$1753,0)),"Unmapped"))</f>
        <v>Unmapped</v>
      </c>
      <c r="M1838" s="33" t="str">
        <f aca="false">IF($B1838="","",IFERROR(INDEX('Code Mapping'!$E$5:$E$1753,MATCH($B1838,'Code Mapping'!$A$5:$A$1753,0)),"Unmapped"))</f>
        <v>Unmapped</v>
      </c>
      <c r="N1838" s="33" t="str">
        <f aca="false">IF($F1838="","",$F1838)</f>
        <v>LEGO Shows Qatar</v>
      </c>
    </row>
    <row r="1839" customFormat="false" ht="15" hidden="false" customHeight="false" outlineLevel="0" collapsed="false">
      <c r="A1839" s="33" t="n">
        <v>709</v>
      </c>
      <c r="B1839" s="33" t="s">
        <v>1927</v>
      </c>
      <c r="C1839" s="33" t="s">
        <v>1894</v>
      </c>
      <c r="D1839" s="33"/>
      <c r="E1839" s="33" t="n">
        <v>54</v>
      </c>
      <c r="F1839" s="33" t="s">
        <v>2161</v>
      </c>
      <c r="G1839" s="33" t="s">
        <v>1796</v>
      </c>
      <c r="H1839" s="33" t="n">
        <v>1</v>
      </c>
      <c r="I1839" s="33" t="n">
        <v>1</v>
      </c>
      <c r="J1839" s="33" t="n">
        <v>1</v>
      </c>
      <c r="K1839" s="32" t="n">
        <v>125</v>
      </c>
      <c r="L1839" s="33" t="str">
        <f aca="false">IF($B1839="","",IFERROR(INDEX('Code Mapping'!$D$5:$D$1753,MATCH($B1839,'Code Mapping'!$A$5:$A$1753,0)),"Unmapped"))</f>
        <v>Unmapped</v>
      </c>
      <c r="M1839" s="33" t="str">
        <f aca="false">IF($B1839="","",IFERROR(INDEX('Code Mapping'!$E$5:$E$1753,MATCH($B1839,'Code Mapping'!$A$5:$A$1753,0)),"Unmapped"))</f>
        <v>Unmapped</v>
      </c>
      <c r="N1839" s="33" t="str">
        <f aca="false">IF($F1839="","",$F1839)</f>
        <v>LEGO Shows Qatar</v>
      </c>
    </row>
    <row r="1840" customFormat="false" ht="15" hidden="false" customHeight="false" outlineLevel="0" collapsed="false">
      <c r="A1840" s="33" t="n">
        <v>518</v>
      </c>
      <c r="B1840" s="33" t="s">
        <v>1926</v>
      </c>
      <c r="C1840" s="33" t="s">
        <v>1894</v>
      </c>
      <c r="D1840" s="33"/>
      <c r="E1840" s="33" t="n">
        <v>54</v>
      </c>
      <c r="F1840" s="33" t="s">
        <v>2161</v>
      </c>
      <c r="G1840" s="33" t="s">
        <v>1796</v>
      </c>
      <c r="H1840" s="33" t="n">
        <v>1</v>
      </c>
      <c r="I1840" s="33" t="n">
        <v>10</v>
      </c>
      <c r="J1840" s="33" t="n">
        <v>10</v>
      </c>
      <c r="K1840" s="32" t="n">
        <v>1250</v>
      </c>
      <c r="L1840" s="33" t="str">
        <f aca="false">IF($B1840="","",IFERROR(INDEX('Code Mapping'!$D$5:$D$1753,MATCH($B1840,'Code Mapping'!$A$5:$A$1753,0)),"Unmapped"))</f>
        <v>Unmapped</v>
      </c>
      <c r="M1840" s="33" t="str">
        <f aca="false">IF($B1840="","",IFERROR(INDEX('Code Mapping'!$E$5:$E$1753,MATCH($B1840,'Code Mapping'!$A$5:$A$1753,0)),"Unmapped"))</f>
        <v>Unmapped</v>
      </c>
      <c r="N1840" s="33" t="str">
        <f aca="false">IF($F1840="","",$F1840)</f>
        <v>LEGO Shows Qatar</v>
      </c>
    </row>
    <row r="1841" customFormat="false" ht="15" hidden="false" customHeight="false" outlineLevel="0" collapsed="false">
      <c r="A1841" s="33" t="n">
        <v>634</v>
      </c>
      <c r="B1841" s="33" t="s">
        <v>1925</v>
      </c>
      <c r="C1841" s="33" t="s">
        <v>1894</v>
      </c>
      <c r="D1841" s="33"/>
      <c r="E1841" s="33" t="n">
        <v>54</v>
      </c>
      <c r="F1841" s="33" t="s">
        <v>2161</v>
      </c>
      <c r="G1841" s="33" t="s">
        <v>1796</v>
      </c>
      <c r="H1841" s="33" t="n">
        <v>1</v>
      </c>
      <c r="I1841" s="33" t="n">
        <v>1</v>
      </c>
      <c r="J1841" s="33" t="n">
        <v>1</v>
      </c>
      <c r="K1841" s="32" t="n">
        <v>125</v>
      </c>
      <c r="L1841" s="33" t="str">
        <f aca="false">IF($B1841="","",IFERROR(INDEX('Code Mapping'!$D$5:$D$1753,MATCH($B1841,'Code Mapping'!$A$5:$A$1753,0)),"Unmapped"))</f>
        <v>Unmapped</v>
      </c>
      <c r="M1841" s="33" t="str">
        <f aca="false">IF($B1841="","",IFERROR(INDEX('Code Mapping'!$E$5:$E$1753,MATCH($B1841,'Code Mapping'!$A$5:$A$1753,0)),"Unmapped"))</f>
        <v>Unmapped</v>
      </c>
      <c r="N1841" s="33" t="str">
        <f aca="false">IF($F1841="","",$F1841)</f>
        <v>LEGO Shows Qatar</v>
      </c>
    </row>
    <row r="1842" customFormat="false" ht="15" hidden="false" customHeight="false" outlineLevel="0" collapsed="false">
      <c r="A1842" s="33" t="n">
        <v>524</v>
      </c>
      <c r="B1842" s="33" t="s">
        <v>1924</v>
      </c>
      <c r="C1842" s="33" t="s">
        <v>1894</v>
      </c>
      <c r="D1842" s="33"/>
      <c r="E1842" s="33" t="n">
        <v>54</v>
      </c>
      <c r="F1842" s="33" t="s">
        <v>2161</v>
      </c>
      <c r="G1842" s="33" t="s">
        <v>1796</v>
      </c>
      <c r="H1842" s="33" t="n">
        <v>1</v>
      </c>
      <c r="I1842" s="33" t="n">
        <v>1</v>
      </c>
      <c r="J1842" s="33" t="n">
        <v>1</v>
      </c>
      <c r="K1842" s="32" t="n">
        <v>125</v>
      </c>
      <c r="L1842" s="33" t="str">
        <f aca="false">IF($B1842="","",IFERROR(INDEX('Code Mapping'!$D$5:$D$1753,MATCH($B1842,'Code Mapping'!$A$5:$A$1753,0)),"Unmapped"))</f>
        <v>Unmapped</v>
      </c>
      <c r="M1842" s="33" t="str">
        <f aca="false">IF($B1842="","",IFERROR(INDEX('Code Mapping'!$E$5:$E$1753,MATCH($B1842,'Code Mapping'!$A$5:$A$1753,0)),"Unmapped"))</f>
        <v>Unmapped</v>
      </c>
      <c r="N1842" s="33" t="str">
        <f aca="false">IF($F1842="","",$F1842)</f>
        <v>LEGO Shows Qatar</v>
      </c>
    </row>
    <row r="1843" customFormat="false" ht="15" hidden="false" customHeight="false" outlineLevel="0" collapsed="false">
      <c r="A1843" s="33" t="n">
        <v>665</v>
      </c>
      <c r="B1843" s="33" t="s">
        <v>1923</v>
      </c>
      <c r="C1843" s="33" t="s">
        <v>1894</v>
      </c>
      <c r="D1843" s="33"/>
      <c r="E1843" s="33" t="n">
        <v>54</v>
      </c>
      <c r="F1843" s="33" t="s">
        <v>2161</v>
      </c>
      <c r="G1843" s="33" t="s">
        <v>1796</v>
      </c>
      <c r="H1843" s="33" t="n">
        <v>1</v>
      </c>
      <c r="I1843" s="33" t="n">
        <v>4</v>
      </c>
      <c r="J1843" s="33" t="n">
        <v>4</v>
      </c>
      <c r="K1843" s="32" t="n">
        <v>500</v>
      </c>
      <c r="L1843" s="33" t="str">
        <f aca="false">IF($B1843="","",IFERROR(INDEX('Code Mapping'!$D$5:$D$1753,MATCH($B1843,'Code Mapping'!$A$5:$A$1753,0)),"Unmapped"))</f>
        <v>Unmapped</v>
      </c>
      <c r="M1843" s="33" t="str">
        <f aca="false">IF($B1843="","",IFERROR(INDEX('Code Mapping'!$E$5:$E$1753,MATCH($B1843,'Code Mapping'!$A$5:$A$1753,0)),"Unmapped"))</f>
        <v>Unmapped</v>
      </c>
      <c r="N1843" s="33" t="str">
        <f aca="false">IF($F1843="","",$F1843)</f>
        <v>LEGO Shows Qatar</v>
      </c>
    </row>
    <row r="1844" customFormat="false" ht="15" hidden="false" customHeight="false" outlineLevel="0" collapsed="false">
      <c r="A1844" s="33" t="n">
        <v>796</v>
      </c>
      <c r="B1844" s="33" t="s">
        <v>1922</v>
      </c>
      <c r="C1844" s="33" t="s">
        <v>1894</v>
      </c>
      <c r="D1844" s="33"/>
      <c r="E1844" s="33" t="n">
        <v>54</v>
      </c>
      <c r="F1844" s="33" t="s">
        <v>2161</v>
      </c>
      <c r="G1844" s="33" t="s">
        <v>1796</v>
      </c>
      <c r="H1844" s="33" t="n">
        <v>1</v>
      </c>
      <c r="I1844" s="33" t="n">
        <v>1</v>
      </c>
      <c r="J1844" s="33" t="n">
        <v>1</v>
      </c>
      <c r="K1844" s="32" t="n">
        <v>125</v>
      </c>
      <c r="L1844" s="33" t="str">
        <f aca="false">IF($B1844="","",IFERROR(INDEX('Code Mapping'!$D$5:$D$1753,MATCH($B1844,'Code Mapping'!$A$5:$A$1753,0)),"Unmapped"))</f>
        <v>Unmapped</v>
      </c>
      <c r="M1844" s="33" t="str">
        <f aca="false">IF($B1844="","",IFERROR(INDEX('Code Mapping'!$E$5:$E$1753,MATCH($B1844,'Code Mapping'!$A$5:$A$1753,0)),"Unmapped"))</f>
        <v>Unmapped</v>
      </c>
      <c r="N1844" s="33" t="str">
        <f aca="false">IF($F1844="","",$F1844)</f>
        <v>LEGO Shows Qatar</v>
      </c>
    </row>
    <row r="1845" customFormat="false" ht="15" hidden="false" customHeight="false" outlineLevel="0" collapsed="false">
      <c r="A1845" s="33" t="n">
        <v>522</v>
      </c>
      <c r="B1845" s="33" t="s">
        <v>1921</v>
      </c>
      <c r="C1845" s="33" t="s">
        <v>1894</v>
      </c>
      <c r="D1845" s="33"/>
      <c r="E1845" s="33" t="n">
        <v>54</v>
      </c>
      <c r="F1845" s="33" t="s">
        <v>2161</v>
      </c>
      <c r="G1845" s="33" t="s">
        <v>1796</v>
      </c>
      <c r="H1845" s="33" t="n">
        <v>2</v>
      </c>
      <c r="I1845" s="33" t="n">
        <v>2</v>
      </c>
      <c r="J1845" s="33" t="n">
        <v>2</v>
      </c>
      <c r="K1845" s="32" t="n">
        <v>250</v>
      </c>
      <c r="L1845" s="33" t="str">
        <f aca="false">IF($B1845="","",IFERROR(INDEX('Code Mapping'!$D$5:$D$1753,MATCH($B1845,'Code Mapping'!$A$5:$A$1753,0)),"Unmapped"))</f>
        <v>Unmapped</v>
      </c>
      <c r="M1845" s="33" t="str">
        <f aca="false">IF($B1845="","",IFERROR(INDEX('Code Mapping'!$E$5:$E$1753,MATCH($B1845,'Code Mapping'!$A$5:$A$1753,0)),"Unmapped"))</f>
        <v>Unmapped</v>
      </c>
      <c r="N1845" s="33" t="str">
        <f aca="false">IF($F1845="","",$F1845)</f>
        <v>LEGO Shows Qatar</v>
      </c>
    </row>
    <row r="1846" customFormat="false" ht="15" hidden="false" customHeight="false" outlineLevel="0" collapsed="false">
      <c r="A1846" s="33" t="n">
        <v>525</v>
      </c>
      <c r="B1846" s="33" t="s">
        <v>1920</v>
      </c>
      <c r="C1846" s="33" t="s">
        <v>1894</v>
      </c>
      <c r="D1846" s="33"/>
      <c r="E1846" s="33" t="n">
        <v>54</v>
      </c>
      <c r="F1846" s="33" t="s">
        <v>2161</v>
      </c>
      <c r="G1846" s="33" t="s">
        <v>1796</v>
      </c>
      <c r="H1846" s="33" t="n">
        <v>1</v>
      </c>
      <c r="I1846" s="33" t="n">
        <v>1</v>
      </c>
      <c r="J1846" s="33" t="n">
        <v>1</v>
      </c>
      <c r="K1846" s="32" t="n">
        <v>125</v>
      </c>
      <c r="L1846" s="33" t="str">
        <f aca="false">IF($B1846="","",IFERROR(INDEX('Code Mapping'!$D$5:$D$1753,MATCH($B1846,'Code Mapping'!$A$5:$A$1753,0)),"Unmapped"))</f>
        <v>Unmapped</v>
      </c>
      <c r="M1846" s="33" t="str">
        <f aca="false">IF($B1846="","",IFERROR(INDEX('Code Mapping'!$E$5:$E$1753,MATCH($B1846,'Code Mapping'!$A$5:$A$1753,0)),"Unmapped"))</f>
        <v>Unmapped</v>
      </c>
      <c r="N1846" s="33" t="str">
        <f aca="false">IF($F1846="","",$F1846)</f>
        <v>LEGO Shows Qatar</v>
      </c>
    </row>
    <row r="1847" customFormat="false" ht="15" hidden="false" customHeight="false" outlineLevel="0" collapsed="false">
      <c r="A1847" s="33" t="n">
        <v>554</v>
      </c>
      <c r="B1847" s="33" t="s">
        <v>1919</v>
      </c>
      <c r="C1847" s="33" t="s">
        <v>1894</v>
      </c>
      <c r="D1847" s="33"/>
      <c r="E1847" s="33" t="n">
        <v>54</v>
      </c>
      <c r="F1847" s="33" t="s">
        <v>2161</v>
      </c>
      <c r="G1847" s="33" t="s">
        <v>1796</v>
      </c>
      <c r="H1847" s="33" t="n">
        <v>1</v>
      </c>
      <c r="I1847" s="33" t="n">
        <v>1</v>
      </c>
      <c r="J1847" s="33" t="n">
        <v>1</v>
      </c>
      <c r="K1847" s="32" t="n">
        <v>125</v>
      </c>
      <c r="L1847" s="33" t="str">
        <f aca="false">IF($B1847="","",IFERROR(INDEX('Code Mapping'!$D$5:$D$1753,MATCH($B1847,'Code Mapping'!$A$5:$A$1753,0)),"Unmapped"))</f>
        <v>Unmapped</v>
      </c>
      <c r="M1847" s="33" t="str">
        <f aca="false">IF($B1847="","",IFERROR(INDEX('Code Mapping'!$E$5:$E$1753,MATCH($B1847,'Code Mapping'!$A$5:$A$1753,0)),"Unmapped"))</f>
        <v>Unmapped</v>
      </c>
      <c r="N1847" s="33" t="str">
        <f aca="false">IF($F1847="","",$F1847)</f>
        <v>LEGO Shows Qatar</v>
      </c>
    </row>
    <row r="1848" customFormat="false" ht="15" hidden="false" customHeight="false" outlineLevel="0" collapsed="false">
      <c r="A1848" s="33" t="n">
        <v>633</v>
      </c>
      <c r="B1848" s="33" t="s">
        <v>1918</v>
      </c>
      <c r="C1848" s="33" t="s">
        <v>1894</v>
      </c>
      <c r="D1848" s="33"/>
      <c r="E1848" s="33" t="n">
        <v>54</v>
      </c>
      <c r="F1848" s="33" t="s">
        <v>2161</v>
      </c>
      <c r="G1848" s="33" t="s">
        <v>1796</v>
      </c>
      <c r="H1848" s="33" t="n">
        <v>1</v>
      </c>
      <c r="I1848" s="33" t="n">
        <v>1</v>
      </c>
      <c r="J1848" s="33" t="n">
        <v>1</v>
      </c>
      <c r="K1848" s="32" t="n">
        <v>125</v>
      </c>
      <c r="L1848" s="33" t="str">
        <f aca="false">IF($B1848="","",IFERROR(INDEX('Code Mapping'!$D$5:$D$1753,MATCH($B1848,'Code Mapping'!$A$5:$A$1753,0)),"Unmapped"))</f>
        <v>Unmapped</v>
      </c>
      <c r="M1848" s="33" t="str">
        <f aca="false">IF($B1848="","",IFERROR(INDEX('Code Mapping'!$E$5:$E$1753,MATCH($B1848,'Code Mapping'!$A$5:$A$1753,0)),"Unmapped"))</f>
        <v>Unmapped</v>
      </c>
      <c r="N1848" s="33" t="str">
        <f aca="false">IF($F1848="","",$F1848)</f>
        <v>LEGO Shows Qatar</v>
      </c>
    </row>
    <row r="1849" customFormat="false" ht="15" hidden="false" customHeight="false" outlineLevel="0" collapsed="false">
      <c r="A1849" s="33" t="n">
        <v>733</v>
      </c>
      <c r="B1849" s="33" t="s">
        <v>1917</v>
      </c>
      <c r="C1849" s="33" t="s">
        <v>1894</v>
      </c>
      <c r="D1849" s="33"/>
      <c r="E1849" s="33" t="n">
        <v>54</v>
      </c>
      <c r="F1849" s="33" t="s">
        <v>2161</v>
      </c>
      <c r="G1849" s="33" t="s">
        <v>1796</v>
      </c>
      <c r="H1849" s="33" t="n">
        <v>1</v>
      </c>
      <c r="I1849" s="33" t="n">
        <v>1</v>
      </c>
      <c r="J1849" s="33" t="n">
        <v>1</v>
      </c>
      <c r="K1849" s="32" t="n">
        <v>125</v>
      </c>
      <c r="L1849" s="33" t="str">
        <f aca="false">IF($B1849="","",IFERROR(INDEX('Code Mapping'!$D$5:$D$1753,MATCH($B1849,'Code Mapping'!$A$5:$A$1753,0)),"Unmapped"))</f>
        <v>Unmapped</v>
      </c>
      <c r="M1849" s="33" t="str">
        <f aca="false">IF($B1849="","",IFERROR(INDEX('Code Mapping'!$E$5:$E$1753,MATCH($B1849,'Code Mapping'!$A$5:$A$1753,0)),"Unmapped"))</f>
        <v>Unmapped</v>
      </c>
      <c r="N1849" s="33" t="str">
        <f aca="false">IF($F1849="","",$F1849)</f>
        <v>LEGO Shows Qatar</v>
      </c>
    </row>
    <row r="1850" customFormat="false" ht="15" hidden="false" customHeight="false" outlineLevel="0" collapsed="false">
      <c r="A1850" s="33" t="n">
        <v>515</v>
      </c>
      <c r="B1850" s="33" t="s">
        <v>1916</v>
      </c>
      <c r="C1850" s="33" t="s">
        <v>1894</v>
      </c>
      <c r="D1850" s="33"/>
      <c r="E1850" s="33" t="n">
        <v>54</v>
      </c>
      <c r="F1850" s="33" t="s">
        <v>2161</v>
      </c>
      <c r="G1850" s="33" t="s">
        <v>1796</v>
      </c>
      <c r="H1850" s="33" t="n">
        <v>1</v>
      </c>
      <c r="I1850" s="33" t="n">
        <v>4</v>
      </c>
      <c r="J1850" s="33" t="n">
        <v>4</v>
      </c>
      <c r="K1850" s="32" t="n">
        <v>500</v>
      </c>
      <c r="L1850" s="33" t="str">
        <f aca="false">IF($B1850="","",IFERROR(INDEX('Code Mapping'!$D$5:$D$1753,MATCH($B1850,'Code Mapping'!$A$5:$A$1753,0)),"Unmapped"))</f>
        <v>Unmapped</v>
      </c>
      <c r="M1850" s="33" t="str">
        <f aca="false">IF($B1850="","",IFERROR(INDEX('Code Mapping'!$E$5:$E$1753,MATCH($B1850,'Code Mapping'!$A$5:$A$1753,0)),"Unmapped"))</f>
        <v>Unmapped</v>
      </c>
      <c r="N1850" s="33" t="str">
        <f aca="false">IF($F1850="","",$F1850)</f>
        <v>LEGO Shows Qatar</v>
      </c>
    </row>
    <row r="1851" customFormat="false" ht="15" hidden="false" customHeight="false" outlineLevel="0" collapsed="false">
      <c r="A1851" s="33" t="n">
        <v>880</v>
      </c>
      <c r="B1851" s="33" t="s">
        <v>1915</v>
      </c>
      <c r="C1851" s="33" t="s">
        <v>1894</v>
      </c>
      <c r="D1851" s="33"/>
      <c r="E1851" s="33" t="n">
        <v>54</v>
      </c>
      <c r="F1851" s="33" t="s">
        <v>2161</v>
      </c>
      <c r="G1851" s="33" t="s">
        <v>1796</v>
      </c>
      <c r="H1851" s="33" t="n">
        <v>1</v>
      </c>
      <c r="I1851" s="33" t="n">
        <v>1</v>
      </c>
      <c r="J1851" s="33" t="n">
        <v>1</v>
      </c>
      <c r="K1851" s="32" t="n">
        <v>125</v>
      </c>
      <c r="L1851" s="33" t="str">
        <f aca="false">IF($B1851="","",IFERROR(INDEX('Code Mapping'!$D$5:$D$1753,MATCH($B1851,'Code Mapping'!$A$5:$A$1753,0)),"Unmapped"))</f>
        <v>Unmapped</v>
      </c>
      <c r="M1851" s="33" t="str">
        <f aca="false">IF($B1851="","",IFERROR(INDEX('Code Mapping'!$E$5:$E$1753,MATCH($B1851,'Code Mapping'!$A$5:$A$1753,0)),"Unmapped"))</f>
        <v>Unmapped</v>
      </c>
      <c r="N1851" s="33" t="str">
        <f aca="false">IF($F1851="","",$F1851)</f>
        <v>LEGO Shows Qatar</v>
      </c>
    </row>
    <row r="1852" customFormat="false" ht="15" hidden="false" customHeight="false" outlineLevel="0" collapsed="false">
      <c r="A1852" s="33" t="n">
        <v>719</v>
      </c>
      <c r="B1852" s="33" t="s">
        <v>1914</v>
      </c>
      <c r="C1852" s="33" t="s">
        <v>1894</v>
      </c>
      <c r="D1852" s="33"/>
      <c r="E1852" s="33" t="n">
        <v>54</v>
      </c>
      <c r="F1852" s="33" t="s">
        <v>2161</v>
      </c>
      <c r="G1852" s="33" t="s">
        <v>1796</v>
      </c>
      <c r="H1852" s="33" t="n">
        <v>1</v>
      </c>
      <c r="I1852" s="33" t="n">
        <v>1</v>
      </c>
      <c r="J1852" s="33" t="n">
        <v>1</v>
      </c>
      <c r="K1852" s="32" t="n">
        <v>125</v>
      </c>
      <c r="L1852" s="33" t="str">
        <f aca="false">IF($B1852="","",IFERROR(INDEX('Code Mapping'!$D$5:$D$1753,MATCH($B1852,'Code Mapping'!$A$5:$A$1753,0)),"Unmapped"))</f>
        <v>Unmapped</v>
      </c>
      <c r="M1852" s="33" t="str">
        <f aca="false">IF($B1852="","",IFERROR(INDEX('Code Mapping'!$E$5:$E$1753,MATCH($B1852,'Code Mapping'!$A$5:$A$1753,0)),"Unmapped"))</f>
        <v>Unmapped</v>
      </c>
      <c r="N1852" s="33" t="str">
        <f aca="false">IF($F1852="","",$F1852)</f>
        <v>LEGO Shows Qatar</v>
      </c>
    </row>
    <row r="1853" customFormat="false" ht="15" hidden="false" customHeight="false" outlineLevel="0" collapsed="false">
      <c r="A1853" s="33" t="n">
        <v>526</v>
      </c>
      <c r="B1853" s="33" t="s">
        <v>1912</v>
      </c>
      <c r="C1853" s="33" t="s">
        <v>1894</v>
      </c>
      <c r="D1853" s="33"/>
      <c r="E1853" s="33" t="n">
        <v>54</v>
      </c>
      <c r="F1853" s="33" t="s">
        <v>2161</v>
      </c>
      <c r="G1853" s="33" t="s">
        <v>1796</v>
      </c>
      <c r="H1853" s="33" t="n">
        <v>1</v>
      </c>
      <c r="I1853" s="33" t="n">
        <v>1</v>
      </c>
      <c r="J1853" s="33" t="n">
        <v>1</v>
      </c>
      <c r="K1853" s="32" t="n">
        <v>125</v>
      </c>
      <c r="L1853" s="33" t="str">
        <f aca="false">IF($B1853="","",IFERROR(INDEX('Code Mapping'!$D$5:$D$1753,MATCH($B1853,'Code Mapping'!$A$5:$A$1753,0)),"Unmapped"))</f>
        <v>Unmapped</v>
      </c>
      <c r="M1853" s="33" t="str">
        <f aca="false">IF($B1853="","",IFERROR(INDEX('Code Mapping'!$E$5:$E$1753,MATCH($B1853,'Code Mapping'!$A$5:$A$1753,0)),"Unmapped"))</f>
        <v>Unmapped</v>
      </c>
      <c r="N1853" s="33" t="str">
        <f aca="false">IF($F1853="","",$F1853)</f>
        <v>LEGO Shows Qatar</v>
      </c>
    </row>
    <row r="1854" customFormat="false" ht="15" hidden="false" customHeight="false" outlineLevel="0" collapsed="false">
      <c r="A1854" s="33" t="n">
        <v>649</v>
      </c>
      <c r="B1854" s="33" t="s">
        <v>1911</v>
      </c>
      <c r="C1854" s="33" t="s">
        <v>1894</v>
      </c>
      <c r="D1854" s="33"/>
      <c r="E1854" s="33" t="n">
        <v>54</v>
      </c>
      <c r="F1854" s="33" t="s">
        <v>2161</v>
      </c>
      <c r="G1854" s="33" t="s">
        <v>1796</v>
      </c>
      <c r="H1854" s="33" t="n">
        <v>1</v>
      </c>
      <c r="I1854" s="33" t="n">
        <v>1</v>
      </c>
      <c r="J1854" s="33" t="n">
        <v>1</v>
      </c>
      <c r="K1854" s="32" t="n">
        <v>125</v>
      </c>
      <c r="L1854" s="33" t="str">
        <f aca="false">IF($B1854="","",IFERROR(INDEX('Code Mapping'!$D$5:$D$1753,MATCH($B1854,'Code Mapping'!$A$5:$A$1753,0)),"Unmapped"))</f>
        <v>Unmapped</v>
      </c>
      <c r="M1854" s="33" t="str">
        <f aca="false">IF($B1854="","",IFERROR(INDEX('Code Mapping'!$E$5:$E$1753,MATCH($B1854,'Code Mapping'!$A$5:$A$1753,0)),"Unmapped"))</f>
        <v>Unmapped</v>
      </c>
      <c r="N1854" s="33" t="str">
        <f aca="false">IF($F1854="","",$F1854)</f>
        <v>LEGO Shows Qatar</v>
      </c>
    </row>
    <row r="1855" customFormat="false" ht="15" hidden="false" customHeight="false" outlineLevel="0" collapsed="false">
      <c r="A1855" s="33" t="n">
        <v>561</v>
      </c>
      <c r="B1855" s="33" t="s">
        <v>1910</v>
      </c>
      <c r="C1855" s="33" t="s">
        <v>1894</v>
      </c>
      <c r="D1855" s="33"/>
      <c r="E1855" s="33" t="n">
        <v>54</v>
      </c>
      <c r="F1855" s="33" t="s">
        <v>2161</v>
      </c>
      <c r="G1855" s="33" t="s">
        <v>1796</v>
      </c>
      <c r="H1855" s="33" t="n">
        <v>1</v>
      </c>
      <c r="I1855" s="33" t="n">
        <v>3</v>
      </c>
      <c r="J1855" s="33" t="n">
        <v>3</v>
      </c>
      <c r="K1855" s="32" t="n">
        <v>375</v>
      </c>
      <c r="L1855" s="33" t="str">
        <f aca="false">IF($B1855="","",IFERROR(INDEX('Code Mapping'!$D$5:$D$1753,MATCH($B1855,'Code Mapping'!$A$5:$A$1753,0)),"Unmapped"))</f>
        <v>QIB</v>
      </c>
      <c r="M1855" s="33" t="str">
        <f aca="false">IF($B1855="","",IFERROR(INDEX('Code Mapping'!$E$5:$E$1753,MATCH($B1855,'Code Mapping'!$A$5:$A$1753,0)),"Unmapped"))</f>
        <v>Corporate discount</v>
      </c>
      <c r="N1855" s="33" t="str">
        <f aca="false">IF($F1855="","",$F1855)</f>
        <v>LEGO Shows Qatar</v>
      </c>
    </row>
    <row r="1856" customFormat="false" ht="15" hidden="false" customHeight="false" outlineLevel="0" collapsed="false">
      <c r="A1856" s="33" t="n">
        <v>519</v>
      </c>
      <c r="B1856" s="33" t="s">
        <v>1909</v>
      </c>
      <c r="C1856" s="33" t="s">
        <v>1894</v>
      </c>
      <c r="D1856" s="33"/>
      <c r="E1856" s="33" t="n">
        <v>54</v>
      </c>
      <c r="F1856" s="33" t="s">
        <v>2161</v>
      </c>
      <c r="G1856" s="33" t="s">
        <v>1796</v>
      </c>
      <c r="H1856" s="33" t="n">
        <v>2</v>
      </c>
      <c r="I1856" s="33" t="n">
        <v>5</v>
      </c>
      <c r="J1856" s="33" t="n">
        <v>5</v>
      </c>
      <c r="K1856" s="32" t="n">
        <v>625</v>
      </c>
      <c r="L1856" s="33" t="str">
        <f aca="false">IF($B1856="","",IFERROR(INDEX('Code Mapping'!$D$5:$D$1753,MATCH($B1856,'Code Mapping'!$A$5:$A$1753,0)),"Unmapped"))</f>
        <v>Unmapped</v>
      </c>
      <c r="M1856" s="33" t="str">
        <f aca="false">IF($B1856="","",IFERROR(INDEX('Code Mapping'!$E$5:$E$1753,MATCH($B1856,'Code Mapping'!$A$5:$A$1753,0)),"Unmapped"))</f>
        <v>Unmapped</v>
      </c>
      <c r="N1856" s="33" t="str">
        <f aca="false">IF($F1856="","",$F1856)</f>
        <v>LEGO Shows Qatar</v>
      </c>
    </row>
    <row r="1857" customFormat="false" ht="15" hidden="false" customHeight="false" outlineLevel="0" collapsed="false">
      <c r="A1857" s="33" t="n">
        <v>715</v>
      </c>
      <c r="B1857" s="33" t="s">
        <v>1908</v>
      </c>
      <c r="C1857" s="33" t="s">
        <v>1894</v>
      </c>
      <c r="D1857" s="33"/>
      <c r="E1857" s="33" t="n">
        <v>54</v>
      </c>
      <c r="F1857" s="33" t="s">
        <v>2161</v>
      </c>
      <c r="G1857" s="33" t="s">
        <v>1796</v>
      </c>
      <c r="H1857" s="33" t="n">
        <v>1</v>
      </c>
      <c r="I1857" s="33" t="n">
        <v>1</v>
      </c>
      <c r="J1857" s="33" t="n">
        <v>1</v>
      </c>
      <c r="K1857" s="32" t="n">
        <v>125</v>
      </c>
      <c r="L1857" s="33" t="str">
        <f aca="false">IF($B1857="","",IFERROR(INDEX('Code Mapping'!$D$5:$D$1753,MATCH($B1857,'Code Mapping'!$A$5:$A$1753,0)),"Unmapped"))</f>
        <v>Unmapped</v>
      </c>
      <c r="M1857" s="33" t="str">
        <f aca="false">IF($B1857="","",IFERROR(INDEX('Code Mapping'!$E$5:$E$1753,MATCH($B1857,'Code Mapping'!$A$5:$A$1753,0)),"Unmapped"))</f>
        <v>Unmapped</v>
      </c>
      <c r="N1857" s="33" t="str">
        <f aca="false">IF($F1857="","",$F1857)</f>
        <v>LEGO Shows Qatar</v>
      </c>
    </row>
    <row r="1858" customFormat="false" ht="15" hidden="false" customHeight="false" outlineLevel="0" collapsed="false">
      <c r="A1858" s="33" t="n">
        <v>437</v>
      </c>
      <c r="B1858" s="33" t="s">
        <v>1866</v>
      </c>
      <c r="C1858" s="33" t="s">
        <v>1867</v>
      </c>
      <c r="D1858" s="33"/>
      <c r="E1858" s="33" t="n">
        <v>54</v>
      </c>
      <c r="F1858" s="33" t="s">
        <v>2161</v>
      </c>
      <c r="G1858" s="33" t="s">
        <v>1796</v>
      </c>
      <c r="H1858" s="33" t="n">
        <v>8</v>
      </c>
      <c r="I1858" s="33" t="n">
        <v>16</v>
      </c>
      <c r="J1858" s="33" t="n">
        <v>16</v>
      </c>
      <c r="K1858" s="32" t="n">
        <v>400</v>
      </c>
      <c r="L1858" s="33" t="str">
        <f aca="false">IF($B1858="","",IFERROR(INDEX('Code Mapping'!$D$5:$D$1753,MATCH($B1858,'Code Mapping'!$A$5:$A$1753,0)),"Unmapped"))</f>
        <v>Unmapped</v>
      </c>
      <c r="M1858" s="33" t="str">
        <f aca="false">IF($B1858="","",IFERROR(INDEX('Code Mapping'!$E$5:$E$1753,MATCH($B1858,'Code Mapping'!$A$5:$A$1753,0)),"Unmapped"))</f>
        <v>Unmapped</v>
      </c>
      <c r="N1858" s="33" t="str">
        <f aca="false">IF($F1858="","",$F1858)</f>
        <v>LEGO Shows Qatar</v>
      </c>
    </row>
    <row r="1859" customFormat="false" ht="15" hidden="false" customHeight="false" outlineLevel="0" collapsed="false">
      <c r="A1859" s="33" t="n">
        <v>641</v>
      </c>
      <c r="B1859" s="33" t="s">
        <v>1913</v>
      </c>
      <c r="C1859" s="33" t="s">
        <v>1894</v>
      </c>
      <c r="D1859" s="33"/>
      <c r="E1859" s="33" t="n">
        <v>54</v>
      </c>
      <c r="F1859" s="33" t="s">
        <v>2161</v>
      </c>
      <c r="G1859" s="33" t="s">
        <v>1796</v>
      </c>
      <c r="H1859" s="33" t="n">
        <v>1</v>
      </c>
      <c r="I1859" s="33" t="n">
        <v>1</v>
      </c>
      <c r="J1859" s="33" t="n">
        <v>1</v>
      </c>
      <c r="K1859" s="32" t="n">
        <v>125</v>
      </c>
      <c r="L1859" s="33" t="str">
        <f aca="false">IF($B1859="","",IFERROR(INDEX('Code Mapping'!$D$5:$D$1753,MATCH($B1859,'Code Mapping'!$A$5:$A$1753,0)),"Unmapped"))</f>
        <v>Unmapped</v>
      </c>
      <c r="M1859" s="33" t="str">
        <f aca="false">IF($B1859="","",IFERROR(INDEX('Code Mapping'!$E$5:$E$1753,MATCH($B1859,'Code Mapping'!$A$5:$A$1753,0)),"Unmapped"))</f>
        <v>Unmapped</v>
      </c>
      <c r="N1859" s="33" t="str">
        <f aca="false">IF($F1859="","",$F1859)</f>
        <v>LEGO Shows Qatar</v>
      </c>
    </row>
    <row r="1860" customFormat="false" ht="15" hidden="false" customHeight="false" outlineLevel="0" collapsed="false">
      <c r="A1860" s="33" t="n">
        <v>1039</v>
      </c>
      <c r="B1860" s="33" t="s">
        <v>1864</v>
      </c>
      <c r="C1860" s="33" t="s">
        <v>1859</v>
      </c>
      <c r="D1860" s="33"/>
      <c r="E1860" s="33" t="n">
        <v>54</v>
      </c>
      <c r="F1860" s="33" t="s">
        <v>2161</v>
      </c>
      <c r="G1860" s="33" t="s">
        <v>1796</v>
      </c>
      <c r="H1860" s="33" t="n">
        <v>1</v>
      </c>
      <c r="I1860" s="33" t="n">
        <v>4</v>
      </c>
      <c r="J1860" s="33" t="n">
        <v>4</v>
      </c>
      <c r="K1860" s="32" t="n">
        <v>250</v>
      </c>
      <c r="L1860" s="33" t="str">
        <f aca="false">IF($B1860="","",IFERROR(INDEX('Code Mapping'!$D$5:$D$1753,MATCH($B1860,'Code Mapping'!$A$5:$A$1753,0)),"Unmapped"))</f>
        <v>Unmapped</v>
      </c>
      <c r="M1860" s="33" t="str">
        <f aca="false">IF($B1860="","",IFERROR(INDEX('Code Mapping'!$E$5:$E$1753,MATCH($B1860,'Code Mapping'!$A$5:$A$1753,0)),"Unmapped"))</f>
        <v>Unmapped</v>
      </c>
      <c r="N1860" s="33" t="str">
        <f aca="false">IF($F1860="","",$F1860)</f>
        <v>LEGO Shows Qatar</v>
      </c>
    </row>
    <row r="1861" customFormat="false" ht="15" hidden="false" customHeight="false" outlineLevel="0" collapsed="false">
      <c r="A1861" s="33" t="n">
        <v>456</v>
      </c>
      <c r="B1861" s="33" t="s">
        <v>1826</v>
      </c>
      <c r="C1861" s="33" t="s">
        <v>1798</v>
      </c>
      <c r="D1861" s="33"/>
      <c r="E1861" s="33" t="n">
        <v>54</v>
      </c>
      <c r="F1861" s="33" t="s">
        <v>2161</v>
      </c>
      <c r="G1861" s="33" t="s">
        <v>1796</v>
      </c>
      <c r="H1861" s="33" t="n">
        <v>1</v>
      </c>
      <c r="I1861" s="33" t="n">
        <v>1</v>
      </c>
      <c r="J1861" s="33" t="n">
        <v>1</v>
      </c>
      <c r="K1861" s="32" t="n">
        <v>500</v>
      </c>
      <c r="L1861" s="33" t="str">
        <f aca="false">IF($B1861="","",IFERROR(INDEX('Code Mapping'!$D$5:$D$1753,MATCH($B1861,'Code Mapping'!$A$5:$A$1753,0)),"Unmapped"))</f>
        <v>Unmapped</v>
      </c>
      <c r="M1861" s="33" t="str">
        <f aca="false">IF($B1861="","",IFERROR(INDEX('Code Mapping'!$E$5:$E$1753,MATCH($B1861,'Code Mapping'!$A$5:$A$1753,0)),"Unmapped"))</f>
        <v>Unmapped</v>
      </c>
      <c r="N1861" s="33" t="str">
        <f aca="false">IF($F1861="","",$F1861)</f>
        <v>LEGO Shows Qatar</v>
      </c>
    </row>
    <row r="1862" customFormat="false" ht="15" hidden="false" customHeight="false" outlineLevel="0" collapsed="false">
      <c r="A1862" s="33" t="n">
        <v>453</v>
      </c>
      <c r="B1862" s="33" t="s">
        <v>1824</v>
      </c>
      <c r="C1862" s="33" t="s">
        <v>1798</v>
      </c>
      <c r="D1862" s="33"/>
      <c r="E1862" s="33" t="n">
        <v>54</v>
      </c>
      <c r="F1862" s="33" t="s">
        <v>2161</v>
      </c>
      <c r="G1862" s="33" t="s">
        <v>1796</v>
      </c>
      <c r="H1862" s="33" t="n">
        <v>1</v>
      </c>
      <c r="I1862" s="33" t="n">
        <v>5</v>
      </c>
      <c r="J1862" s="33" t="n">
        <v>5</v>
      </c>
      <c r="K1862" s="32" t="n">
        <v>2500</v>
      </c>
      <c r="L1862" s="33" t="str">
        <f aca="false">IF($B1862="","",IFERROR(INDEX('Code Mapping'!$D$5:$D$1753,MATCH($B1862,'Code Mapping'!$A$5:$A$1753,0)),"Unmapped"))</f>
        <v>Unmapped</v>
      </c>
      <c r="M1862" s="33" t="str">
        <f aca="false">IF($B1862="","",IFERROR(INDEX('Code Mapping'!$E$5:$E$1753,MATCH($B1862,'Code Mapping'!$A$5:$A$1753,0)),"Unmapped"))</f>
        <v>Unmapped</v>
      </c>
      <c r="N1862" s="33" t="str">
        <f aca="false">IF($F1862="","",$F1862)</f>
        <v>LEGO Shows Qatar</v>
      </c>
    </row>
    <row r="1863" customFormat="false" ht="15" hidden="false" customHeight="false" outlineLevel="0" collapsed="false">
      <c r="A1863" s="33" t="n">
        <v>1067</v>
      </c>
      <c r="B1863" s="33" t="s">
        <v>1823</v>
      </c>
      <c r="C1863" s="33"/>
      <c r="D1863" s="33"/>
      <c r="E1863" s="33" t="n">
        <v>54</v>
      </c>
      <c r="F1863" s="33" t="s">
        <v>2161</v>
      </c>
      <c r="G1863" s="33" t="s">
        <v>1796</v>
      </c>
      <c r="H1863" s="33" t="n">
        <v>1</v>
      </c>
      <c r="I1863" s="33" t="n">
        <v>1</v>
      </c>
      <c r="J1863" s="33" t="n">
        <v>1</v>
      </c>
      <c r="K1863" s="32" t="n">
        <v>500</v>
      </c>
      <c r="L1863" s="33" t="str">
        <f aca="false">IF($B1863="","",IFERROR(INDEX('Code Mapping'!$D$5:$D$1753,MATCH($B1863,'Code Mapping'!$A$5:$A$1753,0)),"Unmapped"))</f>
        <v>Unmapped</v>
      </c>
      <c r="M1863" s="33" t="str">
        <f aca="false">IF($B1863="","",IFERROR(INDEX('Code Mapping'!$E$5:$E$1753,MATCH($B1863,'Code Mapping'!$A$5:$A$1753,0)),"Unmapped"))</f>
        <v>Unmapped</v>
      </c>
      <c r="N1863" s="33" t="str">
        <f aca="false">IF($F1863="","",$F1863)</f>
        <v>LEGO Shows Qatar</v>
      </c>
    </row>
    <row r="1864" customFormat="false" ht="15" hidden="false" customHeight="false" outlineLevel="0" collapsed="false">
      <c r="A1864" s="33" t="n">
        <v>1025</v>
      </c>
      <c r="B1864" s="33" t="s">
        <v>1822</v>
      </c>
      <c r="C1864" s="33"/>
      <c r="D1864" s="33"/>
      <c r="E1864" s="33" t="n">
        <v>54</v>
      </c>
      <c r="F1864" s="33" t="s">
        <v>2161</v>
      </c>
      <c r="G1864" s="33" t="s">
        <v>1796</v>
      </c>
      <c r="H1864" s="33" t="n">
        <v>1</v>
      </c>
      <c r="I1864" s="33" t="n">
        <v>1</v>
      </c>
      <c r="J1864" s="33" t="n">
        <v>1</v>
      </c>
      <c r="K1864" s="32" t="n">
        <v>500</v>
      </c>
      <c r="L1864" s="33" t="str">
        <f aca="false">IF($B1864="","",IFERROR(INDEX('Code Mapping'!$D$5:$D$1753,MATCH($B1864,'Code Mapping'!$A$5:$A$1753,0)),"Unmapped"))</f>
        <v>Unmapped</v>
      </c>
      <c r="M1864" s="33" t="str">
        <f aca="false">IF($B1864="","",IFERROR(INDEX('Code Mapping'!$E$5:$E$1753,MATCH($B1864,'Code Mapping'!$A$5:$A$1753,0)),"Unmapped"))</f>
        <v>Unmapped</v>
      </c>
      <c r="N1864" s="33" t="str">
        <f aca="false">IF($F1864="","",$F1864)</f>
        <v>LEGO Shows Qatar</v>
      </c>
    </row>
    <row r="1865" customFormat="false" ht="15" hidden="false" customHeight="false" outlineLevel="0" collapsed="false">
      <c r="A1865" s="33" t="n">
        <v>448</v>
      </c>
      <c r="B1865" s="33" t="s">
        <v>1821</v>
      </c>
      <c r="C1865" s="33" t="s">
        <v>1798</v>
      </c>
      <c r="D1865" s="33"/>
      <c r="E1865" s="33" t="n">
        <v>54</v>
      </c>
      <c r="F1865" s="33" t="s">
        <v>2161</v>
      </c>
      <c r="G1865" s="33" t="s">
        <v>1796</v>
      </c>
      <c r="H1865" s="33" t="n">
        <v>1</v>
      </c>
      <c r="I1865" s="33" t="n">
        <v>1</v>
      </c>
      <c r="J1865" s="33" t="n">
        <v>1</v>
      </c>
      <c r="K1865" s="32" t="n">
        <v>500</v>
      </c>
      <c r="L1865" s="33" t="str">
        <f aca="false">IF($B1865="","",IFERROR(INDEX('Code Mapping'!$D$5:$D$1753,MATCH($B1865,'Code Mapping'!$A$5:$A$1753,0)),"Unmapped"))</f>
        <v>Unmapped</v>
      </c>
      <c r="M1865" s="33" t="str">
        <f aca="false">IF($B1865="","",IFERROR(INDEX('Code Mapping'!$E$5:$E$1753,MATCH($B1865,'Code Mapping'!$A$5:$A$1753,0)),"Unmapped"))</f>
        <v>Unmapped</v>
      </c>
      <c r="N1865" s="33" t="str">
        <f aca="false">IF($F1865="","",$F1865)</f>
        <v>LEGO Shows Qatar</v>
      </c>
    </row>
    <row r="1866" customFormat="false" ht="15" hidden="false" customHeight="false" outlineLevel="0" collapsed="false">
      <c r="A1866" s="33" t="n">
        <v>447</v>
      </c>
      <c r="B1866" s="33" t="s">
        <v>1820</v>
      </c>
      <c r="C1866" s="33" t="s">
        <v>1798</v>
      </c>
      <c r="D1866" s="33"/>
      <c r="E1866" s="33" t="n">
        <v>54</v>
      </c>
      <c r="F1866" s="33" t="s">
        <v>2161</v>
      </c>
      <c r="G1866" s="33" t="s">
        <v>1796</v>
      </c>
      <c r="H1866" s="33" t="n">
        <v>1</v>
      </c>
      <c r="I1866" s="33" t="n">
        <v>3</v>
      </c>
      <c r="J1866" s="33" t="n">
        <v>3</v>
      </c>
      <c r="K1866" s="32" t="n">
        <v>1500</v>
      </c>
      <c r="L1866" s="33" t="str">
        <f aca="false">IF($B1866="","",IFERROR(INDEX('Code Mapping'!$D$5:$D$1753,MATCH($B1866,'Code Mapping'!$A$5:$A$1753,0)),"Unmapped"))</f>
        <v>Unmapped</v>
      </c>
      <c r="M1866" s="33" t="str">
        <f aca="false">IF($B1866="","",IFERROR(INDEX('Code Mapping'!$E$5:$E$1753,MATCH($B1866,'Code Mapping'!$A$5:$A$1753,0)),"Unmapped"))</f>
        <v>Unmapped</v>
      </c>
      <c r="N1866" s="33" t="str">
        <f aca="false">IF($F1866="","",$F1866)</f>
        <v>LEGO Shows Qatar</v>
      </c>
    </row>
    <row r="1867" customFormat="false" ht="15" hidden="false" customHeight="false" outlineLevel="0" collapsed="false">
      <c r="A1867" s="33" t="n">
        <v>1013</v>
      </c>
      <c r="B1867" s="33" t="s">
        <v>1819</v>
      </c>
      <c r="C1867" s="33"/>
      <c r="D1867" s="33"/>
      <c r="E1867" s="33" t="n">
        <v>54</v>
      </c>
      <c r="F1867" s="33" t="s">
        <v>2161</v>
      </c>
      <c r="G1867" s="33" t="s">
        <v>1796</v>
      </c>
      <c r="H1867" s="33" t="n">
        <v>1</v>
      </c>
      <c r="I1867" s="33" t="n">
        <v>1</v>
      </c>
      <c r="J1867" s="33" t="n">
        <v>1</v>
      </c>
      <c r="K1867" s="32" t="n">
        <v>500</v>
      </c>
      <c r="L1867" s="33" t="str">
        <f aca="false">IF($B1867="","",IFERROR(INDEX('Code Mapping'!$D$5:$D$1753,MATCH($B1867,'Code Mapping'!$A$5:$A$1753,0)),"Unmapped"))</f>
        <v>Unmapped</v>
      </c>
      <c r="M1867" s="33" t="str">
        <f aca="false">IF($B1867="","",IFERROR(INDEX('Code Mapping'!$E$5:$E$1753,MATCH($B1867,'Code Mapping'!$A$5:$A$1753,0)),"Unmapped"))</f>
        <v>Unmapped</v>
      </c>
      <c r="N1867" s="33" t="str">
        <f aca="false">IF($F1867="","",$F1867)</f>
        <v>LEGO Shows Qatar</v>
      </c>
    </row>
    <row r="1868" customFormat="false" ht="15" hidden="false" customHeight="false" outlineLevel="0" collapsed="false">
      <c r="A1868" s="33" t="n">
        <v>970</v>
      </c>
      <c r="B1868" s="33" t="s">
        <v>1818</v>
      </c>
      <c r="C1868" s="33"/>
      <c r="D1868" s="33"/>
      <c r="E1868" s="33" t="n">
        <v>54</v>
      </c>
      <c r="F1868" s="33" t="s">
        <v>2161</v>
      </c>
      <c r="G1868" s="33" t="s">
        <v>1796</v>
      </c>
      <c r="H1868" s="33" t="n">
        <v>1</v>
      </c>
      <c r="I1868" s="33" t="n">
        <v>1</v>
      </c>
      <c r="J1868" s="33" t="n">
        <v>1</v>
      </c>
      <c r="K1868" s="32" t="n">
        <v>500</v>
      </c>
      <c r="L1868" s="33" t="str">
        <f aca="false">IF($B1868="","",IFERROR(INDEX('Code Mapping'!$D$5:$D$1753,MATCH($B1868,'Code Mapping'!$A$5:$A$1753,0)),"Unmapped"))</f>
        <v>Unmapped</v>
      </c>
      <c r="M1868" s="33" t="str">
        <f aca="false">IF($B1868="","",IFERROR(INDEX('Code Mapping'!$E$5:$E$1753,MATCH($B1868,'Code Mapping'!$A$5:$A$1753,0)),"Unmapped"))</f>
        <v>Unmapped</v>
      </c>
      <c r="N1868" s="33" t="str">
        <f aca="false">IF($F1868="","",$F1868)</f>
        <v>LEGO Shows Qatar</v>
      </c>
    </row>
    <row r="1869" customFormat="false" ht="15" hidden="false" customHeight="false" outlineLevel="0" collapsed="false">
      <c r="A1869" s="33" t="n">
        <v>976</v>
      </c>
      <c r="B1869" s="33" t="s">
        <v>1817</v>
      </c>
      <c r="C1869" s="33"/>
      <c r="D1869" s="33"/>
      <c r="E1869" s="33" t="n">
        <v>54</v>
      </c>
      <c r="F1869" s="33" t="s">
        <v>2161</v>
      </c>
      <c r="G1869" s="33" t="s">
        <v>1796</v>
      </c>
      <c r="H1869" s="33" t="n">
        <v>1</v>
      </c>
      <c r="I1869" s="33" t="n">
        <v>1</v>
      </c>
      <c r="J1869" s="33" t="n">
        <v>1</v>
      </c>
      <c r="K1869" s="32" t="n">
        <v>500</v>
      </c>
      <c r="L1869" s="33" t="str">
        <f aca="false">IF($B1869="","",IFERROR(INDEX('Code Mapping'!$D$5:$D$1753,MATCH($B1869,'Code Mapping'!$A$5:$A$1753,0)),"Unmapped"))</f>
        <v>Unmapped</v>
      </c>
      <c r="M1869" s="33" t="str">
        <f aca="false">IF($B1869="","",IFERROR(INDEX('Code Mapping'!$E$5:$E$1753,MATCH($B1869,'Code Mapping'!$A$5:$A$1753,0)),"Unmapped"))</f>
        <v>Unmapped</v>
      </c>
      <c r="N1869" s="33" t="str">
        <f aca="false">IF($F1869="","",$F1869)</f>
        <v>LEGO Shows Qatar</v>
      </c>
    </row>
    <row r="1870" customFormat="false" ht="15" hidden="false" customHeight="false" outlineLevel="0" collapsed="false">
      <c r="A1870" s="33" t="n">
        <v>482</v>
      </c>
      <c r="B1870" s="33" t="s">
        <v>1815</v>
      </c>
      <c r="C1870" s="33" t="s">
        <v>1816</v>
      </c>
      <c r="D1870" s="33"/>
      <c r="E1870" s="33" t="n">
        <v>54</v>
      </c>
      <c r="F1870" s="33" t="s">
        <v>2161</v>
      </c>
      <c r="G1870" s="33" t="s">
        <v>1796</v>
      </c>
      <c r="H1870" s="33" t="n">
        <v>1</v>
      </c>
      <c r="I1870" s="33" t="n">
        <v>1</v>
      </c>
      <c r="J1870" s="33" t="n">
        <v>1</v>
      </c>
      <c r="K1870" s="32" t="n">
        <v>500</v>
      </c>
      <c r="L1870" s="33" t="str">
        <f aca="false">IF($B1870="","",IFERROR(INDEX('Code Mapping'!$D$5:$D$1753,MATCH($B1870,'Code Mapping'!$A$5:$A$1753,0)),"Unmapped"))</f>
        <v>Unmapped</v>
      </c>
      <c r="M1870" s="33" t="str">
        <f aca="false">IF($B1870="","",IFERROR(INDEX('Code Mapping'!$E$5:$E$1753,MATCH($B1870,'Code Mapping'!$A$5:$A$1753,0)),"Unmapped"))</f>
        <v>Unmapped</v>
      </c>
      <c r="N1870" s="33" t="str">
        <f aca="false">IF($F1870="","",$F1870)</f>
        <v>LEGO Shows Qatar</v>
      </c>
    </row>
    <row r="1871" customFormat="false" ht="15" hidden="false" customHeight="false" outlineLevel="0" collapsed="false">
      <c r="A1871" s="33" t="n">
        <v>445</v>
      </c>
      <c r="B1871" s="33" t="s">
        <v>1814</v>
      </c>
      <c r="C1871" s="33" t="s">
        <v>1798</v>
      </c>
      <c r="D1871" s="33"/>
      <c r="E1871" s="33" t="n">
        <v>54</v>
      </c>
      <c r="F1871" s="33" t="s">
        <v>2161</v>
      </c>
      <c r="G1871" s="33" t="s">
        <v>1796</v>
      </c>
      <c r="H1871" s="33" t="n">
        <v>1</v>
      </c>
      <c r="I1871" s="33" t="n">
        <v>1</v>
      </c>
      <c r="J1871" s="33" t="n">
        <v>1</v>
      </c>
      <c r="K1871" s="32" t="n">
        <v>500</v>
      </c>
      <c r="L1871" s="33" t="str">
        <f aca="false">IF($B1871="","",IFERROR(INDEX('Code Mapping'!$D$5:$D$1753,MATCH($B1871,'Code Mapping'!$A$5:$A$1753,0)),"Unmapped"))</f>
        <v>Unmapped</v>
      </c>
      <c r="M1871" s="33" t="str">
        <f aca="false">IF($B1871="","",IFERROR(INDEX('Code Mapping'!$E$5:$E$1753,MATCH($B1871,'Code Mapping'!$A$5:$A$1753,0)),"Unmapped"))</f>
        <v>Unmapped</v>
      </c>
      <c r="N1871" s="33" t="str">
        <f aca="false">IF($F1871="","",$F1871)</f>
        <v>LEGO Shows Qatar</v>
      </c>
    </row>
    <row r="1872" customFormat="false" ht="15" hidden="false" customHeight="false" outlineLevel="0" collapsed="false">
      <c r="A1872" s="33" t="n">
        <v>969</v>
      </c>
      <c r="B1872" s="33" t="s">
        <v>1813</v>
      </c>
      <c r="C1872" s="33"/>
      <c r="D1872" s="33"/>
      <c r="E1872" s="33" t="n">
        <v>54</v>
      </c>
      <c r="F1872" s="33" t="s">
        <v>2161</v>
      </c>
      <c r="G1872" s="33" t="s">
        <v>1796</v>
      </c>
      <c r="H1872" s="33" t="n">
        <v>1</v>
      </c>
      <c r="I1872" s="33" t="n">
        <v>1</v>
      </c>
      <c r="J1872" s="33" t="n">
        <v>1</v>
      </c>
      <c r="K1872" s="32" t="n">
        <v>500</v>
      </c>
      <c r="L1872" s="33" t="str">
        <f aca="false">IF($B1872="","",IFERROR(INDEX('Code Mapping'!$D$5:$D$1753,MATCH($B1872,'Code Mapping'!$A$5:$A$1753,0)),"Unmapped"))</f>
        <v>Unmapped</v>
      </c>
      <c r="M1872" s="33" t="str">
        <f aca="false">IF($B1872="","",IFERROR(INDEX('Code Mapping'!$E$5:$E$1753,MATCH($B1872,'Code Mapping'!$A$5:$A$1753,0)),"Unmapped"))</f>
        <v>Unmapped</v>
      </c>
      <c r="N1872" s="33" t="str">
        <f aca="false">IF($F1872="","",$F1872)</f>
        <v>LEGO Shows Qatar</v>
      </c>
    </row>
    <row r="1873" customFormat="false" ht="15" hidden="false" customHeight="false" outlineLevel="0" collapsed="false">
      <c r="A1873" s="33" t="n">
        <v>1058</v>
      </c>
      <c r="B1873" s="33" t="s">
        <v>1812</v>
      </c>
      <c r="C1873" s="33"/>
      <c r="D1873" s="33"/>
      <c r="E1873" s="33" t="n">
        <v>54</v>
      </c>
      <c r="F1873" s="33" t="s">
        <v>2161</v>
      </c>
      <c r="G1873" s="33" t="s">
        <v>1796</v>
      </c>
      <c r="H1873" s="33" t="n">
        <v>1</v>
      </c>
      <c r="I1873" s="33" t="n">
        <v>1</v>
      </c>
      <c r="J1873" s="33" t="n">
        <v>1</v>
      </c>
      <c r="K1873" s="32" t="n">
        <v>500</v>
      </c>
      <c r="L1873" s="33" t="str">
        <f aca="false">IF($B1873="","",IFERROR(INDEX('Code Mapping'!$D$5:$D$1753,MATCH($B1873,'Code Mapping'!$A$5:$A$1753,0)),"Unmapped"))</f>
        <v>Unmapped</v>
      </c>
      <c r="M1873" s="33" t="str">
        <f aca="false">IF($B1873="","",IFERROR(INDEX('Code Mapping'!$E$5:$E$1753,MATCH($B1873,'Code Mapping'!$A$5:$A$1753,0)),"Unmapped"))</f>
        <v>Unmapped</v>
      </c>
      <c r="N1873" s="33" t="str">
        <f aca="false">IF($F1873="","",$F1873)</f>
        <v>LEGO Shows Qatar</v>
      </c>
    </row>
    <row r="1874" customFormat="false" ht="15" hidden="false" customHeight="false" outlineLevel="0" collapsed="false">
      <c r="A1874" s="33" t="n">
        <v>968</v>
      </c>
      <c r="B1874" s="33" t="s">
        <v>1811</v>
      </c>
      <c r="C1874" s="33"/>
      <c r="D1874" s="33"/>
      <c r="E1874" s="33" t="n">
        <v>54</v>
      </c>
      <c r="F1874" s="33" t="s">
        <v>2161</v>
      </c>
      <c r="G1874" s="33" t="s">
        <v>1796</v>
      </c>
      <c r="H1874" s="33" t="n">
        <v>1</v>
      </c>
      <c r="I1874" s="33" t="n">
        <v>1</v>
      </c>
      <c r="J1874" s="33" t="n">
        <v>1</v>
      </c>
      <c r="K1874" s="32" t="n">
        <v>500</v>
      </c>
      <c r="L1874" s="33" t="str">
        <f aca="false">IF($B1874="","",IFERROR(INDEX('Code Mapping'!$D$5:$D$1753,MATCH($B1874,'Code Mapping'!$A$5:$A$1753,0)),"Unmapped"))</f>
        <v>Unmapped</v>
      </c>
      <c r="M1874" s="33" t="str">
        <f aca="false">IF($B1874="","",IFERROR(INDEX('Code Mapping'!$E$5:$E$1753,MATCH($B1874,'Code Mapping'!$A$5:$A$1753,0)),"Unmapped"))</f>
        <v>Unmapped</v>
      </c>
      <c r="N1874" s="33" t="str">
        <f aca="false">IF($F1874="","",$F1874)</f>
        <v>LEGO Shows Qatar</v>
      </c>
    </row>
    <row r="1875" customFormat="false" ht="15" hidden="false" customHeight="false" outlineLevel="0" collapsed="false">
      <c r="A1875" s="33" t="n">
        <v>443</v>
      </c>
      <c r="B1875" s="33" t="s">
        <v>1810</v>
      </c>
      <c r="C1875" s="33" t="s">
        <v>1798</v>
      </c>
      <c r="D1875" s="33"/>
      <c r="E1875" s="33" t="n">
        <v>54</v>
      </c>
      <c r="F1875" s="33" t="s">
        <v>2161</v>
      </c>
      <c r="G1875" s="33" t="s">
        <v>1796</v>
      </c>
      <c r="H1875" s="33" t="n">
        <v>1</v>
      </c>
      <c r="I1875" s="33" t="n">
        <v>1</v>
      </c>
      <c r="J1875" s="33" t="n">
        <v>1</v>
      </c>
      <c r="K1875" s="32" t="n">
        <v>500</v>
      </c>
      <c r="L1875" s="33" t="str">
        <f aca="false">IF($B1875="","",IFERROR(INDEX('Code Mapping'!$D$5:$D$1753,MATCH($B1875,'Code Mapping'!$A$5:$A$1753,0)),"Unmapped"))</f>
        <v>Unmapped</v>
      </c>
      <c r="M1875" s="33" t="str">
        <f aca="false">IF($B1875="","",IFERROR(INDEX('Code Mapping'!$E$5:$E$1753,MATCH($B1875,'Code Mapping'!$A$5:$A$1753,0)),"Unmapped"))</f>
        <v>Unmapped</v>
      </c>
      <c r="N1875" s="33" t="str">
        <f aca="false">IF($F1875="","",$F1875)</f>
        <v>LEGO Shows Qatar</v>
      </c>
    </row>
    <row r="1876" customFormat="false" ht="15" hidden="false" customHeight="false" outlineLevel="0" collapsed="false">
      <c r="A1876" s="33" t="n">
        <v>478</v>
      </c>
      <c r="B1876" s="33" t="s">
        <v>1809</v>
      </c>
      <c r="C1876" s="33" t="s">
        <v>1798</v>
      </c>
      <c r="D1876" s="33"/>
      <c r="E1876" s="33" t="n">
        <v>54</v>
      </c>
      <c r="F1876" s="33" t="s">
        <v>2161</v>
      </c>
      <c r="G1876" s="33" t="s">
        <v>1796</v>
      </c>
      <c r="H1876" s="33" t="n">
        <v>1</v>
      </c>
      <c r="I1876" s="33" t="n">
        <v>1</v>
      </c>
      <c r="J1876" s="33" t="n">
        <v>1</v>
      </c>
      <c r="K1876" s="32" t="n">
        <v>500</v>
      </c>
      <c r="L1876" s="33" t="str">
        <f aca="false">IF($B1876="","",IFERROR(INDEX('Code Mapping'!$D$5:$D$1753,MATCH($B1876,'Code Mapping'!$A$5:$A$1753,0)),"Unmapped"))</f>
        <v>Unmapped</v>
      </c>
      <c r="M1876" s="33" t="str">
        <f aca="false">IF($B1876="","",IFERROR(INDEX('Code Mapping'!$E$5:$E$1753,MATCH($B1876,'Code Mapping'!$A$5:$A$1753,0)),"Unmapped"))</f>
        <v>Unmapped</v>
      </c>
      <c r="N1876" s="33" t="str">
        <f aca="false">IF($F1876="","",$F1876)</f>
        <v>LEGO Shows Qatar</v>
      </c>
    </row>
    <row r="1877" customFormat="false" ht="15" hidden="false" customHeight="false" outlineLevel="0" collapsed="false">
      <c r="A1877" s="33" t="n">
        <v>966</v>
      </c>
      <c r="B1877" s="33" t="s">
        <v>1807</v>
      </c>
      <c r="C1877" s="33"/>
      <c r="D1877" s="33"/>
      <c r="E1877" s="33" t="n">
        <v>54</v>
      </c>
      <c r="F1877" s="33" t="s">
        <v>2161</v>
      </c>
      <c r="G1877" s="33" t="s">
        <v>1796</v>
      </c>
      <c r="H1877" s="33" t="n">
        <v>1</v>
      </c>
      <c r="I1877" s="33" t="n">
        <v>1</v>
      </c>
      <c r="J1877" s="33" t="n">
        <v>1</v>
      </c>
      <c r="K1877" s="32" t="n">
        <v>500</v>
      </c>
      <c r="L1877" s="33" t="str">
        <f aca="false">IF($B1877="","",IFERROR(INDEX('Code Mapping'!$D$5:$D$1753,MATCH($B1877,'Code Mapping'!$A$5:$A$1753,0)),"Unmapped"))</f>
        <v>Unmapped</v>
      </c>
      <c r="M1877" s="33" t="str">
        <f aca="false">IF($B1877="","",IFERROR(INDEX('Code Mapping'!$E$5:$E$1753,MATCH($B1877,'Code Mapping'!$A$5:$A$1753,0)),"Unmapped"))</f>
        <v>Unmapped</v>
      </c>
      <c r="N1877" s="33" t="str">
        <f aca="false">IF($F1877="","",$F1877)</f>
        <v>LEGO Shows Qatar</v>
      </c>
    </row>
    <row r="1878" customFormat="false" ht="15" hidden="false" customHeight="false" outlineLevel="0" collapsed="false">
      <c r="A1878" s="33" t="n">
        <v>997</v>
      </c>
      <c r="B1878" s="33" t="s">
        <v>1806</v>
      </c>
      <c r="C1878" s="33"/>
      <c r="D1878" s="33"/>
      <c r="E1878" s="33" t="n">
        <v>54</v>
      </c>
      <c r="F1878" s="33" t="s">
        <v>2161</v>
      </c>
      <c r="G1878" s="33" t="s">
        <v>1796</v>
      </c>
      <c r="H1878" s="33" t="n">
        <v>1</v>
      </c>
      <c r="I1878" s="33" t="n">
        <v>5</v>
      </c>
      <c r="J1878" s="33" t="n">
        <v>5</v>
      </c>
      <c r="K1878" s="32" t="n">
        <v>2500</v>
      </c>
      <c r="L1878" s="33" t="str">
        <f aca="false">IF($B1878="","",IFERROR(INDEX('Code Mapping'!$D$5:$D$1753,MATCH($B1878,'Code Mapping'!$A$5:$A$1753,0)),"Unmapped"))</f>
        <v>Unmapped</v>
      </c>
      <c r="M1878" s="33" t="str">
        <f aca="false">IF($B1878="","",IFERROR(INDEX('Code Mapping'!$E$5:$E$1753,MATCH($B1878,'Code Mapping'!$A$5:$A$1753,0)),"Unmapped"))</f>
        <v>Unmapped</v>
      </c>
      <c r="N1878" s="33" t="str">
        <f aca="false">IF($F1878="","",$F1878)</f>
        <v>LEGO Shows Qatar</v>
      </c>
    </row>
    <row r="1879" customFormat="false" ht="15" hidden="false" customHeight="false" outlineLevel="0" collapsed="false">
      <c r="A1879" s="33" t="n">
        <v>441</v>
      </c>
      <c r="B1879" s="33" t="s">
        <v>1805</v>
      </c>
      <c r="C1879" s="33" t="s">
        <v>1798</v>
      </c>
      <c r="D1879" s="33"/>
      <c r="E1879" s="33" t="n">
        <v>54</v>
      </c>
      <c r="F1879" s="33" t="s">
        <v>2161</v>
      </c>
      <c r="G1879" s="33" t="s">
        <v>1796</v>
      </c>
      <c r="H1879" s="33" t="n">
        <v>1</v>
      </c>
      <c r="I1879" s="33" t="n">
        <v>1</v>
      </c>
      <c r="J1879" s="33" t="n">
        <v>1</v>
      </c>
      <c r="K1879" s="32" t="n">
        <v>500</v>
      </c>
      <c r="L1879" s="33" t="str">
        <f aca="false">IF($B1879="","",IFERROR(INDEX('Code Mapping'!$D$5:$D$1753,MATCH($B1879,'Code Mapping'!$A$5:$A$1753,0)),"Unmapped"))</f>
        <v>Unmapped</v>
      </c>
      <c r="M1879" s="33" t="str">
        <f aca="false">IF($B1879="","",IFERROR(INDEX('Code Mapping'!$E$5:$E$1753,MATCH($B1879,'Code Mapping'!$A$5:$A$1753,0)),"Unmapped"))</f>
        <v>Unmapped</v>
      </c>
      <c r="N1879" s="33" t="str">
        <f aca="false">IF($F1879="","",$F1879)</f>
        <v>LEGO Shows Qatar</v>
      </c>
    </row>
    <row r="1880" customFormat="false" ht="15" hidden="false" customHeight="false" outlineLevel="0" collapsed="false">
      <c r="A1880" s="33" t="n">
        <v>1000</v>
      </c>
      <c r="B1880" s="33" t="s">
        <v>1804</v>
      </c>
      <c r="C1880" s="33"/>
      <c r="D1880" s="33"/>
      <c r="E1880" s="33" t="n">
        <v>54</v>
      </c>
      <c r="F1880" s="33" t="s">
        <v>2161</v>
      </c>
      <c r="G1880" s="33" t="s">
        <v>1796</v>
      </c>
      <c r="H1880" s="33" t="n">
        <v>2</v>
      </c>
      <c r="I1880" s="33" t="n">
        <v>2</v>
      </c>
      <c r="J1880" s="33" t="n">
        <v>2</v>
      </c>
      <c r="K1880" s="32" t="n">
        <v>1000</v>
      </c>
      <c r="L1880" s="33" t="str">
        <f aca="false">IF($B1880="","",IFERROR(INDEX('Code Mapping'!$D$5:$D$1753,MATCH($B1880,'Code Mapping'!$A$5:$A$1753,0)),"Unmapped"))</f>
        <v>Unmapped</v>
      </c>
      <c r="M1880" s="33" t="str">
        <f aca="false">IF($B1880="","",IFERROR(INDEX('Code Mapping'!$E$5:$E$1753,MATCH($B1880,'Code Mapping'!$A$5:$A$1753,0)),"Unmapped"))</f>
        <v>Unmapped</v>
      </c>
      <c r="N1880" s="33" t="str">
        <f aca="false">IF($F1880="","",$F1880)</f>
        <v>LEGO Shows Qatar</v>
      </c>
    </row>
    <row r="1881" customFormat="false" ht="15" hidden="false" customHeight="false" outlineLevel="0" collapsed="false">
      <c r="A1881" s="33" t="n">
        <v>476</v>
      </c>
      <c r="B1881" s="33" t="s">
        <v>1803</v>
      </c>
      <c r="C1881" s="33" t="s">
        <v>1798</v>
      </c>
      <c r="D1881" s="33"/>
      <c r="E1881" s="33" t="n">
        <v>54</v>
      </c>
      <c r="F1881" s="33" t="s">
        <v>2161</v>
      </c>
      <c r="G1881" s="33" t="s">
        <v>1796</v>
      </c>
      <c r="H1881" s="33" t="n">
        <v>1</v>
      </c>
      <c r="I1881" s="33" t="n">
        <v>1</v>
      </c>
      <c r="J1881" s="33" t="n">
        <v>1</v>
      </c>
      <c r="K1881" s="32" t="n">
        <v>500</v>
      </c>
      <c r="L1881" s="33" t="str">
        <f aca="false">IF($B1881="","",IFERROR(INDEX('Code Mapping'!$D$5:$D$1753,MATCH($B1881,'Code Mapping'!$A$5:$A$1753,0)),"Unmapped"))</f>
        <v>Unmapped</v>
      </c>
      <c r="M1881" s="33" t="str">
        <f aca="false">IF($B1881="","",IFERROR(INDEX('Code Mapping'!$E$5:$E$1753,MATCH($B1881,'Code Mapping'!$A$5:$A$1753,0)),"Unmapped"))</f>
        <v>Unmapped</v>
      </c>
      <c r="N1881" s="33" t="str">
        <f aca="false">IF($F1881="","",$F1881)</f>
        <v>LEGO Shows Qatar</v>
      </c>
    </row>
    <row r="1882" customFormat="false" ht="15" hidden="false" customHeight="false" outlineLevel="0" collapsed="false">
      <c r="A1882" s="33" t="n">
        <v>440</v>
      </c>
      <c r="B1882" s="33" t="s">
        <v>1802</v>
      </c>
      <c r="C1882" s="33" t="s">
        <v>1798</v>
      </c>
      <c r="D1882" s="33"/>
      <c r="E1882" s="33" t="n">
        <v>54</v>
      </c>
      <c r="F1882" s="33" t="s">
        <v>2161</v>
      </c>
      <c r="G1882" s="33" t="s">
        <v>1796</v>
      </c>
      <c r="H1882" s="33" t="n">
        <v>1</v>
      </c>
      <c r="I1882" s="33" t="n">
        <v>5</v>
      </c>
      <c r="J1882" s="33" t="n">
        <v>5</v>
      </c>
      <c r="K1882" s="32" t="n">
        <v>2500</v>
      </c>
      <c r="L1882" s="33" t="str">
        <f aca="false">IF($B1882="","",IFERROR(INDEX('Code Mapping'!$D$5:$D$1753,MATCH($B1882,'Code Mapping'!$A$5:$A$1753,0)),"Unmapped"))</f>
        <v>Unmapped</v>
      </c>
      <c r="M1882" s="33" t="str">
        <f aca="false">IF($B1882="","",IFERROR(INDEX('Code Mapping'!$E$5:$E$1753,MATCH($B1882,'Code Mapping'!$A$5:$A$1753,0)),"Unmapped"))</f>
        <v>Unmapped</v>
      </c>
      <c r="N1882" s="33" t="str">
        <f aca="false">IF($F1882="","",$F1882)</f>
        <v>LEGO Shows Qatar</v>
      </c>
    </row>
    <row r="1883" customFormat="false" ht="15" hidden="false" customHeight="false" outlineLevel="0" collapsed="false">
      <c r="A1883" s="33" t="n">
        <v>511</v>
      </c>
      <c r="B1883" s="33" t="s">
        <v>1800</v>
      </c>
      <c r="C1883" s="33" t="s">
        <v>1801</v>
      </c>
      <c r="D1883" s="33"/>
      <c r="E1883" s="33" t="n">
        <v>54</v>
      </c>
      <c r="F1883" s="33" t="s">
        <v>2161</v>
      </c>
      <c r="G1883" s="33" t="s">
        <v>1796</v>
      </c>
      <c r="H1883" s="33" t="n">
        <v>1</v>
      </c>
      <c r="I1883" s="33" t="n">
        <v>1</v>
      </c>
      <c r="J1883" s="33" t="n">
        <v>1</v>
      </c>
      <c r="K1883" s="32" t="n">
        <v>500</v>
      </c>
      <c r="L1883" s="33" t="str">
        <f aca="false">IF($B1883="","",IFERROR(INDEX('Code Mapping'!$D$5:$D$1753,MATCH($B1883,'Code Mapping'!$A$5:$A$1753,0)),"Unmapped"))</f>
        <v>Unmapped</v>
      </c>
      <c r="M1883" s="33" t="str">
        <f aca="false">IF($B1883="","",IFERROR(INDEX('Code Mapping'!$E$5:$E$1753,MATCH($B1883,'Code Mapping'!$A$5:$A$1753,0)),"Unmapped"))</f>
        <v>Unmapped</v>
      </c>
      <c r="N1883" s="33" t="str">
        <f aca="false">IF($F1883="","",$F1883)</f>
        <v>LEGO Shows Qatar</v>
      </c>
    </row>
    <row r="1884" customFormat="false" ht="15" hidden="false" customHeight="false" outlineLevel="0" collapsed="false">
      <c r="A1884" s="33" t="n">
        <v>475</v>
      </c>
      <c r="B1884" s="33" t="s">
        <v>1799</v>
      </c>
      <c r="C1884" s="33" t="s">
        <v>1798</v>
      </c>
      <c r="D1884" s="33"/>
      <c r="E1884" s="33" t="n">
        <v>54</v>
      </c>
      <c r="F1884" s="33" t="s">
        <v>2161</v>
      </c>
      <c r="G1884" s="33" t="s">
        <v>1796</v>
      </c>
      <c r="H1884" s="33" t="n">
        <v>1</v>
      </c>
      <c r="I1884" s="33" t="n">
        <v>1</v>
      </c>
      <c r="J1884" s="33" t="n">
        <v>1</v>
      </c>
      <c r="K1884" s="32" t="n">
        <v>500</v>
      </c>
      <c r="L1884" s="33" t="str">
        <f aca="false">IF($B1884="","",IFERROR(INDEX('Code Mapping'!$D$5:$D$1753,MATCH($B1884,'Code Mapping'!$A$5:$A$1753,0)),"Unmapped"))</f>
        <v>Unmapped</v>
      </c>
      <c r="M1884" s="33" t="str">
        <f aca="false">IF($B1884="","",IFERROR(INDEX('Code Mapping'!$E$5:$E$1753,MATCH($B1884,'Code Mapping'!$A$5:$A$1753,0)),"Unmapped"))</f>
        <v>Unmapped</v>
      </c>
      <c r="N1884" s="33" t="str">
        <f aca="false">IF($F1884="","",$F1884)</f>
        <v>LEGO Shows Qatar</v>
      </c>
    </row>
    <row r="1885" customFormat="false" ht="15" hidden="false" customHeight="false" outlineLevel="0" collapsed="false">
      <c r="A1885" s="33" t="n">
        <v>439</v>
      </c>
      <c r="B1885" s="33" t="s">
        <v>1797</v>
      </c>
      <c r="C1885" s="33" t="s">
        <v>1798</v>
      </c>
      <c r="D1885" s="33"/>
      <c r="E1885" s="33" t="n">
        <v>54</v>
      </c>
      <c r="F1885" s="33" t="s">
        <v>2161</v>
      </c>
      <c r="G1885" s="33" t="s">
        <v>1796</v>
      </c>
      <c r="H1885" s="33" t="n">
        <v>1</v>
      </c>
      <c r="I1885" s="33" t="n">
        <v>1</v>
      </c>
      <c r="J1885" s="33" t="n">
        <v>1</v>
      </c>
      <c r="K1885" s="32" t="n">
        <v>500</v>
      </c>
      <c r="L1885" s="33" t="str">
        <f aca="false">IF($B1885="","",IFERROR(INDEX('Code Mapping'!$D$5:$D$1753,MATCH($B1885,'Code Mapping'!$A$5:$A$1753,0)),"Unmapped"))</f>
        <v>Unmapped</v>
      </c>
      <c r="M1885" s="33" t="str">
        <f aca="false">IF($B1885="","",IFERROR(INDEX('Code Mapping'!$E$5:$E$1753,MATCH($B1885,'Code Mapping'!$A$5:$A$1753,0)),"Unmapped"))</f>
        <v>Unmapped</v>
      </c>
      <c r="N1885" s="33" t="str">
        <f aca="false">IF($F1885="","",$F1885)</f>
        <v>LEGO Shows Qatar</v>
      </c>
    </row>
    <row r="1886" customFormat="false" ht="15" hidden="false" customHeight="false" outlineLevel="0" collapsed="false">
      <c r="A1886" s="33" t="n">
        <v>996</v>
      </c>
      <c r="B1886" s="33" t="s">
        <v>1795</v>
      </c>
      <c r="C1886" s="33"/>
      <c r="D1886" s="33"/>
      <c r="E1886" s="33" t="n">
        <v>54</v>
      </c>
      <c r="F1886" s="33" t="s">
        <v>2161</v>
      </c>
      <c r="G1886" s="33" t="s">
        <v>1796</v>
      </c>
      <c r="H1886" s="33" t="n">
        <v>1</v>
      </c>
      <c r="I1886" s="33" t="n">
        <v>1</v>
      </c>
      <c r="J1886" s="33" t="n">
        <v>1</v>
      </c>
      <c r="K1886" s="32" t="n">
        <v>500</v>
      </c>
      <c r="L1886" s="33" t="str">
        <f aca="false">IF($B1886="","",IFERROR(INDEX('Code Mapping'!$D$5:$D$1753,MATCH($B1886,'Code Mapping'!$A$5:$A$1753,0)),"Unmapped"))</f>
        <v>Unmapped</v>
      </c>
      <c r="M1886" s="33" t="str">
        <f aca="false">IF($B1886="","",IFERROR(INDEX('Code Mapping'!$E$5:$E$1753,MATCH($B1886,'Code Mapping'!$A$5:$A$1753,0)),"Unmapped"))</f>
        <v>Unmapped</v>
      </c>
      <c r="N1886" s="33" t="str">
        <f aca="false">IF($F1886="","",$F1886)</f>
        <v>LEGO Shows Qatar</v>
      </c>
    </row>
    <row r="1887" customFormat="false" ht="15" hidden="false" customHeight="false" outlineLevel="0" collapsed="false">
      <c r="A1887" s="33" t="n">
        <v>139</v>
      </c>
      <c r="B1887" s="33" t="s">
        <v>1093</v>
      </c>
      <c r="C1887" s="33"/>
      <c r="D1887" s="33"/>
      <c r="E1887" s="33" t="n">
        <v>41</v>
      </c>
      <c r="F1887" s="33" t="s">
        <v>36</v>
      </c>
      <c r="G1887" s="33" t="s">
        <v>1796</v>
      </c>
      <c r="H1887" s="33" t="n">
        <v>2</v>
      </c>
      <c r="I1887" s="33" t="n">
        <v>4</v>
      </c>
      <c r="J1887" s="33" t="n">
        <v>4</v>
      </c>
      <c r="K1887" s="32" t="n">
        <v>7</v>
      </c>
      <c r="L1887" s="33" t="str">
        <f aca="false">IF($B1887="","",IFERROR(INDEX('Code Mapping'!$D$5:$D$1753,MATCH($B1887,'Code Mapping'!$A$5:$A$1753,0)),"Unmapped"))</f>
        <v>Unmapped</v>
      </c>
      <c r="M1887" s="33" t="str">
        <f aca="false">IF($B1887="","",IFERROR(INDEX('Code Mapping'!$E$5:$E$1753,MATCH($B1887,'Code Mapping'!$A$5:$A$1753,0)),"Unmapped"))</f>
        <v>Unmapped</v>
      </c>
      <c r="N1887" s="33" t="str">
        <f aca="false">IF($F1887="","",$F1887)</f>
        <v>InflataPark</v>
      </c>
    </row>
    <row r="1888" customFormat="false" ht="15" hidden="false" customHeight="false" outlineLevel="0" collapsed="false">
      <c r="A1888" s="33" t="n">
        <v>1036</v>
      </c>
      <c r="B1888" s="33" t="s">
        <v>1862</v>
      </c>
      <c r="C1888" s="33" t="s">
        <v>1863</v>
      </c>
      <c r="D1888" s="33"/>
      <c r="E1888" s="33" t="n">
        <v>54</v>
      </c>
      <c r="F1888" s="33" t="s">
        <v>2161</v>
      </c>
      <c r="G1888" s="33" t="s">
        <v>1796</v>
      </c>
      <c r="H1888" s="33" t="n">
        <v>2</v>
      </c>
      <c r="I1888" s="33" t="n">
        <v>8</v>
      </c>
      <c r="J1888" s="33" t="n">
        <v>8</v>
      </c>
      <c r="K1888" s="32" t="n">
        <v>200</v>
      </c>
      <c r="L1888" s="33" t="str">
        <f aca="false">IF($B1888="","",IFERROR(INDEX('Code Mapping'!$D$5:$D$1753,MATCH($B1888,'Code Mapping'!$A$5:$A$1753,0)),"Unmapped"))</f>
        <v>Unmapped</v>
      </c>
      <c r="M1888" s="33" t="str">
        <f aca="false">IF($B1888="","",IFERROR(INDEX('Code Mapping'!$E$5:$E$1753,MATCH($B1888,'Code Mapping'!$A$5:$A$1753,0)),"Unmapped"))</f>
        <v>Unmapped</v>
      </c>
      <c r="N1888" s="33" t="str">
        <f aca="false">IF($F1888="","",$F1888)</f>
        <v>LEGO Shows Qatar</v>
      </c>
    </row>
    <row r="1889" customFormat="false" ht="15" hidden="false" customHeight="false" outlineLevel="0" collapsed="false">
      <c r="A1889" s="33" t="n">
        <v>455</v>
      </c>
      <c r="B1889" s="33" t="s">
        <v>1825</v>
      </c>
      <c r="C1889" s="33" t="s">
        <v>1798</v>
      </c>
      <c r="D1889" s="33"/>
      <c r="E1889" s="33" t="n">
        <v>54</v>
      </c>
      <c r="F1889" s="33" t="s">
        <v>2161</v>
      </c>
      <c r="G1889" s="33" t="s">
        <v>1796</v>
      </c>
      <c r="H1889" s="33" t="n">
        <v>1</v>
      </c>
      <c r="I1889" s="33" t="n">
        <v>1</v>
      </c>
      <c r="J1889" s="33" t="n">
        <v>1</v>
      </c>
      <c r="K1889" s="32" t="n">
        <v>500</v>
      </c>
      <c r="L1889" s="33" t="str">
        <f aca="false">IF($B1889="","",IFERROR(INDEX('Code Mapping'!$D$5:$D$1753,MATCH($B1889,'Code Mapping'!$A$5:$A$1753,0)),"Unmapped"))</f>
        <v>Unmapped</v>
      </c>
      <c r="M1889" s="33" t="str">
        <f aca="false">IF($B1889="","",IFERROR(INDEX('Code Mapping'!$E$5:$E$1753,MATCH($B1889,'Code Mapping'!$A$5:$A$1753,0)),"Unmapped"))</f>
        <v>Unmapped</v>
      </c>
      <c r="N1889" s="33" t="str">
        <f aca="false">IF($F1889="","",$F1889)</f>
        <v>LEGO Shows Qatar</v>
      </c>
    </row>
    <row r="1890" customFormat="false" ht="15" hidden="false" customHeight="false" outlineLevel="0" collapsed="false">
      <c r="A1890" s="33" t="n">
        <v>442</v>
      </c>
      <c r="B1890" s="33" t="s">
        <v>1808</v>
      </c>
      <c r="C1890" s="33" t="s">
        <v>1798</v>
      </c>
      <c r="D1890" s="33"/>
      <c r="E1890" s="33" t="n">
        <v>54</v>
      </c>
      <c r="F1890" s="33" t="s">
        <v>2161</v>
      </c>
      <c r="G1890" s="33" t="s">
        <v>1796</v>
      </c>
      <c r="H1890" s="33" t="n">
        <v>1</v>
      </c>
      <c r="I1890" s="33" t="n">
        <v>1</v>
      </c>
      <c r="J1890" s="33" t="n">
        <v>1</v>
      </c>
      <c r="K1890" s="32" t="n">
        <v>500</v>
      </c>
      <c r="L1890" s="33" t="str">
        <f aca="false">IF($B1890="","",IFERROR(INDEX('Code Mapping'!$D$5:$D$1753,MATCH($B1890,'Code Mapping'!$A$5:$A$1753,0)),"Unmapped"))</f>
        <v>Unmapped</v>
      </c>
      <c r="M1890" s="33" t="str">
        <f aca="false">IF($B1890="","",IFERROR(INDEX('Code Mapping'!$E$5:$E$1753,MATCH($B1890,'Code Mapping'!$A$5:$A$1753,0)),"Unmapped"))</f>
        <v>Unmapped</v>
      </c>
      <c r="N1890" s="33" t="str">
        <f aca="false">IF($F1890="","",$F1890)</f>
        <v>LEGO Shows Qatar</v>
      </c>
    </row>
    <row r="1891" customFormat="false" ht="15" hidden="false" customHeight="false" outlineLevel="0" collapsed="false">
      <c r="A1891" s="33" t="n">
        <v>457</v>
      </c>
      <c r="B1891" s="33" t="s">
        <v>1827</v>
      </c>
      <c r="C1891" s="33" t="s">
        <v>1798</v>
      </c>
      <c r="D1891" s="33"/>
      <c r="E1891" s="33" t="n">
        <v>54</v>
      </c>
      <c r="F1891" s="33" t="s">
        <v>2161</v>
      </c>
      <c r="G1891" s="33" t="s">
        <v>1796</v>
      </c>
      <c r="H1891" s="33" t="n">
        <v>1</v>
      </c>
      <c r="I1891" s="33" t="n">
        <v>1</v>
      </c>
      <c r="J1891" s="33" t="n">
        <v>1</v>
      </c>
      <c r="K1891" s="32" t="n">
        <v>500</v>
      </c>
      <c r="L1891" s="33" t="str">
        <f aca="false">IF($B1891="","",IFERROR(INDEX('Code Mapping'!$D$5:$D$1753,MATCH($B1891,'Code Mapping'!$A$5:$A$1753,0)),"Unmapped"))</f>
        <v>Unmapped</v>
      </c>
      <c r="M1891" s="33" t="str">
        <f aca="false">IF($B1891="","",IFERROR(INDEX('Code Mapping'!$E$5:$E$1753,MATCH($B1891,'Code Mapping'!$A$5:$A$1753,0)),"Unmapped"))</f>
        <v>Unmapped</v>
      </c>
      <c r="N1891" s="33" t="str">
        <f aca="false">IF($F1891="","",$F1891)</f>
        <v>LEGO Shows Qatar</v>
      </c>
    </row>
    <row r="1892" customFormat="false" ht="15" hidden="false" customHeight="false" outlineLevel="0" collapsed="false">
      <c r="A1892" s="33" t="n">
        <v>1040</v>
      </c>
      <c r="B1892" s="33" t="s">
        <v>1844</v>
      </c>
      <c r="C1892" s="33"/>
      <c r="D1892" s="33"/>
      <c r="E1892" s="33" t="n">
        <v>54</v>
      </c>
      <c r="F1892" s="33" t="s">
        <v>2161</v>
      </c>
      <c r="G1892" s="33" t="s">
        <v>1796</v>
      </c>
      <c r="H1892" s="33" t="n">
        <v>1</v>
      </c>
      <c r="I1892" s="33" t="n">
        <v>1</v>
      </c>
      <c r="J1892" s="33" t="n">
        <v>1</v>
      </c>
      <c r="K1892" s="32" t="n">
        <v>500</v>
      </c>
      <c r="L1892" s="33" t="str">
        <f aca="false">IF($B1892="","",IFERROR(INDEX('Code Mapping'!$D$5:$D$1753,MATCH($B1892,'Code Mapping'!$A$5:$A$1753,0)),"Unmapped"))</f>
        <v>Unmapped</v>
      </c>
      <c r="M1892" s="33" t="str">
        <f aca="false">IF($B1892="","",IFERROR(INDEX('Code Mapping'!$E$5:$E$1753,MATCH($B1892,'Code Mapping'!$A$5:$A$1753,0)),"Unmapped"))</f>
        <v>Unmapped</v>
      </c>
      <c r="N1892" s="33" t="str">
        <f aca="false">IF($F1892="","",$F1892)</f>
        <v>LEGO Shows Qatar</v>
      </c>
    </row>
    <row r="1893" customFormat="false" ht="15" hidden="false" customHeight="false" outlineLevel="0" collapsed="false">
      <c r="A1893" s="33" t="n">
        <v>1026</v>
      </c>
      <c r="B1893" s="33" t="s">
        <v>1828</v>
      </c>
      <c r="C1893" s="33"/>
      <c r="D1893" s="33"/>
      <c r="E1893" s="33" t="n">
        <v>54</v>
      </c>
      <c r="F1893" s="33" t="s">
        <v>2161</v>
      </c>
      <c r="G1893" s="33" t="s">
        <v>1796</v>
      </c>
      <c r="H1893" s="33" t="n">
        <v>1</v>
      </c>
      <c r="I1893" s="33" t="n">
        <v>1</v>
      </c>
      <c r="J1893" s="33" t="n">
        <v>1</v>
      </c>
      <c r="K1893" s="32" t="n">
        <v>500</v>
      </c>
      <c r="L1893" s="33" t="str">
        <f aca="false">IF($B1893="","",IFERROR(INDEX('Code Mapping'!$D$5:$D$1753,MATCH($B1893,'Code Mapping'!$A$5:$A$1753,0)),"Unmapped"))</f>
        <v>Unmapped</v>
      </c>
      <c r="M1893" s="33" t="str">
        <f aca="false">IF($B1893="","",IFERROR(INDEX('Code Mapping'!$E$5:$E$1753,MATCH($B1893,'Code Mapping'!$A$5:$A$1753,0)),"Unmapped"))</f>
        <v>Unmapped</v>
      </c>
      <c r="N1893" s="33" t="str">
        <f aca="false">IF($F1893="","",$F1893)</f>
        <v>LEGO Shows Qatar</v>
      </c>
    </row>
    <row r="1894" customFormat="false" ht="15" hidden="false" customHeight="false" outlineLevel="0" collapsed="false">
      <c r="A1894" s="33" t="n">
        <v>1106</v>
      </c>
      <c r="B1894" s="33" t="s">
        <v>1858</v>
      </c>
      <c r="C1894" s="33" t="s">
        <v>1859</v>
      </c>
      <c r="D1894" s="33"/>
      <c r="E1894" s="33" t="n">
        <v>54</v>
      </c>
      <c r="F1894" s="33" t="s">
        <v>2161</v>
      </c>
      <c r="G1894" s="33" t="s">
        <v>1796</v>
      </c>
      <c r="H1894" s="33" t="n">
        <v>1</v>
      </c>
      <c r="I1894" s="33" t="n">
        <v>4</v>
      </c>
      <c r="J1894" s="33" t="n">
        <v>4</v>
      </c>
      <c r="K1894" s="32" t="n">
        <v>250</v>
      </c>
      <c r="L1894" s="33" t="str">
        <f aca="false">IF($B1894="","",IFERROR(INDEX('Code Mapping'!$D$5:$D$1753,MATCH($B1894,'Code Mapping'!$A$5:$A$1753,0)),"Unmapped"))</f>
        <v>Unmapped</v>
      </c>
      <c r="M1894" s="33" t="str">
        <f aca="false">IF($B1894="","",IFERROR(INDEX('Code Mapping'!$E$5:$E$1753,MATCH($B1894,'Code Mapping'!$A$5:$A$1753,0)),"Unmapped"))</f>
        <v>Unmapped</v>
      </c>
      <c r="N1894" s="33" t="str">
        <f aca="false">IF($F1894="","",$F1894)</f>
        <v>LEGO Shows Qatar</v>
      </c>
    </row>
    <row r="1895" customFormat="false" ht="15" hidden="false" customHeight="false" outlineLevel="0" collapsed="false">
      <c r="A1895" s="33" t="n">
        <v>1055</v>
      </c>
      <c r="B1895" s="33" t="s">
        <v>1857</v>
      </c>
      <c r="C1895" s="33"/>
      <c r="D1895" s="33"/>
      <c r="E1895" s="33" t="n">
        <v>54</v>
      </c>
      <c r="F1895" s="33" t="s">
        <v>2161</v>
      </c>
      <c r="G1895" s="33" t="s">
        <v>1796</v>
      </c>
      <c r="H1895" s="33" t="n">
        <v>1</v>
      </c>
      <c r="I1895" s="33" t="n">
        <v>1</v>
      </c>
      <c r="J1895" s="33" t="n">
        <v>1</v>
      </c>
      <c r="K1895" s="32" t="n">
        <v>500</v>
      </c>
      <c r="L1895" s="33" t="str">
        <f aca="false">IF($B1895="","",IFERROR(INDEX('Code Mapping'!$D$5:$D$1753,MATCH($B1895,'Code Mapping'!$A$5:$A$1753,0)),"Unmapped"))</f>
        <v>Unmapped</v>
      </c>
      <c r="M1895" s="33" t="str">
        <f aca="false">IF($B1895="","",IFERROR(INDEX('Code Mapping'!$E$5:$E$1753,MATCH($B1895,'Code Mapping'!$A$5:$A$1753,0)),"Unmapped"))</f>
        <v>Unmapped</v>
      </c>
      <c r="N1895" s="33" t="str">
        <f aca="false">IF($F1895="","",$F1895)</f>
        <v>LEGO Shows Qatar</v>
      </c>
    </row>
    <row r="1896" customFormat="false" ht="15" hidden="false" customHeight="false" outlineLevel="0" collapsed="false">
      <c r="A1896" s="33" t="n">
        <v>1088</v>
      </c>
      <c r="B1896" s="33" t="s">
        <v>1856</v>
      </c>
      <c r="C1896" s="33"/>
      <c r="D1896" s="33"/>
      <c r="E1896" s="33" t="n">
        <v>54</v>
      </c>
      <c r="F1896" s="33" t="s">
        <v>2161</v>
      </c>
      <c r="G1896" s="33" t="s">
        <v>1796</v>
      </c>
      <c r="H1896" s="33" t="n">
        <v>1</v>
      </c>
      <c r="I1896" s="33" t="n">
        <v>1</v>
      </c>
      <c r="J1896" s="33" t="n">
        <v>1</v>
      </c>
      <c r="K1896" s="32" t="n">
        <v>500</v>
      </c>
      <c r="L1896" s="33" t="str">
        <f aca="false">IF($B1896="","",IFERROR(INDEX('Code Mapping'!$D$5:$D$1753,MATCH($B1896,'Code Mapping'!$A$5:$A$1753,0)),"Unmapped"))</f>
        <v>Unmapped</v>
      </c>
      <c r="M1896" s="33" t="str">
        <f aca="false">IF($B1896="","",IFERROR(INDEX('Code Mapping'!$E$5:$E$1753,MATCH($B1896,'Code Mapping'!$A$5:$A$1753,0)),"Unmapped"))</f>
        <v>Unmapped</v>
      </c>
      <c r="N1896" s="33" t="str">
        <f aca="false">IF($F1896="","",$F1896)</f>
        <v>LEGO Shows Qatar</v>
      </c>
    </row>
    <row r="1897" customFormat="false" ht="15" hidden="false" customHeight="false" outlineLevel="0" collapsed="false">
      <c r="A1897" s="33" t="n">
        <v>995</v>
      </c>
      <c r="B1897" s="33" t="s">
        <v>1855</v>
      </c>
      <c r="C1897" s="33"/>
      <c r="D1897" s="33"/>
      <c r="E1897" s="33" t="n">
        <v>54</v>
      </c>
      <c r="F1897" s="33" t="s">
        <v>2161</v>
      </c>
      <c r="G1897" s="33" t="s">
        <v>1796</v>
      </c>
      <c r="H1897" s="33" t="n">
        <v>1</v>
      </c>
      <c r="I1897" s="33" t="n">
        <v>1</v>
      </c>
      <c r="J1897" s="33" t="n">
        <v>1</v>
      </c>
      <c r="K1897" s="32" t="n">
        <v>500</v>
      </c>
      <c r="L1897" s="33" t="str">
        <f aca="false">IF($B1897="","",IFERROR(INDEX('Code Mapping'!$D$5:$D$1753,MATCH($B1897,'Code Mapping'!$A$5:$A$1753,0)),"Unmapped"))</f>
        <v>Unmapped</v>
      </c>
      <c r="M1897" s="33" t="str">
        <f aca="false">IF($B1897="","",IFERROR(INDEX('Code Mapping'!$E$5:$E$1753,MATCH($B1897,'Code Mapping'!$A$5:$A$1753,0)),"Unmapped"))</f>
        <v>Unmapped</v>
      </c>
      <c r="N1897" s="33" t="str">
        <f aca="false">IF($F1897="","",$F1897)</f>
        <v>LEGO Shows Qatar</v>
      </c>
    </row>
    <row r="1898" customFormat="false" ht="15" hidden="false" customHeight="false" outlineLevel="0" collapsed="false">
      <c r="A1898" s="33" t="n">
        <v>507</v>
      </c>
      <c r="B1898" s="33" t="s">
        <v>1853</v>
      </c>
      <c r="C1898" s="33" t="s">
        <v>1854</v>
      </c>
      <c r="D1898" s="33"/>
      <c r="E1898" s="33" t="n">
        <v>54</v>
      </c>
      <c r="F1898" s="33" t="s">
        <v>2161</v>
      </c>
      <c r="G1898" s="33" t="s">
        <v>1796</v>
      </c>
      <c r="H1898" s="33" t="n">
        <v>1</v>
      </c>
      <c r="I1898" s="33" t="n">
        <v>1</v>
      </c>
      <c r="J1898" s="33" t="n">
        <v>1</v>
      </c>
      <c r="K1898" s="32" t="n">
        <v>500</v>
      </c>
      <c r="L1898" s="33" t="str">
        <f aca="false">IF($B1898="","",IFERROR(INDEX('Code Mapping'!$D$5:$D$1753,MATCH($B1898,'Code Mapping'!$A$5:$A$1753,0)),"Unmapped"))</f>
        <v>Unmapped</v>
      </c>
      <c r="M1898" s="33" t="str">
        <f aca="false">IF($B1898="","",IFERROR(INDEX('Code Mapping'!$E$5:$E$1753,MATCH($B1898,'Code Mapping'!$A$5:$A$1753,0)),"Unmapped"))</f>
        <v>Unmapped</v>
      </c>
      <c r="N1898" s="33" t="str">
        <f aca="false">IF($F1898="","",$F1898)</f>
        <v>LEGO Shows Qatar</v>
      </c>
    </row>
    <row r="1899" customFormat="false" ht="15" hidden="false" customHeight="false" outlineLevel="0" collapsed="false">
      <c r="A1899" s="33" t="n">
        <v>1087</v>
      </c>
      <c r="B1899" s="33" t="s">
        <v>1851</v>
      </c>
      <c r="C1899" s="33"/>
      <c r="D1899" s="33"/>
      <c r="E1899" s="33" t="n">
        <v>54</v>
      </c>
      <c r="F1899" s="33" t="s">
        <v>2161</v>
      </c>
      <c r="G1899" s="33" t="s">
        <v>1796</v>
      </c>
      <c r="H1899" s="33" t="n">
        <v>1</v>
      </c>
      <c r="I1899" s="33" t="n">
        <v>1</v>
      </c>
      <c r="J1899" s="33" t="n">
        <v>1</v>
      </c>
      <c r="K1899" s="32" t="n">
        <v>500</v>
      </c>
      <c r="L1899" s="33" t="str">
        <f aca="false">IF($B1899="","",IFERROR(INDEX('Code Mapping'!$D$5:$D$1753,MATCH($B1899,'Code Mapping'!$A$5:$A$1753,0)),"Unmapped"))</f>
        <v>Unmapped</v>
      </c>
      <c r="M1899" s="33" t="str">
        <f aca="false">IF($B1899="","",IFERROR(INDEX('Code Mapping'!$E$5:$E$1753,MATCH($B1899,'Code Mapping'!$A$5:$A$1753,0)),"Unmapped"))</f>
        <v>Unmapped</v>
      </c>
      <c r="N1899" s="33" t="str">
        <f aca="false">IF($F1899="","",$F1899)</f>
        <v>LEGO Shows Qatar</v>
      </c>
    </row>
    <row r="1900" customFormat="false" ht="15" hidden="false" customHeight="false" outlineLevel="0" collapsed="false">
      <c r="A1900" s="33" t="n">
        <v>471</v>
      </c>
      <c r="B1900" s="33" t="s">
        <v>1850</v>
      </c>
      <c r="C1900" s="33" t="s">
        <v>1798</v>
      </c>
      <c r="D1900" s="33"/>
      <c r="E1900" s="33" t="n">
        <v>54</v>
      </c>
      <c r="F1900" s="33" t="s">
        <v>2161</v>
      </c>
      <c r="G1900" s="33" t="s">
        <v>1796</v>
      </c>
      <c r="H1900" s="33" t="n">
        <v>1</v>
      </c>
      <c r="I1900" s="33" t="n">
        <v>1</v>
      </c>
      <c r="J1900" s="33" t="n">
        <v>1</v>
      </c>
      <c r="K1900" s="32" t="n">
        <v>500</v>
      </c>
      <c r="L1900" s="33" t="str">
        <f aca="false">IF($B1900="","",IFERROR(INDEX('Code Mapping'!$D$5:$D$1753,MATCH($B1900,'Code Mapping'!$A$5:$A$1753,0)),"Unmapped"))</f>
        <v>Unmapped</v>
      </c>
      <c r="M1900" s="33" t="str">
        <f aca="false">IF($B1900="","",IFERROR(INDEX('Code Mapping'!$E$5:$E$1753,MATCH($B1900,'Code Mapping'!$A$5:$A$1753,0)),"Unmapped"))</f>
        <v>Unmapped</v>
      </c>
      <c r="N1900" s="33" t="str">
        <f aca="false">IF($F1900="","",$F1900)</f>
        <v>LEGO Shows Qatar</v>
      </c>
    </row>
    <row r="1901" customFormat="false" ht="15" hidden="false" customHeight="false" outlineLevel="0" collapsed="false">
      <c r="A1901" s="33" t="n">
        <v>470</v>
      </c>
      <c r="B1901" s="33" t="s">
        <v>1849</v>
      </c>
      <c r="C1901" s="33" t="s">
        <v>1798</v>
      </c>
      <c r="D1901" s="33"/>
      <c r="E1901" s="33" t="n">
        <v>54</v>
      </c>
      <c r="F1901" s="33" t="s">
        <v>2161</v>
      </c>
      <c r="G1901" s="33" t="s">
        <v>1796</v>
      </c>
      <c r="H1901" s="33" t="n">
        <v>1</v>
      </c>
      <c r="I1901" s="33" t="n">
        <v>1</v>
      </c>
      <c r="J1901" s="33" t="n">
        <v>1</v>
      </c>
      <c r="K1901" s="32" t="n">
        <v>500</v>
      </c>
      <c r="L1901" s="33" t="str">
        <f aca="false">IF($B1901="","",IFERROR(INDEX('Code Mapping'!$D$5:$D$1753,MATCH($B1901,'Code Mapping'!$A$5:$A$1753,0)),"Unmapped"))</f>
        <v>Unmapped</v>
      </c>
      <c r="M1901" s="33" t="str">
        <f aca="false">IF($B1901="","",IFERROR(INDEX('Code Mapping'!$E$5:$E$1753,MATCH($B1901,'Code Mapping'!$A$5:$A$1753,0)),"Unmapped"))</f>
        <v>Unmapped</v>
      </c>
      <c r="N1901" s="33" t="str">
        <f aca="false">IF($F1901="","",$F1901)</f>
        <v>LEGO Shows Qatar</v>
      </c>
    </row>
    <row r="1902" customFormat="false" ht="15" hidden="false" customHeight="false" outlineLevel="0" collapsed="false">
      <c r="A1902" s="33" t="n">
        <v>505</v>
      </c>
      <c r="B1902" s="33" t="s">
        <v>1847</v>
      </c>
      <c r="C1902" s="33" t="s">
        <v>1848</v>
      </c>
      <c r="D1902" s="33"/>
      <c r="E1902" s="33" t="n">
        <v>54</v>
      </c>
      <c r="F1902" s="33" t="s">
        <v>2161</v>
      </c>
      <c r="G1902" s="33" t="s">
        <v>1796</v>
      </c>
      <c r="H1902" s="33" t="n">
        <v>1</v>
      </c>
      <c r="I1902" s="33" t="n">
        <v>1</v>
      </c>
      <c r="J1902" s="33" t="n">
        <v>1</v>
      </c>
      <c r="K1902" s="32" t="n">
        <v>500</v>
      </c>
      <c r="L1902" s="33" t="str">
        <f aca="false">IF($B1902="","",IFERROR(INDEX('Code Mapping'!$D$5:$D$1753,MATCH($B1902,'Code Mapping'!$A$5:$A$1753,0)),"Unmapped"))</f>
        <v>Unmapped</v>
      </c>
      <c r="M1902" s="33" t="str">
        <f aca="false">IF($B1902="","",IFERROR(INDEX('Code Mapping'!$E$5:$E$1753,MATCH($B1902,'Code Mapping'!$A$5:$A$1753,0)),"Unmapped"))</f>
        <v>Unmapped</v>
      </c>
      <c r="N1902" s="33" t="str">
        <f aca="false">IF($F1902="","",$F1902)</f>
        <v>LEGO Shows Qatar</v>
      </c>
    </row>
    <row r="1903" customFormat="false" ht="15" hidden="false" customHeight="false" outlineLevel="0" collapsed="false">
      <c r="A1903" s="33" t="n">
        <v>971</v>
      </c>
      <c r="B1903" s="33" t="s">
        <v>1846</v>
      </c>
      <c r="C1903" s="33"/>
      <c r="D1903" s="33"/>
      <c r="E1903" s="33" t="n">
        <v>54</v>
      </c>
      <c r="F1903" s="33" t="s">
        <v>2161</v>
      </c>
      <c r="G1903" s="33" t="s">
        <v>1796</v>
      </c>
      <c r="H1903" s="33" t="n">
        <v>1</v>
      </c>
      <c r="I1903" s="33" t="n">
        <v>1</v>
      </c>
      <c r="J1903" s="33" t="n">
        <v>1</v>
      </c>
      <c r="K1903" s="32" t="n">
        <v>500</v>
      </c>
      <c r="L1903" s="33" t="str">
        <f aca="false">IF($B1903="","",IFERROR(INDEX('Code Mapping'!$D$5:$D$1753,MATCH($B1903,'Code Mapping'!$A$5:$A$1753,0)),"Unmapped"))</f>
        <v>Unmapped</v>
      </c>
      <c r="M1903" s="33" t="str">
        <f aca="false">IF($B1903="","",IFERROR(INDEX('Code Mapping'!$E$5:$E$1753,MATCH($B1903,'Code Mapping'!$A$5:$A$1753,0)),"Unmapped"))</f>
        <v>Unmapped</v>
      </c>
      <c r="N1903" s="33" t="str">
        <f aca="false">IF($F1903="","",$F1903)</f>
        <v>LEGO Shows Qatar</v>
      </c>
    </row>
    <row r="1904" customFormat="false" ht="15" hidden="false" customHeight="false" outlineLevel="0" collapsed="false">
      <c r="A1904" s="33" t="n">
        <v>468</v>
      </c>
      <c r="B1904" s="33" t="s">
        <v>1845</v>
      </c>
      <c r="C1904" s="33" t="s">
        <v>1798</v>
      </c>
      <c r="D1904" s="33"/>
      <c r="E1904" s="33" t="n">
        <v>54</v>
      </c>
      <c r="F1904" s="33" t="s">
        <v>2161</v>
      </c>
      <c r="G1904" s="33" t="s">
        <v>1796</v>
      </c>
      <c r="H1904" s="33" t="n">
        <v>1</v>
      </c>
      <c r="I1904" s="33" t="n">
        <v>1</v>
      </c>
      <c r="J1904" s="33" t="n">
        <v>1</v>
      </c>
      <c r="K1904" s="32" t="n">
        <v>500</v>
      </c>
      <c r="L1904" s="33" t="str">
        <f aca="false">IF($B1904="","",IFERROR(INDEX('Code Mapping'!$D$5:$D$1753,MATCH($B1904,'Code Mapping'!$A$5:$A$1753,0)),"Unmapped"))</f>
        <v>Unmapped</v>
      </c>
      <c r="M1904" s="33" t="str">
        <f aca="false">IF($B1904="","",IFERROR(INDEX('Code Mapping'!$E$5:$E$1753,MATCH($B1904,'Code Mapping'!$A$5:$A$1753,0)),"Unmapped"))</f>
        <v>Unmapped</v>
      </c>
      <c r="N1904" s="33" t="str">
        <f aca="false">IF($F1904="","",$F1904)</f>
        <v>LEGO Shows Qatar</v>
      </c>
    </row>
    <row r="1905" customFormat="false" ht="15" hidden="false" customHeight="false" outlineLevel="0" collapsed="false">
      <c r="A1905" s="33" t="n">
        <v>472</v>
      </c>
      <c r="B1905" s="33" t="s">
        <v>1852</v>
      </c>
      <c r="C1905" s="33" t="s">
        <v>1798</v>
      </c>
      <c r="D1905" s="33"/>
      <c r="E1905" s="33" t="n">
        <v>54</v>
      </c>
      <c r="F1905" s="33" t="s">
        <v>2161</v>
      </c>
      <c r="G1905" s="33" t="s">
        <v>1796</v>
      </c>
      <c r="H1905" s="33" t="n">
        <v>1</v>
      </c>
      <c r="I1905" s="33" t="n">
        <v>5</v>
      </c>
      <c r="J1905" s="33" t="n">
        <v>5</v>
      </c>
      <c r="K1905" s="32" t="n">
        <v>2500</v>
      </c>
      <c r="L1905" s="33" t="str">
        <f aca="false">IF($B1905="","",IFERROR(INDEX('Code Mapping'!$D$5:$D$1753,MATCH($B1905,'Code Mapping'!$A$5:$A$1753,0)),"Unmapped"))</f>
        <v>Unmapped</v>
      </c>
      <c r="M1905" s="33" t="str">
        <f aca="false">IF($B1905="","",IFERROR(INDEX('Code Mapping'!$E$5:$E$1753,MATCH($B1905,'Code Mapping'!$A$5:$A$1753,0)),"Unmapped"))</f>
        <v>Unmapped</v>
      </c>
      <c r="N1905" s="33" t="str">
        <f aca="false">IF($F1905="","",$F1905)</f>
        <v>LEGO Shows Qatar</v>
      </c>
    </row>
    <row r="1906" customFormat="false" ht="15" hidden="false" customHeight="false" outlineLevel="0" collapsed="false">
      <c r="A1906" s="33" t="n">
        <v>992</v>
      </c>
      <c r="B1906" s="33" t="s">
        <v>1843</v>
      </c>
      <c r="C1906" s="33"/>
      <c r="D1906" s="33"/>
      <c r="E1906" s="33" t="n">
        <v>54</v>
      </c>
      <c r="F1906" s="33" t="s">
        <v>2161</v>
      </c>
      <c r="G1906" s="33" t="s">
        <v>1796</v>
      </c>
      <c r="H1906" s="33" t="n">
        <v>1</v>
      </c>
      <c r="I1906" s="33" t="n">
        <v>1</v>
      </c>
      <c r="J1906" s="33" t="n">
        <v>1</v>
      </c>
      <c r="K1906" s="32" t="n">
        <v>500</v>
      </c>
      <c r="L1906" s="33" t="str">
        <f aca="false">IF($B1906="","",IFERROR(INDEX('Code Mapping'!$D$5:$D$1753,MATCH($B1906,'Code Mapping'!$A$5:$A$1753,0)),"Unmapped"))</f>
        <v>Unmapped</v>
      </c>
      <c r="M1906" s="33" t="str">
        <f aca="false">IF($B1906="","",IFERROR(INDEX('Code Mapping'!$E$5:$E$1753,MATCH($B1906,'Code Mapping'!$A$5:$A$1753,0)),"Unmapped"))</f>
        <v>Unmapped</v>
      </c>
      <c r="N1906" s="33" t="str">
        <f aca="false">IF($F1906="","",$F1906)</f>
        <v>LEGO Shows Qatar</v>
      </c>
    </row>
    <row r="1907" customFormat="false" ht="15" hidden="false" customHeight="false" outlineLevel="0" collapsed="false">
      <c r="A1907" s="33" t="n">
        <v>461</v>
      </c>
      <c r="B1907" s="33" t="s">
        <v>1835</v>
      </c>
      <c r="C1907" s="33" t="s">
        <v>1798</v>
      </c>
      <c r="D1907" s="33"/>
      <c r="E1907" s="33" t="n">
        <v>54</v>
      </c>
      <c r="F1907" s="33" t="s">
        <v>2161</v>
      </c>
      <c r="G1907" s="33" t="s">
        <v>1796</v>
      </c>
      <c r="H1907" s="33" t="n">
        <v>1</v>
      </c>
      <c r="I1907" s="33" t="n">
        <v>1</v>
      </c>
      <c r="J1907" s="33" t="n">
        <v>1</v>
      </c>
      <c r="K1907" s="32" t="n">
        <v>500</v>
      </c>
      <c r="L1907" s="33" t="str">
        <f aca="false">IF($B1907="","",IFERROR(INDEX('Code Mapping'!$D$5:$D$1753,MATCH($B1907,'Code Mapping'!$A$5:$A$1753,0)),"Unmapped"))</f>
        <v>Unmapped</v>
      </c>
      <c r="M1907" s="33" t="str">
        <f aca="false">IF($B1907="","",IFERROR(INDEX('Code Mapping'!$E$5:$E$1753,MATCH($B1907,'Code Mapping'!$A$5:$A$1753,0)),"Unmapped"))</f>
        <v>Unmapped</v>
      </c>
      <c r="N1907" s="33" t="str">
        <f aca="false">IF($F1907="","",$F1907)</f>
        <v>LEGO Shows Qatar</v>
      </c>
    </row>
    <row r="1908" customFormat="false" ht="15" hidden="false" customHeight="false" outlineLevel="0" collapsed="false">
      <c r="A1908" s="33" t="n">
        <v>458</v>
      </c>
      <c r="B1908" s="33" t="s">
        <v>1829</v>
      </c>
      <c r="C1908" s="33" t="s">
        <v>1798</v>
      </c>
      <c r="D1908" s="33"/>
      <c r="E1908" s="33" t="n">
        <v>54</v>
      </c>
      <c r="F1908" s="33" t="s">
        <v>2161</v>
      </c>
      <c r="G1908" s="33" t="s">
        <v>1796</v>
      </c>
      <c r="H1908" s="33" t="n">
        <v>1</v>
      </c>
      <c r="I1908" s="33" t="n">
        <v>5</v>
      </c>
      <c r="J1908" s="33" t="n">
        <v>5</v>
      </c>
      <c r="K1908" s="32" t="n">
        <v>2500</v>
      </c>
      <c r="L1908" s="33" t="str">
        <f aca="false">IF($B1908="","",IFERROR(INDEX('Code Mapping'!$D$5:$D$1753,MATCH($B1908,'Code Mapping'!$A$5:$A$1753,0)),"Unmapped"))</f>
        <v>Unmapped</v>
      </c>
      <c r="M1908" s="33" t="str">
        <f aca="false">IF($B1908="","",IFERROR(INDEX('Code Mapping'!$E$5:$E$1753,MATCH($B1908,'Code Mapping'!$A$5:$A$1753,0)),"Unmapped"))</f>
        <v>Unmapped</v>
      </c>
      <c r="N1908" s="33" t="str">
        <f aca="false">IF($F1908="","",$F1908)</f>
        <v>LEGO Shows Qatar</v>
      </c>
    </row>
    <row r="1909" customFormat="false" ht="15" hidden="false" customHeight="false" outlineLevel="0" collapsed="false">
      <c r="A1909" s="33" t="n">
        <v>466</v>
      </c>
      <c r="B1909" s="33" t="s">
        <v>1842</v>
      </c>
      <c r="C1909" s="33" t="s">
        <v>1798</v>
      </c>
      <c r="D1909" s="33"/>
      <c r="E1909" s="33" t="n">
        <v>54</v>
      </c>
      <c r="F1909" s="33" t="s">
        <v>2161</v>
      </c>
      <c r="G1909" s="33" t="s">
        <v>1796</v>
      </c>
      <c r="H1909" s="33" t="n">
        <v>1</v>
      </c>
      <c r="I1909" s="33" t="n">
        <v>5</v>
      </c>
      <c r="J1909" s="33" t="n">
        <v>5</v>
      </c>
      <c r="K1909" s="32" t="n">
        <v>2500</v>
      </c>
      <c r="L1909" s="33" t="str">
        <f aca="false">IF($B1909="","",IFERROR(INDEX('Code Mapping'!$D$5:$D$1753,MATCH($B1909,'Code Mapping'!$A$5:$A$1753,0)),"Unmapped"))</f>
        <v>Unmapped</v>
      </c>
      <c r="M1909" s="33" t="str">
        <f aca="false">IF($B1909="","",IFERROR(INDEX('Code Mapping'!$E$5:$E$1753,MATCH($B1909,'Code Mapping'!$A$5:$A$1753,0)),"Unmapped"))</f>
        <v>Unmapped</v>
      </c>
      <c r="N1909" s="33" t="str">
        <f aca="false">IF($F1909="","",$F1909)</f>
        <v>LEGO Shows Qatar</v>
      </c>
    </row>
    <row r="1910" customFormat="false" ht="15" hidden="false" customHeight="false" outlineLevel="0" collapsed="false">
      <c r="A1910" s="33" t="n">
        <v>1048</v>
      </c>
      <c r="B1910" s="33" t="s">
        <v>1830</v>
      </c>
      <c r="C1910" s="33"/>
      <c r="D1910" s="33"/>
      <c r="E1910" s="33" t="n">
        <v>54</v>
      </c>
      <c r="F1910" s="33" t="s">
        <v>2161</v>
      </c>
      <c r="G1910" s="33" t="s">
        <v>1796</v>
      </c>
      <c r="H1910" s="33" t="n">
        <v>1</v>
      </c>
      <c r="I1910" s="33" t="n">
        <v>1</v>
      </c>
      <c r="J1910" s="33" t="n">
        <v>1</v>
      </c>
      <c r="K1910" s="32" t="n">
        <v>500</v>
      </c>
      <c r="L1910" s="33" t="str">
        <f aca="false">IF($B1910="","",IFERROR(INDEX('Code Mapping'!$D$5:$D$1753,MATCH($B1910,'Code Mapping'!$A$5:$A$1753,0)),"Unmapped"))</f>
        <v>Unmapped</v>
      </c>
      <c r="M1910" s="33" t="str">
        <f aca="false">IF($B1910="","",IFERROR(INDEX('Code Mapping'!$E$5:$E$1753,MATCH($B1910,'Code Mapping'!$A$5:$A$1753,0)),"Unmapped"))</f>
        <v>Unmapped</v>
      </c>
      <c r="N1910" s="33" t="str">
        <f aca="false">IF($F1910="","",$F1910)</f>
        <v>LEGO Shows Qatar</v>
      </c>
    </row>
    <row r="1911" customFormat="false" ht="15" hidden="false" customHeight="false" outlineLevel="0" collapsed="false">
      <c r="A1911" s="33" t="n">
        <v>494</v>
      </c>
      <c r="B1911" s="33" t="s">
        <v>1831</v>
      </c>
      <c r="C1911" s="33" t="s">
        <v>1832</v>
      </c>
      <c r="D1911" s="33"/>
      <c r="E1911" s="33" t="n">
        <v>54</v>
      </c>
      <c r="F1911" s="33" t="s">
        <v>2161</v>
      </c>
      <c r="G1911" s="33" t="s">
        <v>1796</v>
      </c>
      <c r="H1911" s="33" t="n">
        <v>1</v>
      </c>
      <c r="I1911" s="33" t="n">
        <v>1</v>
      </c>
      <c r="J1911" s="33" t="n">
        <v>1</v>
      </c>
      <c r="K1911" s="32" t="n">
        <v>500</v>
      </c>
      <c r="L1911" s="33" t="str">
        <f aca="false">IF($B1911="","",IFERROR(INDEX('Code Mapping'!$D$5:$D$1753,MATCH($B1911,'Code Mapping'!$A$5:$A$1753,0)),"Unmapped"))</f>
        <v>Unmapped</v>
      </c>
      <c r="M1911" s="33" t="str">
        <f aca="false">IF($B1911="","",IFERROR(INDEX('Code Mapping'!$E$5:$E$1753,MATCH($B1911,'Code Mapping'!$A$5:$A$1753,0)),"Unmapped"))</f>
        <v>Unmapped</v>
      </c>
      <c r="N1911" s="33" t="str">
        <f aca="false">IF($F1911="","",$F1911)</f>
        <v>LEGO Shows Qatar</v>
      </c>
    </row>
    <row r="1912" customFormat="false" ht="15" hidden="false" customHeight="false" outlineLevel="0" collapsed="false">
      <c r="A1912" s="33" t="n">
        <v>459</v>
      </c>
      <c r="B1912" s="33" t="s">
        <v>1833</v>
      </c>
      <c r="C1912" s="33" t="s">
        <v>1798</v>
      </c>
      <c r="D1912" s="33"/>
      <c r="E1912" s="33" t="n">
        <v>54</v>
      </c>
      <c r="F1912" s="33" t="s">
        <v>2161</v>
      </c>
      <c r="G1912" s="33" t="s">
        <v>1796</v>
      </c>
      <c r="H1912" s="33" t="n">
        <v>1</v>
      </c>
      <c r="I1912" s="33" t="n">
        <v>1</v>
      </c>
      <c r="J1912" s="33" t="n">
        <v>1</v>
      </c>
      <c r="K1912" s="32" t="n">
        <v>500</v>
      </c>
      <c r="L1912" s="33" t="str">
        <f aca="false">IF($B1912="","",IFERROR(INDEX('Code Mapping'!$D$5:$D$1753,MATCH($B1912,'Code Mapping'!$A$5:$A$1753,0)),"Unmapped"))</f>
        <v>Unmapped</v>
      </c>
      <c r="M1912" s="33" t="str">
        <f aca="false">IF($B1912="","",IFERROR(INDEX('Code Mapping'!$E$5:$E$1753,MATCH($B1912,'Code Mapping'!$A$5:$A$1753,0)),"Unmapped"))</f>
        <v>Unmapped</v>
      </c>
      <c r="N1912" s="33" t="str">
        <f aca="false">IF($F1912="","",$F1912)</f>
        <v>LEGO Shows Qatar</v>
      </c>
    </row>
    <row r="1913" customFormat="false" ht="15" hidden="false" customHeight="false" outlineLevel="0" collapsed="false">
      <c r="A1913" s="33" t="n">
        <v>460</v>
      </c>
      <c r="B1913" s="33" t="s">
        <v>1834</v>
      </c>
      <c r="C1913" s="33" t="s">
        <v>1798</v>
      </c>
      <c r="D1913" s="33"/>
      <c r="E1913" s="33" t="n">
        <v>54</v>
      </c>
      <c r="F1913" s="33" t="s">
        <v>2161</v>
      </c>
      <c r="G1913" s="33" t="s">
        <v>1796</v>
      </c>
      <c r="H1913" s="33" t="n">
        <v>1</v>
      </c>
      <c r="I1913" s="33" t="n">
        <v>1</v>
      </c>
      <c r="J1913" s="33" t="n">
        <v>1</v>
      </c>
      <c r="K1913" s="32" t="n">
        <v>500</v>
      </c>
      <c r="L1913" s="33" t="str">
        <f aca="false">IF($B1913="","",IFERROR(INDEX('Code Mapping'!$D$5:$D$1753,MATCH($B1913,'Code Mapping'!$A$5:$A$1753,0)),"Unmapped"))</f>
        <v>Unmapped</v>
      </c>
      <c r="M1913" s="33" t="str">
        <f aca="false">IF($B1913="","",IFERROR(INDEX('Code Mapping'!$E$5:$E$1753,MATCH($B1913,'Code Mapping'!$A$5:$A$1753,0)),"Unmapped"))</f>
        <v>Unmapped</v>
      </c>
      <c r="N1913" s="33" t="str">
        <f aca="false">IF($F1913="","",$F1913)</f>
        <v>LEGO Shows Qatar</v>
      </c>
    </row>
    <row r="1914" customFormat="false" ht="15" hidden="false" customHeight="false" outlineLevel="0" collapsed="false">
      <c r="A1914" s="33" t="n">
        <v>1031</v>
      </c>
      <c r="B1914" s="33" t="s">
        <v>1860</v>
      </c>
      <c r="C1914" s="33" t="s">
        <v>1861</v>
      </c>
      <c r="D1914" s="33"/>
      <c r="E1914" s="33" t="n">
        <v>54</v>
      </c>
      <c r="F1914" s="33" t="s">
        <v>2161</v>
      </c>
      <c r="G1914" s="33" t="s">
        <v>1796</v>
      </c>
      <c r="H1914" s="33" t="n">
        <v>1</v>
      </c>
      <c r="I1914" s="33" t="n">
        <v>4</v>
      </c>
      <c r="J1914" s="33" t="n">
        <v>4</v>
      </c>
      <c r="K1914" s="32" t="n">
        <v>250</v>
      </c>
      <c r="L1914" s="33" t="str">
        <f aca="false">IF($B1914="","",IFERROR(INDEX('Code Mapping'!$D$5:$D$1753,MATCH($B1914,'Code Mapping'!$A$5:$A$1753,0)),"Unmapped"))</f>
        <v>Unmapped</v>
      </c>
      <c r="M1914" s="33" t="str">
        <f aca="false">IF($B1914="","",IFERROR(INDEX('Code Mapping'!$E$5:$E$1753,MATCH($B1914,'Code Mapping'!$A$5:$A$1753,0)),"Unmapped"))</f>
        <v>Unmapped</v>
      </c>
      <c r="N1914" s="33" t="str">
        <f aca="false">IF($F1914="","",$F1914)</f>
        <v>LEGO Shows Qatar</v>
      </c>
    </row>
    <row r="1915" customFormat="false" ht="15" hidden="false" customHeight="false" outlineLevel="0" collapsed="false">
      <c r="A1915" s="33" t="n">
        <v>965</v>
      </c>
      <c r="B1915" s="33" t="s">
        <v>1837</v>
      </c>
      <c r="C1915" s="33" t="s">
        <v>1838</v>
      </c>
      <c r="D1915" s="33"/>
      <c r="E1915" s="33" t="n">
        <v>54</v>
      </c>
      <c r="F1915" s="33" t="s">
        <v>2161</v>
      </c>
      <c r="G1915" s="33" t="s">
        <v>1796</v>
      </c>
      <c r="H1915" s="33" t="n">
        <v>1</v>
      </c>
      <c r="I1915" s="33" t="n">
        <v>1</v>
      </c>
      <c r="J1915" s="33" t="n">
        <v>1</v>
      </c>
      <c r="K1915" s="32" t="n">
        <v>500</v>
      </c>
      <c r="L1915" s="33" t="str">
        <f aca="false">IF($B1915="","",IFERROR(INDEX('Code Mapping'!$D$5:$D$1753,MATCH($B1915,'Code Mapping'!$A$5:$A$1753,0)),"Unmapped"))</f>
        <v>Unmapped</v>
      </c>
      <c r="M1915" s="33" t="str">
        <f aca="false">IF($B1915="","",IFERROR(INDEX('Code Mapping'!$E$5:$E$1753,MATCH($B1915,'Code Mapping'!$A$5:$A$1753,0)),"Unmapped"))</f>
        <v>Unmapped</v>
      </c>
      <c r="N1915" s="33" t="str">
        <f aca="false">IF($F1915="","",$F1915)</f>
        <v>LEGO Shows Qatar</v>
      </c>
    </row>
    <row r="1916" customFormat="false" ht="15" hidden="false" customHeight="false" outlineLevel="0" collapsed="false">
      <c r="A1916" s="33" t="n">
        <v>463</v>
      </c>
      <c r="B1916" s="33" t="s">
        <v>1839</v>
      </c>
      <c r="C1916" s="33" t="s">
        <v>1798</v>
      </c>
      <c r="D1916" s="33"/>
      <c r="E1916" s="33" t="n">
        <v>54</v>
      </c>
      <c r="F1916" s="33" t="s">
        <v>2161</v>
      </c>
      <c r="G1916" s="33" t="s">
        <v>1796</v>
      </c>
      <c r="H1916" s="33" t="n">
        <v>1</v>
      </c>
      <c r="I1916" s="33" t="n">
        <v>5</v>
      </c>
      <c r="J1916" s="33" t="n">
        <v>5</v>
      </c>
      <c r="K1916" s="32" t="n">
        <v>2500</v>
      </c>
      <c r="L1916" s="33" t="str">
        <f aca="false">IF($B1916="","",IFERROR(INDEX('Code Mapping'!$D$5:$D$1753,MATCH($B1916,'Code Mapping'!$A$5:$A$1753,0)),"Unmapped"))</f>
        <v>Unmapped</v>
      </c>
      <c r="M1916" s="33" t="str">
        <f aca="false">IF($B1916="","",IFERROR(INDEX('Code Mapping'!$E$5:$E$1753,MATCH($B1916,'Code Mapping'!$A$5:$A$1753,0)),"Unmapped"))</f>
        <v>Unmapped</v>
      </c>
      <c r="N1916" s="33" t="str">
        <f aca="false">IF($F1916="","",$F1916)</f>
        <v>LEGO Shows Qatar</v>
      </c>
    </row>
    <row r="1917" customFormat="false" ht="15" hidden="false" customHeight="false" outlineLevel="0" collapsed="false">
      <c r="A1917" s="33" t="n">
        <v>464</v>
      </c>
      <c r="B1917" s="33" t="s">
        <v>1840</v>
      </c>
      <c r="C1917" s="33" t="s">
        <v>1798</v>
      </c>
      <c r="D1917" s="33"/>
      <c r="E1917" s="33" t="n">
        <v>54</v>
      </c>
      <c r="F1917" s="33" t="s">
        <v>2161</v>
      </c>
      <c r="G1917" s="33" t="s">
        <v>1796</v>
      </c>
      <c r="H1917" s="33" t="n">
        <v>1</v>
      </c>
      <c r="I1917" s="33" t="n">
        <v>5</v>
      </c>
      <c r="J1917" s="33" t="n">
        <v>5</v>
      </c>
      <c r="K1917" s="32" t="n">
        <v>2500</v>
      </c>
      <c r="L1917" s="33" t="str">
        <f aca="false">IF($B1917="","",IFERROR(INDEX('Code Mapping'!$D$5:$D$1753,MATCH($B1917,'Code Mapping'!$A$5:$A$1753,0)),"Unmapped"))</f>
        <v>Unmapped</v>
      </c>
      <c r="M1917" s="33" t="str">
        <f aca="false">IF($B1917="","",IFERROR(INDEX('Code Mapping'!$E$5:$E$1753,MATCH($B1917,'Code Mapping'!$A$5:$A$1753,0)),"Unmapped"))</f>
        <v>Unmapped</v>
      </c>
      <c r="N1917" s="33" t="str">
        <f aca="false">IF($F1917="","",$F1917)</f>
        <v>LEGO Shows Qatar</v>
      </c>
    </row>
    <row r="1918" customFormat="false" ht="15" hidden="false" customHeight="false" outlineLevel="0" collapsed="false">
      <c r="A1918" s="33" t="n">
        <v>465</v>
      </c>
      <c r="B1918" s="33" t="s">
        <v>1841</v>
      </c>
      <c r="C1918" s="33" t="s">
        <v>1798</v>
      </c>
      <c r="D1918" s="33"/>
      <c r="E1918" s="33" t="n">
        <v>54</v>
      </c>
      <c r="F1918" s="33" t="s">
        <v>2161</v>
      </c>
      <c r="G1918" s="33" t="s">
        <v>1796</v>
      </c>
      <c r="H1918" s="33" t="n">
        <v>1</v>
      </c>
      <c r="I1918" s="33" t="n">
        <v>1</v>
      </c>
      <c r="J1918" s="33" t="n">
        <v>1</v>
      </c>
      <c r="K1918" s="32" t="n">
        <v>500</v>
      </c>
      <c r="L1918" s="33" t="str">
        <f aca="false">IF($B1918="","",IFERROR(INDEX('Code Mapping'!$D$5:$D$1753,MATCH($B1918,'Code Mapping'!$A$5:$A$1753,0)),"Unmapped"))</f>
        <v>Unmapped</v>
      </c>
      <c r="M1918" s="33" t="str">
        <f aca="false">IF($B1918="","",IFERROR(INDEX('Code Mapping'!$E$5:$E$1753,MATCH($B1918,'Code Mapping'!$A$5:$A$1753,0)),"Unmapped"))</f>
        <v>Unmapped</v>
      </c>
      <c r="N1918" s="33" t="str">
        <f aca="false">IF($F1918="","",$F1918)</f>
        <v>LEGO Shows Qatar</v>
      </c>
    </row>
    <row r="1919" customFormat="false" ht="15" hidden="false" customHeight="false" outlineLevel="0" collapsed="false">
      <c r="A1919" s="33" t="n">
        <v>462</v>
      </c>
      <c r="B1919" s="33" t="s">
        <v>1836</v>
      </c>
      <c r="C1919" s="33" t="s">
        <v>1798</v>
      </c>
      <c r="D1919" s="33"/>
      <c r="E1919" s="33" t="n">
        <v>54</v>
      </c>
      <c r="F1919" s="33" t="s">
        <v>2161</v>
      </c>
      <c r="G1919" s="33" t="s">
        <v>1796</v>
      </c>
      <c r="H1919" s="33" t="n">
        <v>1</v>
      </c>
      <c r="I1919" s="33" t="n">
        <v>1</v>
      </c>
      <c r="J1919" s="33" t="n">
        <v>1</v>
      </c>
      <c r="K1919" s="32" t="n">
        <v>500</v>
      </c>
      <c r="L1919" s="33" t="str">
        <f aca="false">IF($B1919="","",IFERROR(INDEX('Code Mapping'!$D$5:$D$1753,MATCH($B1919,'Code Mapping'!$A$5:$A$1753,0)),"Unmapped"))</f>
        <v>Unmapped</v>
      </c>
      <c r="M1919" s="33" t="str">
        <f aca="false">IF($B1919="","",IFERROR(INDEX('Code Mapping'!$E$5:$E$1753,MATCH($B1919,'Code Mapping'!$A$5:$A$1753,0)),"Unmapped"))</f>
        <v>Unmapped</v>
      </c>
      <c r="N1919" s="33" t="str">
        <f aca="false">IF($F1919="","",$F1919)</f>
        <v>LEGO Shows Qatar</v>
      </c>
    </row>
    <row r="1920" customFormat="false" ht="15" hidden="false" customHeight="false" outlineLevel="0" collapsed="false">
      <c r="A1920" s="33" t="n">
        <v>139</v>
      </c>
      <c r="B1920" s="33" t="s">
        <v>1093</v>
      </c>
      <c r="C1920" s="33"/>
      <c r="D1920" s="33"/>
      <c r="E1920" s="33" t="n">
        <v>41</v>
      </c>
      <c r="F1920" s="33" t="s">
        <v>36</v>
      </c>
      <c r="G1920" s="33" t="s">
        <v>2162</v>
      </c>
      <c r="H1920" s="33" t="n">
        <v>2</v>
      </c>
      <c r="I1920" s="33" t="n">
        <v>3</v>
      </c>
      <c r="J1920" s="33" t="n">
        <v>3</v>
      </c>
      <c r="K1920" s="32" t="n">
        <v>5.25</v>
      </c>
      <c r="L1920" s="33" t="str">
        <f aca="false">IF($B1920="","",IFERROR(INDEX('Code Mapping'!$D$5:$D$1753,MATCH($B1920,'Code Mapping'!$A$5:$A$1753,0)),"Unmapped"))</f>
        <v>Unmapped</v>
      </c>
      <c r="M1920" s="33" t="str">
        <f aca="false">IF($B1920="","",IFERROR(INDEX('Code Mapping'!$E$5:$E$1753,MATCH($B1920,'Code Mapping'!$A$5:$A$1753,0)),"Unmapped"))</f>
        <v>Unmapped</v>
      </c>
      <c r="N1920" s="33" t="str">
        <f aca="false">IF($F1920="","",$F1920)</f>
        <v>InflataPark</v>
      </c>
    </row>
    <row r="1921" customFormat="false" ht="15" hidden="false" customHeight="false" outlineLevel="0" collapsed="false">
      <c r="A1921" s="33" t="n">
        <v>388</v>
      </c>
      <c r="B1921" s="33" t="s">
        <v>1193</v>
      </c>
      <c r="C1921" s="33"/>
      <c r="D1921" s="33"/>
      <c r="E1921" s="33" t="n">
        <v>52</v>
      </c>
      <c r="F1921" s="33" t="s">
        <v>2163</v>
      </c>
      <c r="G1921" s="33" t="s">
        <v>1141</v>
      </c>
      <c r="H1921" s="33" t="n">
        <v>1</v>
      </c>
      <c r="I1921" s="33" t="n">
        <v>3</v>
      </c>
      <c r="J1921" s="33" t="n">
        <v>3</v>
      </c>
      <c r="K1921" s="32" t="n">
        <v>300</v>
      </c>
      <c r="L1921" s="33" t="str">
        <f aca="false">IF($B1921="","",IFERROR(INDEX('Code Mapping'!$D$5:$D$1753,MATCH($B1921,'Code Mapping'!$A$5:$A$1753,0)),"Unmapped"))</f>
        <v>Unmapped</v>
      </c>
      <c r="M1921" s="33" t="str">
        <f aca="false">IF($B1921="","",IFERROR(INDEX('Code Mapping'!$E$5:$E$1753,MATCH($B1921,'Code Mapping'!$A$5:$A$1753,0)),"Unmapped"))</f>
        <v>Unmapped</v>
      </c>
      <c r="N1921" s="33" t="str">
        <f aca="false">IF($F1921="","",$F1921)</f>
        <v>InflataRun</v>
      </c>
    </row>
    <row r="1922" customFormat="false" ht="15" hidden="false" customHeight="false" outlineLevel="0" collapsed="false">
      <c r="A1922" s="33" t="n">
        <v>347</v>
      </c>
      <c r="B1922" s="33" t="s">
        <v>1185</v>
      </c>
      <c r="C1922" s="33"/>
      <c r="D1922" s="33"/>
      <c r="E1922" s="33" t="n">
        <v>52</v>
      </c>
      <c r="F1922" s="33" t="s">
        <v>2163</v>
      </c>
      <c r="G1922" s="33" t="s">
        <v>1141</v>
      </c>
      <c r="H1922" s="33" t="n">
        <v>1</v>
      </c>
      <c r="I1922" s="33" t="n">
        <v>3</v>
      </c>
      <c r="J1922" s="33" t="n">
        <v>3</v>
      </c>
      <c r="K1922" s="32" t="n">
        <v>300</v>
      </c>
      <c r="L1922" s="33" t="str">
        <f aca="false">IF($B1922="","",IFERROR(INDEX('Code Mapping'!$D$5:$D$1753,MATCH($B1922,'Code Mapping'!$A$5:$A$1753,0)),"Unmapped"))</f>
        <v>Unmapped</v>
      </c>
      <c r="M1922" s="33" t="str">
        <f aca="false">IF($B1922="","",IFERROR(INDEX('Code Mapping'!$E$5:$E$1753,MATCH($B1922,'Code Mapping'!$A$5:$A$1753,0)),"Unmapped"))</f>
        <v>Unmapped</v>
      </c>
      <c r="N1922" s="33" t="str">
        <f aca="false">IF($F1922="","",$F1922)</f>
        <v>InflataRun</v>
      </c>
    </row>
    <row r="1923" customFormat="false" ht="15" hidden="false" customHeight="false" outlineLevel="0" collapsed="false">
      <c r="A1923" s="33" t="n">
        <v>374</v>
      </c>
      <c r="B1923" s="33" t="s">
        <v>1191</v>
      </c>
      <c r="C1923" s="33"/>
      <c r="D1923" s="33"/>
      <c r="E1923" s="33" t="n">
        <v>52</v>
      </c>
      <c r="F1923" s="33" t="s">
        <v>2163</v>
      </c>
      <c r="G1923" s="33" t="s">
        <v>1141</v>
      </c>
      <c r="H1923" s="33" t="n">
        <v>1</v>
      </c>
      <c r="I1923" s="33" t="n">
        <v>4</v>
      </c>
      <c r="J1923" s="33" t="n">
        <v>4</v>
      </c>
      <c r="K1923" s="32" t="n">
        <v>400</v>
      </c>
      <c r="L1923" s="33" t="str">
        <f aca="false">IF($B1923="","",IFERROR(INDEX('Code Mapping'!$D$5:$D$1753,MATCH($B1923,'Code Mapping'!$A$5:$A$1753,0)),"Unmapped"))</f>
        <v>Unmapped</v>
      </c>
      <c r="M1923" s="33" t="str">
        <f aca="false">IF($B1923="","",IFERROR(INDEX('Code Mapping'!$E$5:$E$1753,MATCH($B1923,'Code Mapping'!$A$5:$A$1753,0)),"Unmapped"))</f>
        <v>Unmapped</v>
      </c>
      <c r="N1923" s="33" t="str">
        <f aca="false">IF($F1923="","",$F1923)</f>
        <v>InflataRun</v>
      </c>
    </row>
    <row r="1924" customFormat="false" ht="15" hidden="false" customHeight="false" outlineLevel="0" collapsed="false">
      <c r="A1924" s="33" t="n">
        <v>373</v>
      </c>
      <c r="B1924" s="33" t="s">
        <v>1190</v>
      </c>
      <c r="C1924" s="33"/>
      <c r="D1924" s="33"/>
      <c r="E1924" s="33" t="n">
        <v>52</v>
      </c>
      <c r="F1924" s="33" t="s">
        <v>2163</v>
      </c>
      <c r="G1924" s="33" t="s">
        <v>1141</v>
      </c>
      <c r="H1924" s="33" t="n">
        <v>1</v>
      </c>
      <c r="I1924" s="33" t="n">
        <v>9</v>
      </c>
      <c r="J1924" s="33" t="n">
        <v>9</v>
      </c>
      <c r="K1924" s="32" t="n">
        <v>900</v>
      </c>
      <c r="L1924" s="33" t="str">
        <f aca="false">IF($B1924="","",IFERROR(INDEX('Code Mapping'!$D$5:$D$1753,MATCH($B1924,'Code Mapping'!$A$5:$A$1753,0)),"Unmapped"))</f>
        <v>Unmapped</v>
      </c>
      <c r="M1924" s="33" t="str">
        <f aca="false">IF($B1924="","",IFERROR(INDEX('Code Mapping'!$E$5:$E$1753,MATCH($B1924,'Code Mapping'!$A$5:$A$1753,0)),"Unmapped"))</f>
        <v>Unmapped</v>
      </c>
      <c r="N1924" s="33" t="str">
        <f aca="false">IF($F1924="","",$F1924)</f>
        <v>InflataRun</v>
      </c>
    </row>
    <row r="1925" customFormat="false" ht="15" hidden="false" customHeight="false" outlineLevel="0" collapsed="false">
      <c r="A1925" s="33" t="n">
        <v>372</v>
      </c>
      <c r="B1925" s="33" t="s">
        <v>1189</v>
      </c>
      <c r="C1925" s="33"/>
      <c r="D1925" s="33"/>
      <c r="E1925" s="33" t="n">
        <v>52</v>
      </c>
      <c r="F1925" s="33" t="s">
        <v>2163</v>
      </c>
      <c r="G1925" s="33" t="s">
        <v>1141</v>
      </c>
      <c r="H1925" s="33" t="n">
        <v>1</v>
      </c>
      <c r="I1925" s="33" t="n">
        <v>3</v>
      </c>
      <c r="J1925" s="33" t="n">
        <v>3</v>
      </c>
      <c r="K1925" s="32" t="n">
        <v>300</v>
      </c>
      <c r="L1925" s="33" t="str">
        <f aca="false">IF($B1925="","",IFERROR(INDEX('Code Mapping'!$D$5:$D$1753,MATCH($B1925,'Code Mapping'!$A$5:$A$1753,0)),"Unmapped"))</f>
        <v>Unmapped</v>
      </c>
      <c r="M1925" s="33" t="str">
        <f aca="false">IF($B1925="","",IFERROR(INDEX('Code Mapping'!$E$5:$E$1753,MATCH($B1925,'Code Mapping'!$A$5:$A$1753,0)),"Unmapped"))</f>
        <v>Unmapped</v>
      </c>
      <c r="N1925" s="33" t="str">
        <f aca="false">IF($F1925="","",$F1925)</f>
        <v>InflataRun</v>
      </c>
    </row>
    <row r="1926" customFormat="false" ht="15" hidden="false" customHeight="false" outlineLevel="0" collapsed="false">
      <c r="A1926" s="33" t="n">
        <v>371</v>
      </c>
      <c r="B1926" s="33" t="s">
        <v>1188</v>
      </c>
      <c r="C1926" s="33"/>
      <c r="D1926" s="33"/>
      <c r="E1926" s="33" t="n">
        <v>52</v>
      </c>
      <c r="F1926" s="33" t="s">
        <v>2163</v>
      </c>
      <c r="G1926" s="33" t="s">
        <v>1141</v>
      </c>
      <c r="H1926" s="33" t="n">
        <v>1</v>
      </c>
      <c r="I1926" s="33" t="n">
        <v>1</v>
      </c>
      <c r="J1926" s="33" t="n">
        <v>1</v>
      </c>
      <c r="K1926" s="32" t="n">
        <v>100</v>
      </c>
      <c r="L1926" s="33" t="str">
        <f aca="false">IF($B1926="","",IFERROR(INDEX('Code Mapping'!$D$5:$D$1753,MATCH($B1926,'Code Mapping'!$A$5:$A$1753,0)),"Unmapped"))</f>
        <v>Unmapped</v>
      </c>
      <c r="M1926" s="33" t="str">
        <f aca="false">IF($B1926="","",IFERROR(INDEX('Code Mapping'!$E$5:$E$1753,MATCH($B1926,'Code Mapping'!$A$5:$A$1753,0)),"Unmapped"))</f>
        <v>Unmapped</v>
      </c>
      <c r="N1926" s="33" t="str">
        <f aca="false">IF($F1926="","",$F1926)</f>
        <v>InflataRun</v>
      </c>
    </row>
    <row r="1927" customFormat="false" ht="15" hidden="false" customHeight="false" outlineLevel="0" collapsed="false">
      <c r="A1927" s="33" t="n">
        <v>353</v>
      </c>
      <c r="B1927" s="33" t="s">
        <v>1187</v>
      </c>
      <c r="C1927" s="33"/>
      <c r="D1927" s="33"/>
      <c r="E1927" s="33" t="n">
        <v>52</v>
      </c>
      <c r="F1927" s="33" t="s">
        <v>2163</v>
      </c>
      <c r="G1927" s="33" t="s">
        <v>1141</v>
      </c>
      <c r="H1927" s="33" t="n">
        <v>1</v>
      </c>
      <c r="I1927" s="33" t="n">
        <v>3</v>
      </c>
      <c r="J1927" s="33" t="n">
        <v>3</v>
      </c>
      <c r="K1927" s="32" t="n">
        <v>300</v>
      </c>
      <c r="L1927" s="33" t="str">
        <f aca="false">IF($B1927="","",IFERROR(INDEX('Code Mapping'!$D$5:$D$1753,MATCH($B1927,'Code Mapping'!$A$5:$A$1753,0)),"Unmapped"))</f>
        <v>Unmapped</v>
      </c>
      <c r="M1927" s="33" t="str">
        <f aca="false">IF($B1927="","",IFERROR(INDEX('Code Mapping'!$E$5:$E$1753,MATCH($B1927,'Code Mapping'!$A$5:$A$1753,0)),"Unmapped"))</f>
        <v>Unmapped</v>
      </c>
      <c r="N1927" s="33" t="str">
        <f aca="false">IF($F1927="","",$F1927)</f>
        <v>InflataRun</v>
      </c>
    </row>
    <row r="1928" customFormat="false" ht="15" hidden="false" customHeight="false" outlineLevel="0" collapsed="false">
      <c r="A1928" s="33" t="n">
        <v>349</v>
      </c>
      <c r="B1928" s="33" t="s">
        <v>1186</v>
      </c>
      <c r="C1928" s="33"/>
      <c r="D1928" s="33"/>
      <c r="E1928" s="33" t="n">
        <v>52</v>
      </c>
      <c r="F1928" s="33" t="s">
        <v>2163</v>
      </c>
      <c r="G1928" s="33" t="s">
        <v>1141</v>
      </c>
      <c r="H1928" s="33" t="n">
        <v>1</v>
      </c>
      <c r="I1928" s="33" t="n">
        <v>1</v>
      </c>
      <c r="J1928" s="33" t="n">
        <v>1</v>
      </c>
      <c r="K1928" s="32" t="n">
        <v>100</v>
      </c>
      <c r="L1928" s="33" t="str">
        <f aca="false">IF($B1928="","",IFERROR(INDEX('Code Mapping'!$D$5:$D$1753,MATCH($B1928,'Code Mapping'!$A$5:$A$1753,0)),"Unmapped"))</f>
        <v>Unmapped</v>
      </c>
      <c r="M1928" s="33" t="str">
        <f aca="false">IF($B1928="","",IFERROR(INDEX('Code Mapping'!$E$5:$E$1753,MATCH($B1928,'Code Mapping'!$A$5:$A$1753,0)),"Unmapped"))</f>
        <v>Unmapped</v>
      </c>
      <c r="N1928" s="33" t="str">
        <f aca="false">IF($F1928="","",$F1928)</f>
        <v>InflataRun</v>
      </c>
    </row>
    <row r="1929" customFormat="false" ht="15" hidden="false" customHeight="false" outlineLevel="0" collapsed="false">
      <c r="A1929" s="33" t="n">
        <v>330</v>
      </c>
      <c r="B1929" s="33" t="s">
        <v>1182</v>
      </c>
      <c r="C1929" s="33"/>
      <c r="D1929" s="33"/>
      <c r="E1929" s="33" t="n">
        <v>52</v>
      </c>
      <c r="F1929" s="33" t="s">
        <v>2163</v>
      </c>
      <c r="G1929" s="33" t="s">
        <v>1141</v>
      </c>
      <c r="H1929" s="33" t="n">
        <v>1</v>
      </c>
      <c r="I1929" s="33" t="n">
        <v>4</v>
      </c>
      <c r="J1929" s="33" t="n">
        <v>4</v>
      </c>
      <c r="K1929" s="32" t="n">
        <v>400</v>
      </c>
      <c r="L1929" s="33" t="str">
        <f aca="false">IF($B1929="","",IFERROR(INDEX('Code Mapping'!$D$5:$D$1753,MATCH($B1929,'Code Mapping'!$A$5:$A$1753,0)),"Unmapped"))</f>
        <v>Unmapped</v>
      </c>
      <c r="M1929" s="33" t="str">
        <f aca="false">IF($B1929="","",IFERROR(INDEX('Code Mapping'!$E$5:$E$1753,MATCH($B1929,'Code Mapping'!$A$5:$A$1753,0)),"Unmapped"))</f>
        <v>Unmapped</v>
      </c>
      <c r="N1929" s="33" t="str">
        <f aca="false">IF($F1929="","",$F1929)</f>
        <v>InflataRun</v>
      </c>
    </row>
    <row r="1930" customFormat="false" ht="15" hidden="false" customHeight="false" outlineLevel="0" collapsed="false">
      <c r="A1930" s="33" t="n">
        <v>341</v>
      </c>
      <c r="B1930" s="33" t="s">
        <v>1184</v>
      </c>
      <c r="C1930" s="33"/>
      <c r="D1930" s="33"/>
      <c r="E1930" s="33" t="n">
        <v>52</v>
      </c>
      <c r="F1930" s="33" t="s">
        <v>2163</v>
      </c>
      <c r="G1930" s="33" t="s">
        <v>1141</v>
      </c>
      <c r="H1930" s="33" t="n">
        <v>1</v>
      </c>
      <c r="I1930" s="33" t="n">
        <v>1</v>
      </c>
      <c r="J1930" s="33" t="n">
        <v>1</v>
      </c>
      <c r="K1930" s="32" t="n">
        <v>100</v>
      </c>
      <c r="L1930" s="33" t="str">
        <f aca="false">IF($B1930="","",IFERROR(INDEX('Code Mapping'!$D$5:$D$1753,MATCH($B1930,'Code Mapping'!$A$5:$A$1753,0)),"Unmapped"))</f>
        <v>Unmapped</v>
      </c>
      <c r="M1930" s="33" t="str">
        <f aca="false">IF($B1930="","",IFERROR(INDEX('Code Mapping'!$E$5:$E$1753,MATCH($B1930,'Code Mapping'!$A$5:$A$1753,0)),"Unmapped"))</f>
        <v>Unmapped</v>
      </c>
      <c r="N1930" s="33" t="str">
        <f aca="false">IF($F1930="","",$F1930)</f>
        <v>InflataRun</v>
      </c>
    </row>
    <row r="1931" customFormat="false" ht="15" hidden="false" customHeight="false" outlineLevel="0" collapsed="false">
      <c r="A1931" s="33" t="n">
        <v>332</v>
      </c>
      <c r="B1931" s="33" t="s">
        <v>1183</v>
      </c>
      <c r="C1931" s="33"/>
      <c r="D1931" s="33"/>
      <c r="E1931" s="33" t="n">
        <v>52</v>
      </c>
      <c r="F1931" s="33" t="s">
        <v>2163</v>
      </c>
      <c r="G1931" s="33" t="s">
        <v>1141</v>
      </c>
      <c r="H1931" s="33" t="n">
        <v>1</v>
      </c>
      <c r="I1931" s="33" t="n">
        <v>3</v>
      </c>
      <c r="J1931" s="33" t="n">
        <v>3</v>
      </c>
      <c r="K1931" s="32" t="n">
        <v>300</v>
      </c>
      <c r="L1931" s="33" t="str">
        <f aca="false">IF($B1931="","",IFERROR(INDEX('Code Mapping'!$D$5:$D$1753,MATCH($B1931,'Code Mapping'!$A$5:$A$1753,0)),"Unmapped"))</f>
        <v>Unmapped</v>
      </c>
      <c r="M1931" s="33" t="str">
        <f aca="false">IF($B1931="","",IFERROR(INDEX('Code Mapping'!$E$5:$E$1753,MATCH($B1931,'Code Mapping'!$A$5:$A$1753,0)),"Unmapped"))</f>
        <v>Unmapped</v>
      </c>
      <c r="N1931" s="33" t="str">
        <f aca="false">IF($F1931="","",$F1931)</f>
        <v>InflataRun</v>
      </c>
    </row>
    <row r="1932" customFormat="false" ht="15" hidden="false" customHeight="false" outlineLevel="0" collapsed="false">
      <c r="A1932" s="33" t="n">
        <v>324</v>
      </c>
      <c r="B1932" s="33" t="s">
        <v>1181</v>
      </c>
      <c r="C1932" s="33"/>
      <c r="D1932" s="33"/>
      <c r="E1932" s="33" t="n">
        <v>52</v>
      </c>
      <c r="F1932" s="33" t="s">
        <v>2163</v>
      </c>
      <c r="G1932" s="33" t="s">
        <v>1141</v>
      </c>
      <c r="H1932" s="33" t="n">
        <v>1</v>
      </c>
      <c r="I1932" s="33" t="n">
        <v>2</v>
      </c>
      <c r="J1932" s="33" t="n">
        <v>2</v>
      </c>
      <c r="K1932" s="32" t="n">
        <v>200</v>
      </c>
      <c r="L1932" s="33" t="str">
        <f aca="false">IF($B1932="","",IFERROR(INDEX('Code Mapping'!$D$5:$D$1753,MATCH($B1932,'Code Mapping'!$A$5:$A$1753,0)),"Unmapped"))</f>
        <v>Unmapped</v>
      </c>
      <c r="M1932" s="33" t="str">
        <f aca="false">IF($B1932="","",IFERROR(INDEX('Code Mapping'!$E$5:$E$1753,MATCH($B1932,'Code Mapping'!$A$5:$A$1753,0)),"Unmapped"))</f>
        <v>Unmapped</v>
      </c>
      <c r="N1932" s="33" t="str">
        <f aca="false">IF($F1932="","",$F1932)</f>
        <v>InflataRun</v>
      </c>
    </row>
    <row r="1933" customFormat="false" ht="15" hidden="false" customHeight="false" outlineLevel="0" collapsed="false">
      <c r="A1933" s="33" t="n">
        <v>319</v>
      </c>
      <c r="B1933" s="33" t="s">
        <v>1180</v>
      </c>
      <c r="C1933" s="33"/>
      <c r="D1933" s="33"/>
      <c r="E1933" s="33" t="n">
        <v>52</v>
      </c>
      <c r="F1933" s="33" t="s">
        <v>2163</v>
      </c>
      <c r="G1933" s="33" t="s">
        <v>1141</v>
      </c>
      <c r="H1933" s="33" t="n">
        <v>1</v>
      </c>
      <c r="I1933" s="33" t="n">
        <v>6</v>
      </c>
      <c r="J1933" s="33" t="n">
        <v>6</v>
      </c>
      <c r="K1933" s="32" t="n">
        <v>600</v>
      </c>
      <c r="L1933" s="33" t="str">
        <f aca="false">IF($B1933="","",IFERROR(INDEX('Code Mapping'!$D$5:$D$1753,MATCH($B1933,'Code Mapping'!$A$5:$A$1753,0)),"Unmapped"))</f>
        <v>Unmapped</v>
      </c>
      <c r="M1933" s="33" t="str">
        <f aca="false">IF($B1933="","",IFERROR(INDEX('Code Mapping'!$E$5:$E$1753,MATCH($B1933,'Code Mapping'!$A$5:$A$1753,0)),"Unmapped"))</f>
        <v>Unmapped</v>
      </c>
      <c r="N1933" s="33" t="str">
        <f aca="false">IF($F1933="","",$F1933)</f>
        <v>InflataRun</v>
      </c>
    </row>
    <row r="1934" customFormat="false" ht="15" hidden="false" customHeight="false" outlineLevel="0" collapsed="false">
      <c r="A1934" s="33" t="n">
        <v>309</v>
      </c>
      <c r="B1934" s="33" t="s">
        <v>1177</v>
      </c>
      <c r="C1934" s="33"/>
      <c r="D1934" s="33"/>
      <c r="E1934" s="33" t="n">
        <v>52</v>
      </c>
      <c r="F1934" s="33" t="s">
        <v>2163</v>
      </c>
      <c r="G1934" s="33" t="s">
        <v>1141</v>
      </c>
      <c r="H1934" s="33" t="n">
        <v>1</v>
      </c>
      <c r="I1934" s="33" t="n">
        <v>2</v>
      </c>
      <c r="J1934" s="33" t="n">
        <v>2</v>
      </c>
      <c r="K1934" s="32" t="n">
        <v>200</v>
      </c>
      <c r="L1934" s="33" t="str">
        <f aca="false">IF($B1934="","",IFERROR(INDEX('Code Mapping'!$D$5:$D$1753,MATCH($B1934,'Code Mapping'!$A$5:$A$1753,0)),"Unmapped"))</f>
        <v>Unmapped</v>
      </c>
      <c r="M1934" s="33" t="str">
        <f aca="false">IF($B1934="","",IFERROR(INDEX('Code Mapping'!$E$5:$E$1753,MATCH($B1934,'Code Mapping'!$A$5:$A$1753,0)),"Unmapped"))</f>
        <v>Unmapped</v>
      </c>
      <c r="N1934" s="33" t="str">
        <f aca="false">IF($F1934="","",$F1934)</f>
        <v>InflataRun</v>
      </c>
    </row>
    <row r="1935" customFormat="false" ht="15" hidden="false" customHeight="false" outlineLevel="0" collapsed="false">
      <c r="A1935" s="33" t="n">
        <v>316</v>
      </c>
      <c r="B1935" s="33" t="s">
        <v>1179</v>
      </c>
      <c r="C1935" s="33"/>
      <c r="D1935" s="33"/>
      <c r="E1935" s="33" t="n">
        <v>52</v>
      </c>
      <c r="F1935" s="33" t="s">
        <v>2163</v>
      </c>
      <c r="G1935" s="33" t="s">
        <v>1141</v>
      </c>
      <c r="H1935" s="33" t="n">
        <v>1</v>
      </c>
      <c r="I1935" s="33" t="n">
        <v>2</v>
      </c>
      <c r="J1935" s="33" t="n">
        <v>2</v>
      </c>
      <c r="K1935" s="32" t="n">
        <v>200</v>
      </c>
      <c r="L1935" s="33" t="str">
        <f aca="false">IF($B1935="","",IFERROR(INDEX('Code Mapping'!$D$5:$D$1753,MATCH($B1935,'Code Mapping'!$A$5:$A$1753,0)),"Unmapped"))</f>
        <v>Unmapped</v>
      </c>
      <c r="M1935" s="33" t="str">
        <f aca="false">IF($B1935="","",IFERROR(INDEX('Code Mapping'!$E$5:$E$1753,MATCH($B1935,'Code Mapping'!$A$5:$A$1753,0)),"Unmapped"))</f>
        <v>Unmapped</v>
      </c>
      <c r="N1935" s="33" t="str">
        <f aca="false">IF($F1935="","",$F1935)</f>
        <v>InflataRun</v>
      </c>
    </row>
    <row r="1936" customFormat="false" ht="15" hidden="false" customHeight="false" outlineLevel="0" collapsed="false">
      <c r="A1936" s="33" t="n">
        <v>314</v>
      </c>
      <c r="B1936" s="33" t="s">
        <v>1178</v>
      </c>
      <c r="C1936" s="33"/>
      <c r="D1936" s="33"/>
      <c r="E1936" s="33" t="n">
        <v>52</v>
      </c>
      <c r="F1936" s="33" t="s">
        <v>2163</v>
      </c>
      <c r="G1936" s="33" t="s">
        <v>1141</v>
      </c>
      <c r="H1936" s="33" t="n">
        <v>1</v>
      </c>
      <c r="I1936" s="33" t="n">
        <v>2</v>
      </c>
      <c r="J1936" s="33" t="n">
        <v>2</v>
      </c>
      <c r="K1936" s="32" t="n">
        <v>200</v>
      </c>
      <c r="L1936" s="33" t="str">
        <f aca="false">IF($B1936="","",IFERROR(INDEX('Code Mapping'!$D$5:$D$1753,MATCH($B1936,'Code Mapping'!$A$5:$A$1753,0)),"Unmapped"))</f>
        <v>Unmapped</v>
      </c>
      <c r="M1936" s="33" t="str">
        <f aca="false">IF($B1936="","",IFERROR(INDEX('Code Mapping'!$E$5:$E$1753,MATCH($B1936,'Code Mapping'!$A$5:$A$1753,0)),"Unmapped"))</f>
        <v>Unmapped</v>
      </c>
      <c r="N1936" s="33" t="str">
        <f aca="false">IF($F1936="","",$F1936)</f>
        <v>InflataRun</v>
      </c>
    </row>
    <row r="1937" customFormat="false" ht="15" hidden="false" customHeight="false" outlineLevel="0" collapsed="false">
      <c r="A1937" s="33" t="n">
        <v>150</v>
      </c>
      <c r="B1937" s="33" t="s">
        <v>1439</v>
      </c>
      <c r="C1937" s="33"/>
      <c r="D1937" s="33"/>
      <c r="E1937" s="33" t="n">
        <v>52</v>
      </c>
      <c r="F1937" s="33" t="s">
        <v>2163</v>
      </c>
      <c r="G1937" s="33" t="s">
        <v>1141</v>
      </c>
      <c r="H1937" s="33" t="n">
        <v>2</v>
      </c>
      <c r="I1937" s="33" t="n">
        <v>6</v>
      </c>
      <c r="J1937" s="33" t="n">
        <v>6</v>
      </c>
      <c r="K1937" s="32" t="n">
        <v>240</v>
      </c>
      <c r="L1937" s="33" t="str">
        <f aca="false">IF($B1937="","",IFERROR(INDEX('Code Mapping'!$D$5:$D$1753,MATCH($B1937,'Code Mapping'!$A$5:$A$1753,0)),"Unmapped"))</f>
        <v>Unmapped</v>
      </c>
      <c r="M1937" s="33" t="str">
        <f aca="false">IF($B1937="","",IFERROR(INDEX('Code Mapping'!$E$5:$E$1753,MATCH($B1937,'Code Mapping'!$A$5:$A$1753,0)),"Unmapped"))</f>
        <v>Unmapped</v>
      </c>
      <c r="N1937" s="33" t="str">
        <f aca="false">IF($F1937="","",$F1937)</f>
        <v>InflataRun</v>
      </c>
    </row>
    <row r="1938" customFormat="false" ht="15" hidden="false" customHeight="false" outlineLevel="0" collapsed="false">
      <c r="A1938" s="33" t="n">
        <v>392</v>
      </c>
      <c r="B1938" s="33" t="s">
        <v>1194</v>
      </c>
      <c r="C1938" s="33"/>
      <c r="D1938" s="33"/>
      <c r="E1938" s="33" t="n">
        <v>52</v>
      </c>
      <c r="F1938" s="33" t="s">
        <v>2163</v>
      </c>
      <c r="G1938" s="33" t="s">
        <v>1141</v>
      </c>
      <c r="H1938" s="33" t="n">
        <v>1</v>
      </c>
      <c r="I1938" s="33" t="n">
        <v>2</v>
      </c>
      <c r="J1938" s="33" t="n">
        <v>2</v>
      </c>
      <c r="K1938" s="32" t="n">
        <v>200</v>
      </c>
      <c r="L1938" s="33" t="str">
        <f aca="false">IF($B1938="","",IFERROR(INDEX('Code Mapping'!$D$5:$D$1753,MATCH($B1938,'Code Mapping'!$A$5:$A$1753,0)),"Unmapped"))</f>
        <v>Unmapped</v>
      </c>
      <c r="M1938" s="33" t="str">
        <f aca="false">IF($B1938="","",IFERROR(INDEX('Code Mapping'!$E$5:$E$1753,MATCH($B1938,'Code Mapping'!$A$5:$A$1753,0)),"Unmapped"))</f>
        <v>Unmapped</v>
      </c>
      <c r="N1938" s="33" t="str">
        <f aca="false">IF($F1938="","",$F1938)</f>
        <v>InflataRun</v>
      </c>
    </row>
    <row r="1939" customFormat="false" ht="15" hidden="false" customHeight="false" outlineLevel="0" collapsed="false">
      <c r="A1939" s="33" t="n">
        <v>396</v>
      </c>
      <c r="B1939" s="33" t="s">
        <v>1195</v>
      </c>
      <c r="C1939" s="33"/>
      <c r="D1939" s="33"/>
      <c r="E1939" s="33" t="n">
        <v>52</v>
      </c>
      <c r="F1939" s="33" t="s">
        <v>2163</v>
      </c>
      <c r="G1939" s="33" t="s">
        <v>1141</v>
      </c>
      <c r="H1939" s="33" t="n">
        <v>1</v>
      </c>
      <c r="I1939" s="33" t="n">
        <v>4</v>
      </c>
      <c r="J1939" s="33" t="n">
        <v>4</v>
      </c>
      <c r="K1939" s="32" t="n">
        <v>400</v>
      </c>
      <c r="L1939" s="33" t="str">
        <f aca="false">IF($B1939="","",IFERROR(INDEX('Code Mapping'!$D$5:$D$1753,MATCH($B1939,'Code Mapping'!$A$5:$A$1753,0)),"Unmapped"))</f>
        <v>Unmapped</v>
      </c>
      <c r="M1939" s="33" t="str">
        <f aca="false">IF($B1939="","",IFERROR(INDEX('Code Mapping'!$E$5:$E$1753,MATCH($B1939,'Code Mapping'!$A$5:$A$1753,0)),"Unmapped"))</f>
        <v>Unmapped</v>
      </c>
      <c r="N1939" s="33" t="str">
        <f aca="false">IF($F1939="","",$F1939)</f>
        <v>InflataRun</v>
      </c>
    </row>
    <row r="1940" customFormat="false" ht="15" hidden="false" customHeight="false" outlineLevel="0" collapsed="false">
      <c r="A1940" s="33" t="n">
        <v>306</v>
      </c>
      <c r="B1940" s="33" t="s">
        <v>1175</v>
      </c>
      <c r="C1940" s="33"/>
      <c r="D1940" s="33"/>
      <c r="E1940" s="33" t="n">
        <v>52</v>
      </c>
      <c r="F1940" s="33" t="s">
        <v>2163</v>
      </c>
      <c r="G1940" s="33" t="s">
        <v>1141</v>
      </c>
      <c r="H1940" s="33" t="n">
        <v>1</v>
      </c>
      <c r="I1940" s="33" t="n">
        <v>4</v>
      </c>
      <c r="J1940" s="33" t="n">
        <v>4</v>
      </c>
      <c r="K1940" s="32" t="n">
        <v>400</v>
      </c>
      <c r="L1940" s="33" t="str">
        <f aca="false">IF($B1940="","",IFERROR(INDEX('Code Mapping'!$D$5:$D$1753,MATCH($B1940,'Code Mapping'!$A$5:$A$1753,0)),"Unmapped"))</f>
        <v>Unmapped</v>
      </c>
      <c r="M1940" s="33" t="str">
        <f aca="false">IF($B1940="","",IFERROR(INDEX('Code Mapping'!$E$5:$E$1753,MATCH($B1940,'Code Mapping'!$A$5:$A$1753,0)),"Unmapped"))</f>
        <v>Unmapped</v>
      </c>
      <c r="N1940" s="33" t="str">
        <f aca="false">IF($F1940="","",$F1940)</f>
        <v>InflataRun</v>
      </c>
    </row>
    <row r="1941" customFormat="false" ht="15" hidden="false" customHeight="false" outlineLevel="0" collapsed="false">
      <c r="A1941" s="33" t="n">
        <v>149</v>
      </c>
      <c r="B1941" s="33" t="s">
        <v>1495</v>
      </c>
      <c r="C1941" s="33"/>
      <c r="D1941" s="33"/>
      <c r="E1941" s="33" t="n">
        <v>52</v>
      </c>
      <c r="F1941" s="33" t="s">
        <v>2163</v>
      </c>
      <c r="G1941" s="33" t="s">
        <v>1141</v>
      </c>
      <c r="H1941" s="33" t="n">
        <v>1</v>
      </c>
      <c r="I1941" s="33" t="n">
        <v>2</v>
      </c>
      <c r="J1941" s="33" t="n">
        <v>2</v>
      </c>
      <c r="K1941" s="32" t="n">
        <v>200</v>
      </c>
      <c r="L1941" s="33" t="str">
        <f aca="false">IF($B1941="","",IFERROR(INDEX('Code Mapping'!$D$5:$D$1753,MATCH($B1941,'Code Mapping'!$A$5:$A$1753,0)),"Unmapped"))</f>
        <v>Unmapped</v>
      </c>
      <c r="M1941" s="33" t="str">
        <f aca="false">IF($B1941="","",IFERROR(INDEX('Code Mapping'!$E$5:$E$1753,MATCH($B1941,'Code Mapping'!$A$5:$A$1753,0)),"Unmapped"))</f>
        <v>Unmapped</v>
      </c>
      <c r="N1941" s="33" t="str">
        <f aca="false">IF($F1941="","",$F1941)</f>
        <v>InflataRun</v>
      </c>
    </row>
    <row r="1942" customFormat="false" ht="15" hidden="false" customHeight="false" outlineLevel="0" collapsed="false">
      <c r="A1942" s="33" t="n">
        <v>145</v>
      </c>
      <c r="B1942" s="33" t="s">
        <v>1440</v>
      </c>
      <c r="C1942" s="33"/>
      <c r="D1942" s="33"/>
      <c r="E1942" s="33" t="n">
        <v>52</v>
      </c>
      <c r="F1942" s="33" t="s">
        <v>2163</v>
      </c>
      <c r="G1942" s="33" t="s">
        <v>1141</v>
      </c>
      <c r="H1942" s="33" t="n">
        <v>1</v>
      </c>
      <c r="I1942" s="33" t="n">
        <v>4</v>
      </c>
      <c r="J1942" s="33" t="n">
        <v>4</v>
      </c>
      <c r="K1942" s="32" t="n">
        <v>400</v>
      </c>
      <c r="L1942" s="33" t="str">
        <f aca="false">IF($B1942="","",IFERROR(INDEX('Code Mapping'!$D$5:$D$1753,MATCH($B1942,'Code Mapping'!$A$5:$A$1753,0)),"Unmapped"))</f>
        <v>Unmapped</v>
      </c>
      <c r="M1942" s="33" t="str">
        <f aca="false">IF($B1942="","",IFERROR(INDEX('Code Mapping'!$E$5:$E$1753,MATCH($B1942,'Code Mapping'!$A$5:$A$1753,0)),"Unmapped"))</f>
        <v>Unmapped</v>
      </c>
      <c r="N1942" s="33" t="str">
        <f aca="false">IF($F1942="","",$F1942)</f>
        <v>InflataRun</v>
      </c>
    </row>
    <row r="1943" customFormat="false" ht="15" hidden="false" customHeight="false" outlineLevel="0" collapsed="false">
      <c r="A1943" s="33" t="n">
        <v>379</v>
      </c>
      <c r="B1943" s="33" t="s">
        <v>1437</v>
      </c>
      <c r="C1943" s="33"/>
      <c r="D1943" s="33"/>
      <c r="E1943" s="33" t="n">
        <v>52</v>
      </c>
      <c r="F1943" s="33" t="s">
        <v>2163</v>
      </c>
      <c r="G1943" s="33" t="s">
        <v>1141</v>
      </c>
      <c r="H1943" s="33" t="n">
        <v>1</v>
      </c>
      <c r="I1943" s="33" t="n">
        <v>18</v>
      </c>
      <c r="J1943" s="33" t="n">
        <v>18</v>
      </c>
      <c r="K1943" s="32" t="n">
        <v>540</v>
      </c>
      <c r="L1943" s="33" t="str">
        <f aca="false">IF($B1943="","",IFERROR(INDEX('Code Mapping'!$D$5:$D$1753,MATCH($B1943,'Code Mapping'!$A$5:$A$1753,0)),"Unmapped"))</f>
        <v>Unmapped</v>
      </c>
      <c r="M1943" s="33" t="str">
        <f aca="false">IF($B1943="","",IFERROR(INDEX('Code Mapping'!$E$5:$E$1753,MATCH($B1943,'Code Mapping'!$A$5:$A$1753,0)),"Unmapped"))</f>
        <v>Unmapped</v>
      </c>
      <c r="N1943" s="33" t="str">
        <f aca="false">IF($F1943="","",$F1943)</f>
        <v>InflataRun</v>
      </c>
    </row>
    <row r="1944" customFormat="false" ht="15" hidden="false" customHeight="false" outlineLevel="0" collapsed="false">
      <c r="A1944" s="33" t="n">
        <v>262</v>
      </c>
      <c r="B1944" s="33" t="s">
        <v>1427</v>
      </c>
      <c r="C1944" s="33"/>
      <c r="D1944" s="33"/>
      <c r="E1944" s="33" t="n">
        <v>52</v>
      </c>
      <c r="F1944" s="33" t="s">
        <v>2163</v>
      </c>
      <c r="G1944" s="33" t="s">
        <v>1141</v>
      </c>
      <c r="H1944" s="33" t="n">
        <v>1</v>
      </c>
      <c r="I1944" s="33" t="n">
        <v>4</v>
      </c>
      <c r="J1944" s="33" t="n">
        <v>4</v>
      </c>
      <c r="K1944" s="32" t="n">
        <v>400</v>
      </c>
      <c r="L1944" s="33" t="str">
        <f aca="false">IF($B1944="","",IFERROR(INDEX('Code Mapping'!$D$5:$D$1753,MATCH($B1944,'Code Mapping'!$A$5:$A$1753,0)),"Unmapped"))</f>
        <v>Unmapped</v>
      </c>
      <c r="M1944" s="33" t="str">
        <f aca="false">IF($B1944="","",IFERROR(INDEX('Code Mapping'!$E$5:$E$1753,MATCH($B1944,'Code Mapping'!$A$5:$A$1753,0)),"Unmapped"))</f>
        <v>Unmapped</v>
      </c>
      <c r="N1944" s="33" t="str">
        <f aca="false">IF($F1944="","",$F1944)</f>
        <v>InflataRun</v>
      </c>
    </row>
    <row r="1945" customFormat="false" ht="15" hidden="false" customHeight="false" outlineLevel="0" collapsed="false">
      <c r="A1945" s="33" t="n">
        <v>419</v>
      </c>
      <c r="B1945" s="33" t="s">
        <v>1424</v>
      </c>
      <c r="C1945" s="33"/>
      <c r="D1945" s="33"/>
      <c r="E1945" s="33" t="n">
        <v>52</v>
      </c>
      <c r="F1945" s="33" t="s">
        <v>2163</v>
      </c>
      <c r="G1945" s="33" t="s">
        <v>1141</v>
      </c>
      <c r="H1945" s="33" t="n">
        <v>1</v>
      </c>
      <c r="I1945" s="33" t="n">
        <v>4</v>
      </c>
      <c r="J1945" s="33" t="n">
        <v>4</v>
      </c>
      <c r="K1945" s="32" t="n">
        <v>400</v>
      </c>
      <c r="L1945" s="33" t="str">
        <f aca="false">IF($B1945="","",IFERROR(INDEX('Code Mapping'!$D$5:$D$1753,MATCH($B1945,'Code Mapping'!$A$5:$A$1753,0)),"Unmapped"))</f>
        <v>Unmapped</v>
      </c>
      <c r="M1945" s="33" t="str">
        <f aca="false">IF($B1945="","",IFERROR(INDEX('Code Mapping'!$E$5:$E$1753,MATCH($B1945,'Code Mapping'!$A$5:$A$1753,0)),"Unmapped"))</f>
        <v>Unmapped</v>
      </c>
      <c r="N1945" s="33" t="str">
        <f aca="false">IF($F1945="","",$F1945)</f>
        <v>InflataRun</v>
      </c>
    </row>
    <row r="1946" customFormat="false" ht="15" hidden="false" customHeight="false" outlineLevel="0" collapsed="false">
      <c r="A1946" s="33" t="n">
        <v>378</v>
      </c>
      <c r="B1946" s="33" t="s">
        <v>1345</v>
      </c>
      <c r="C1946" s="33"/>
      <c r="D1946" s="33"/>
      <c r="E1946" s="33" t="n">
        <v>52</v>
      </c>
      <c r="F1946" s="33" t="s">
        <v>2163</v>
      </c>
      <c r="G1946" s="33" t="s">
        <v>1141</v>
      </c>
      <c r="H1946" s="33" t="n">
        <v>2</v>
      </c>
      <c r="I1946" s="33" t="n">
        <v>10</v>
      </c>
      <c r="J1946" s="33" t="n">
        <v>10</v>
      </c>
      <c r="K1946" s="32" t="n">
        <v>1000</v>
      </c>
      <c r="L1946" s="33" t="str">
        <f aca="false">IF($B1946="","",IFERROR(INDEX('Code Mapping'!$D$5:$D$1753,MATCH($B1946,'Code Mapping'!$A$5:$A$1753,0)),"Unmapped"))</f>
        <v>Unmapped</v>
      </c>
      <c r="M1946" s="33" t="str">
        <f aca="false">IF($B1946="","",IFERROR(INDEX('Code Mapping'!$E$5:$E$1753,MATCH($B1946,'Code Mapping'!$A$5:$A$1753,0)),"Unmapped"))</f>
        <v>Unmapped</v>
      </c>
      <c r="N1946" s="33" t="str">
        <f aca="false">IF($F1946="","",$F1946)</f>
        <v>InflataRun</v>
      </c>
    </row>
    <row r="1947" customFormat="false" ht="15" hidden="false" customHeight="false" outlineLevel="0" collapsed="false">
      <c r="A1947" s="33" t="n">
        <v>425</v>
      </c>
      <c r="B1947" s="33" t="s">
        <v>1344</v>
      </c>
      <c r="C1947" s="33"/>
      <c r="D1947" s="33"/>
      <c r="E1947" s="33" t="n">
        <v>52</v>
      </c>
      <c r="F1947" s="33" t="s">
        <v>2163</v>
      </c>
      <c r="G1947" s="33" t="s">
        <v>1141</v>
      </c>
      <c r="H1947" s="33" t="n">
        <v>1</v>
      </c>
      <c r="I1947" s="33" t="n">
        <v>4</v>
      </c>
      <c r="J1947" s="33" t="n">
        <v>4</v>
      </c>
      <c r="K1947" s="32" t="n">
        <v>400</v>
      </c>
      <c r="L1947" s="33" t="str">
        <f aca="false">IF($B1947="","",IFERROR(INDEX('Code Mapping'!$D$5:$D$1753,MATCH($B1947,'Code Mapping'!$A$5:$A$1753,0)),"Unmapped"))</f>
        <v>Unmapped</v>
      </c>
      <c r="M1947" s="33" t="str">
        <f aca="false">IF($B1947="","",IFERROR(INDEX('Code Mapping'!$E$5:$E$1753,MATCH($B1947,'Code Mapping'!$A$5:$A$1753,0)),"Unmapped"))</f>
        <v>Unmapped</v>
      </c>
      <c r="N1947" s="33" t="str">
        <f aca="false">IF($F1947="","",$F1947)</f>
        <v>InflataRun</v>
      </c>
    </row>
    <row r="1948" customFormat="false" ht="15" hidden="false" customHeight="false" outlineLevel="0" collapsed="false">
      <c r="A1948" s="33" t="n">
        <v>411</v>
      </c>
      <c r="B1948" s="33" t="s">
        <v>1343</v>
      </c>
      <c r="C1948" s="33"/>
      <c r="D1948" s="33"/>
      <c r="E1948" s="33" t="n">
        <v>52</v>
      </c>
      <c r="F1948" s="33" t="s">
        <v>2163</v>
      </c>
      <c r="G1948" s="33" t="s">
        <v>1141</v>
      </c>
      <c r="H1948" s="33" t="n">
        <v>1</v>
      </c>
      <c r="I1948" s="33" t="n">
        <v>3</v>
      </c>
      <c r="J1948" s="33" t="n">
        <v>3</v>
      </c>
      <c r="K1948" s="32" t="n">
        <v>300</v>
      </c>
      <c r="L1948" s="33" t="str">
        <f aca="false">IF($B1948="","",IFERROR(INDEX('Code Mapping'!$D$5:$D$1753,MATCH($B1948,'Code Mapping'!$A$5:$A$1753,0)),"Unmapped"))</f>
        <v>Unmapped</v>
      </c>
      <c r="M1948" s="33" t="str">
        <f aca="false">IF($B1948="","",IFERROR(INDEX('Code Mapping'!$E$5:$E$1753,MATCH($B1948,'Code Mapping'!$A$5:$A$1753,0)),"Unmapped"))</f>
        <v>Unmapped</v>
      </c>
      <c r="N1948" s="33" t="str">
        <f aca="false">IF($F1948="","",$F1948)</f>
        <v>InflataRun</v>
      </c>
    </row>
    <row r="1949" customFormat="false" ht="15" hidden="false" customHeight="false" outlineLevel="0" collapsed="false">
      <c r="A1949" s="33" t="n">
        <v>147</v>
      </c>
      <c r="B1949" s="33" t="s">
        <v>1323</v>
      </c>
      <c r="C1949" s="33"/>
      <c r="D1949" s="33"/>
      <c r="E1949" s="33" t="n">
        <v>52</v>
      </c>
      <c r="F1949" s="33" t="s">
        <v>2163</v>
      </c>
      <c r="G1949" s="33" t="s">
        <v>1141</v>
      </c>
      <c r="H1949" s="33" t="n">
        <v>1</v>
      </c>
      <c r="I1949" s="33" t="n">
        <v>1</v>
      </c>
      <c r="J1949" s="33" t="n">
        <v>1</v>
      </c>
      <c r="K1949" s="32" t="n">
        <v>60</v>
      </c>
      <c r="L1949" s="33" t="str">
        <f aca="false">IF($B1949="","",IFERROR(INDEX('Code Mapping'!$D$5:$D$1753,MATCH($B1949,'Code Mapping'!$A$5:$A$1753,0)),"Unmapped"))</f>
        <v>Unmapped</v>
      </c>
      <c r="M1949" s="33" t="str">
        <f aca="false">IF($B1949="","",IFERROR(INDEX('Code Mapping'!$E$5:$E$1753,MATCH($B1949,'Code Mapping'!$A$5:$A$1753,0)),"Unmapped"))</f>
        <v>Unmapped</v>
      </c>
      <c r="N1949" s="33" t="str">
        <f aca="false">IF($F1949="","",$F1949)</f>
        <v>InflataRun</v>
      </c>
    </row>
    <row r="1950" customFormat="false" ht="15" hidden="false" customHeight="false" outlineLevel="0" collapsed="false">
      <c r="A1950" s="33" t="n">
        <v>409</v>
      </c>
      <c r="B1950" s="33" t="s">
        <v>1278</v>
      </c>
      <c r="C1950" s="33"/>
      <c r="D1950" s="33"/>
      <c r="E1950" s="33" t="n">
        <v>52</v>
      </c>
      <c r="F1950" s="33" t="s">
        <v>2163</v>
      </c>
      <c r="G1950" s="33" t="s">
        <v>1141</v>
      </c>
      <c r="H1950" s="33" t="n">
        <v>1</v>
      </c>
      <c r="I1950" s="33" t="n">
        <v>3</v>
      </c>
      <c r="J1950" s="33" t="n">
        <v>3</v>
      </c>
      <c r="K1950" s="32" t="n">
        <v>300</v>
      </c>
      <c r="L1950" s="33" t="str">
        <f aca="false">IF($B1950="","",IFERROR(INDEX('Code Mapping'!$D$5:$D$1753,MATCH($B1950,'Code Mapping'!$A$5:$A$1753,0)),"Unmapped"))</f>
        <v>Unmapped</v>
      </c>
      <c r="M1950" s="33" t="str">
        <f aca="false">IF($B1950="","",IFERROR(INDEX('Code Mapping'!$E$5:$E$1753,MATCH($B1950,'Code Mapping'!$A$5:$A$1753,0)),"Unmapped"))</f>
        <v>Unmapped</v>
      </c>
      <c r="N1950" s="33" t="str">
        <f aca="false">IF($F1950="","",$F1950)</f>
        <v>InflataRun</v>
      </c>
    </row>
    <row r="1951" customFormat="false" ht="15" hidden="false" customHeight="false" outlineLevel="0" collapsed="false">
      <c r="A1951" s="33" t="n">
        <v>148</v>
      </c>
      <c r="B1951" s="33" t="s">
        <v>1262</v>
      </c>
      <c r="C1951" s="33"/>
      <c r="D1951" s="33"/>
      <c r="E1951" s="33" t="n">
        <v>52</v>
      </c>
      <c r="F1951" s="33" t="s">
        <v>2163</v>
      </c>
      <c r="G1951" s="33" t="s">
        <v>1141</v>
      </c>
      <c r="H1951" s="33" t="n">
        <v>2</v>
      </c>
      <c r="I1951" s="33" t="n">
        <v>8</v>
      </c>
      <c r="J1951" s="33" t="n">
        <v>8</v>
      </c>
      <c r="K1951" s="32" t="n">
        <v>800</v>
      </c>
      <c r="L1951" s="33" t="str">
        <f aca="false">IF($B1951="","",IFERROR(INDEX('Code Mapping'!$D$5:$D$1753,MATCH($B1951,'Code Mapping'!$A$5:$A$1753,0)),"Unmapped"))</f>
        <v>Unmapped</v>
      </c>
      <c r="M1951" s="33" t="str">
        <f aca="false">IF($B1951="","",IFERROR(INDEX('Code Mapping'!$E$5:$E$1753,MATCH($B1951,'Code Mapping'!$A$5:$A$1753,0)),"Unmapped"))</f>
        <v>Unmapped</v>
      </c>
      <c r="N1951" s="33" t="str">
        <f aca="false">IF($F1951="","",$F1951)</f>
        <v>InflataRun</v>
      </c>
    </row>
    <row r="1952" customFormat="false" ht="15" hidden="false" customHeight="false" outlineLevel="0" collapsed="false">
      <c r="A1952" s="33" t="n">
        <v>422</v>
      </c>
      <c r="B1952" s="33" t="s">
        <v>1233</v>
      </c>
      <c r="C1952" s="33"/>
      <c r="D1952" s="33"/>
      <c r="E1952" s="33" t="n">
        <v>52</v>
      </c>
      <c r="F1952" s="33" t="s">
        <v>2163</v>
      </c>
      <c r="G1952" s="33" t="s">
        <v>1141</v>
      </c>
      <c r="H1952" s="33" t="n">
        <v>1</v>
      </c>
      <c r="I1952" s="33" t="n">
        <v>3</v>
      </c>
      <c r="J1952" s="33" t="n">
        <v>3</v>
      </c>
      <c r="K1952" s="32" t="n">
        <v>300</v>
      </c>
      <c r="L1952" s="33" t="str">
        <f aca="false">IF($B1952="","",IFERROR(INDEX('Code Mapping'!$D$5:$D$1753,MATCH($B1952,'Code Mapping'!$A$5:$A$1753,0)),"Unmapped"))</f>
        <v>Unmapped</v>
      </c>
      <c r="M1952" s="33" t="str">
        <f aca="false">IF($B1952="","",IFERROR(INDEX('Code Mapping'!$E$5:$E$1753,MATCH($B1952,'Code Mapping'!$A$5:$A$1753,0)),"Unmapped"))</f>
        <v>Unmapped</v>
      </c>
      <c r="N1952" s="33" t="str">
        <f aca="false">IF($F1952="","",$F1952)</f>
        <v>InflataRun</v>
      </c>
    </row>
    <row r="1953" customFormat="false" ht="15" hidden="false" customHeight="false" outlineLevel="0" collapsed="false">
      <c r="A1953" s="33" t="n">
        <v>173</v>
      </c>
      <c r="B1953" s="33" t="s">
        <v>1197</v>
      </c>
      <c r="C1953" s="33"/>
      <c r="D1953" s="33"/>
      <c r="E1953" s="33" t="n">
        <v>52</v>
      </c>
      <c r="F1953" s="33" t="s">
        <v>2163</v>
      </c>
      <c r="G1953" s="33" t="s">
        <v>1141</v>
      </c>
      <c r="H1953" s="33" t="n">
        <v>1</v>
      </c>
      <c r="I1953" s="33" t="n">
        <v>1</v>
      </c>
      <c r="J1953" s="33" t="n">
        <v>1</v>
      </c>
      <c r="K1953" s="32" t="n">
        <v>100</v>
      </c>
      <c r="L1953" s="33" t="str">
        <f aca="false">IF($B1953="","",IFERROR(INDEX('Code Mapping'!$D$5:$D$1753,MATCH($B1953,'Code Mapping'!$A$5:$A$1753,0)),"Unmapped"))</f>
        <v>Unmapped</v>
      </c>
      <c r="M1953" s="33" t="str">
        <f aca="false">IF($B1953="","",IFERROR(INDEX('Code Mapping'!$E$5:$E$1753,MATCH($B1953,'Code Mapping'!$A$5:$A$1753,0)),"Unmapped"))</f>
        <v>Unmapped</v>
      </c>
      <c r="N1953" s="33" t="str">
        <f aca="false">IF($F1953="","",$F1953)</f>
        <v>InflataRun</v>
      </c>
    </row>
    <row r="1954" customFormat="false" ht="15" hidden="false" customHeight="false" outlineLevel="0" collapsed="false">
      <c r="A1954" s="33" t="n">
        <v>167</v>
      </c>
      <c r="B1954" s="33" t="s">
        <v>1196</v>
      </c>
      <c r="C1954" s="33"/>
      <c r="D1954" s="33"/>
      <c r="E1954" s="33" t="n">
        <v>52</v>
      </c>
      <c r="F1954" s="33" t="s">
        <v>2163</v>
      </c>
      <c r="G1954" s="33" t="s">
        <v>1141</v>
      </c>
      <c r="H1954" s="33" t="n">
        <v>1</v>
      </c>
      <c r="I1954" s="33" t="n">
        <v>5</v>
      </c>
      <c r="J1954" s="33" t="n">
        <v>5</v>
      </c>
      <c r="K1954" s="32" t="n">
        <v>500</v>
      </c>
      <c r="L1954" s="33" t="str">
        <f aca="false">IF($B1954="","",IFERROR(INDEX('Code Mapping'!$D$5:$D$1753,MATCH($B1954,'Code Mapping'!$A$5:$A$1753,0)),"Unmapped"))</f>
        <v>Unmapped</v>
      </c>
      <c r="M1954" s="33" t="str">
        <f aca="false">IF($B1954="","",IFERROR(INDEX('Code Mapping'!$E$5:$E$1753,MATCH($B1954,'Code Mapping'!$A$5:$A$1753,0)),"Unmapped"))</f>
        <v>Unmapped</v>
      </c>
      <c r="N1954" s="33" t="str">
        <f aca="false">IF($F1954="","",$F1954)</f>
        <v>InflataRun</v>
      </c>
    </row>
    <row r="1955" customFormat="false" ht="15" hidden="false" customHeight="false" outlineLevel="0" collapsed="false">
      <c r="A1955" s="33" t="n">
        <v>308</v>
      </c>
      <c r="B1955" s="33" t="s">
        <v>1176</v>
      </c>
      <c r="C1955" s="33"/>
      <c r="D1955" s="33"/>
      <c r="E1955" s="33" t="n">
        <v>52</v>
      </c>
      <c r="F1955" s="33" t="s">
        <v>2163</v>
      </c>
      <c r="G1955" s="33" t="s">
        <v>1141</v>
      </c>
      <c r="H1955" s="33" t="n">
        <v>1</v>
      </c>
      <c r="I1955" s="33" t="n">
        <v>2</v>
      </c>
      <c r="J1955" s="33" t="n">
        <v>2</v>
      </c>
      <c r="K1955" s="32" t="n">
        <v>200</v>
      </c>
      <c r="L1955" s="33" t="str">
        <f aca="false">IF($B1955="","",IFERROR(INDEX('Code Mapping'!$D$5:$D$1753,MATCH($B1955,'Code Mapping'!$A$5:$A$1753,0)),"Unmapped"))</f>
        <v>Unmapped</v>
      </c>
      <c r="M1955" s="33" t="str">
        <f aca="false">IF($B1955="","",IFERROR(INDEX('Code Mapping'!$E$5:$E$1753,MATCH($B1955,'Code Mapping'!$A$5:$A$1753,0)),"Unmapped"))</f>
        <v>Unmapped</v>
      </c>
      <c r="N1955" s="33" t="str">
        <f aca="false">IF($F1955="","",$F1955)</f>
        <v>InflataRun</v>
      </c>
    </row>
    <row r="1956" customFormat="false" ht="15" hidden="false" customHeight="false" outlineLevel="0" collapsed="false">
      <c r="A1956" s="33" t="n">
        <v>375</v>
      </c>
      <c r="B1956" s="33" t="s">
        <v>1192</v>
      </c>
      <c r="C1956" s="33"/>
      <c r="D1956" s="33"/>
      <c r="E1956" s="33" t="n">
        <v>52</v>
      </c>
      <c r="F1956" s="33" t="s">
        <v>2163</v>
      </c>
      <c r="G1956" s="33" t="s">
        <v>1141</v>
      </c>
      <c r="H1956" s="33" t="n">
        <v>1</v>
      </c>
      <c r="I1956" s="33" t="n">
        <v>2</v>
      </c>
      <c r="J1956" s="33" t="n">
        <v>2</v>
      </c>
      <c r="K1956" s="32" t="n">
        <v>200</v>
      </c>
      <c r="L1956" s="33" t="str">
        <f aca="false">IF($B1956="","",IFERROR(INDEX('Code Mapping'!$D$5:$D$1753,MATCH($B1956,'Code Mapping'!$A$5:$A$1753,0)),"Unmapped"))</f>
        <v>Unmapped</v>
      </c>
      <c r="M1956" s="33" t="str">
        <f aca="false">IF($B1956="","",IFERROR(INDEX('Code Mapping'!$E$5:$E$1753,MATCH($B1956,'Code Mapping'!$A$5:$A$1753,0)),"Unmapped"))</f>
        <v>Unmapped</v>
      </c>
      <c r="N1956" s="33" t="str">
        <f aca="false">IF($F1956="","",$F1956)</f>
        <v>InflataRun</v>
      </c>
    </row>
    <row r="1957" customFormat="false" ht="15" hidden="false" customHeight="false" outlineLevel="0" collapsed="false">
      <c r="A1957" s="33" t="n">
        <v>301</v>
      </c>
      <c r="B1957" s="33" t="s">
        <v>1174</v>
      </c>
      <c r="C1957" s="33"/>
      <c r="D1957" s="33"/>
      <c r="E1957" s="33" t="n">
        <v>52</v>
      </c>
      <c r="F1957" s="33" t="s">
        <v>2163</v>
      </c>
      <c r="G1957" s="33" t="s">
        <v>1141</v>
      </c>
      <c r="H1957" s="33" t="n">
        <v>1</v>
      </c>
      <c r="I1957" s="33" t="n">
        <v>2</v>
      </c>
      <c r="J1957" s="33" t="n">
        <v>2</v>
      </c>
      <c r="K1957" s="32" t="n">
        <v>200</v>
      </c>
      <c r="L1957" s="33" t="str">
        <f aca="false">IF($B1957="","",IFERROR(INDEX('Code Mapping'!$D$5:$D$1753,MATCH($B1957,'Code Mapping'!$A$5:$A$1753,0)),"Unmapped"))</f>
        <v>Unmapped</v>
      </c>
      <c r="M1957" s="33" t="str">
        <f aca="false">IF($B1957="","",IFERROR(INDEX('Code Mapping'!$E$5:$E$1753,MATCH($B1957,'Code Mapping'!$A$5:$A$1753,0)),"Unmapped"))</f>
        <v>Unmapped</v>
      </c>
      <c r="N1957" s="33" t="str">
        <f aca="false">IF($F1957="","",$F1957)</f>
        <v>InflataRun</v>
      </c>
    </row>
    <row r="1958" customFormat="false" ht="15" hidden="false" customHeight="false" outlineLevel="0" collapsed="false">
      <c r="A1958" s="33" t="n">
        <v>227</v>
      </c>
      <c r="B1958" s="33" t="s">
        <v>1156</v>
      </c>
      <c r="C1958" s="33"/>
      <c r="D1958" s="33"/>
      <c r="E1958" s="33" t="n">
        <v>52</v>
      </c>
      <c r="F1958" s="33" t="s">
        <v>2163</v>
      </c>
      <c r="G1958" s="33" t="s">
        <v>1141</v>
      </c>
      <c r="H1958" s="33" t="n">
        <v>1</v>
      </c>
      <c r="I1958" s="33" t="n">
        <v>9</v>
      </c>
      <c r="J1958" s="33" t="n">
        <v>9</v>
      </c>
      <c r="K1958" s="32" t="n">
        <v>900</v>
      </c>
      <c r="L1958" s="33" t="str">
        <f aca="false">IF($B1958="","",IFERROR(INDEX('Code Mapping'!$D$5:$D$1753,MATCH($B1958,'Code Mapping'!$A$5:$A$1753,0)),"Unmapped"))</f>
        <v>Unmapped</v>
      </c>
      <c r="M1958" s="33" t="str">
        <f aca="false">IF($B1958="","",IFERROR(INDEX('Code Mapping'!$E$5:$E$1753,MATCH($B1958,'Code Mapping'!$A$5:$A$1753,0)),"Unmapped"))</f>
        <v>Unmapped</v>
      </c>
      <c r="N1958" s="33" t="str">
        <f aca="false">IF($F1958="","",$F1958)</f>
        <v>InflataRun</v>
      </c>
    </row>
    <row r="1959" customFormat="false" ht="15" hidden="false" customHeight="false" outlineLevel="0" collapsed="false">
      <c r="A1959" s="33" t="n">
        <v>223</v>
      </c>
      <c r="B1959" s="33" t="s">
        <v>1154</v>
      </c>
      <c r="C1959" s="33"/>
      <c r="D1959" s="33"/>
      <c r="E1959" s="33" t="n">
        <v>52</v>
      </c>
      <c r="F1959" s="33" t="s">
        <v>2163</v>
      </c>
      <c r="G1959" s="33" t="s">
        <v>1141</v>
      </c>
      <c r="H1959" s="33" t="n">
        <v>1</v>
      </c>
      <c r="I1959" s="33" t="n">
        <v>4</v>
      </c>
      <c r="J1959" s="33" t="n">
        <v>4</v>
      </c>
      <c r="K1959" s="32" t="n">
        <v>400</v>
      </c>
      <c r="L1959" s="33" t="str">
        <f aca="false">IF($B1959="","",IFERROR(INDEX('Code Mapping'!$D$5:$D$1753,MATCH($B1959,'Code Mapping'!$A$5:$A$1753,0)),"Unmapped"))</f>
        <v>Unmapped</v>
      </c>
      <c r="M1959" s="33" t="str">
        <f aca="false">IF($B1959="","",IFERROR(INDEX('Code Mapping'!$E$5:$E$1753,MATCH($B1959,'Code Mapping'!$A$5:$A$1753,0)),"Unmapped"))</f>
        <v>Unmapped</v>
      </c>
      <c r="N1959" s="33" t="str">
        <f aca="false">IF($F1959="","",$F1959)</f>
        <v>InflataRun</v>
      </c>
    </row>
    <row r="1960" customFormat="false" ht="15" hidden="false" customHeight="false" outlineLevel="0" collapsed="false">
      <c r="A1960" s="33" t="n">
        <v>299</v>
      </c>
      <c r="B1960" s="33" t="s">
        <v>1173</v>
      </c>
      <c r="C1960" s="33"/>
      <c r="D1960" s="33"/>
      <c r="E1960" s="33" t="n">
        <v>52</v>
      </c>
      <c r="F1960" s="33" t="s">
        <v>2163</v>
      </c>
      <c r="G1960" s="33" t="s">
        <v>1141</v>
      </c>
      <c r="H1960" s="33" t="n">
        <v>1</v>
      </c>
      <c r="I1960" s="33" t="n">
        <v>2</v>
      </c>
      <c r="J1960" s="33" t="n">
        <v>2</v>
      </c>
      <c r="K1960" s="32" t="n">
        <v>200</v>
      </c>
      <c r="L1960" s="33" t="str">
        <f aca="false">IF($B1960="","",IFERROR(INDEX('Code Mapping'!$D$5:$D$1753,MATCH($B1960,'Code Mapping'!$A$5:$A$1753,0)),"Unmapped"))</f>
        <v>Unmapped</v>
      </c>
      <c r="M1960" s="33" t="str">
        <f aca="false">IF($B1960="","",IFERROR(INDEX('Code Mapping'!$E$5:$E$1753,MATCH($B1960,'Code Mapping'!$A$5:$A$1753,0)),"Unmapped"))</f>
        <v>Unmapped</v>
      </c>
      <c r="N1960" s="33" t="str">
        <f aca="false">IF($F1960="","",$F1960)</f>
        <v>InflataRun</v>
      </c>
    </row>
    <row r="1961" customFormat="false" ht="15" hidden="false" customHeight="false" outlineLevel="0" collapsed="false">
      <c r="A1961" s="33" t="n">
        <v>207</v>
      </c>
      <c r="B1961" s="33" t="s">
        <v>1152</v>
      </c>
      <c r="C1961" s="33"/>
      <c r="D1961" s="33"/>
      <c r="E1961" s="33" t="n">
        <v>52</v>
      </c>
      <c r="F1961" s="33" t="s">
        <v>2163</v>
      </c>
      <c r="G1961" s="33" t="s">
        <v>1141</v>
      </c>
      <c r="H1961" s="33" t="n">
        <v>1</v>
      </c>
      <c r="I1961" s="33" t="n">
        <v>2</v>
      </c>
      <c r="J1961" s="33" t="n">
        <v>2</v>
      </c>
      <c r="K1961" s="32" t="n">
        <v>200</v>
      </c>
      <c r="L1961" s="33" t="str">
        <f aca="false">IF($B1961="","",IFERROR(INDEX('Code Mapping'!$D$5:$D$1753,MATCH($B1961,'Code Mapping'!$A$5:$A$1753,0)),"Unmapped"))</f>
        <v>Unmapped</v>
      </c>
      <c r="M1961" s="33" t="str">
        <f aca="false">IF($B1961="","",IFERROR(INDEX('Code Mapping'!$E$5:$E$1753,MATCH($B1961,'Code Mapping'!$A$5:$A$1753,0)),"Unmapped"))</f>
        <v>Unmapped</v>
      </c>
      <c r="N1961" s="33" t="str">
        <f aca="false">IF($F1961="","",$F1961)</f>
        <v>InflataRun</v>
      </c>
    </row>
    <row r="1962" customFormat="false" ht="15" hidden="false" customHeight="false" outlineLevel="0" collapsed="false">
      <c r="A1962" s="33" t="n">
        <v>206</v>
      </c>
      <c r="B1962" s="33" t="s">
        <v>1151</v>
      </c>
      <c r="C1962" s="33"/>
      <c r="D1962" s="33"/>
      <c r="E1962" s="33" t="n">
        <v>52</v>
      </c>
      <c r="F1962" s="33" t="s">
        <v>2163</v>
      </c>
      <c r="G1962" s="33" t="s">
        <v>1141</v>
      </c>
      <c r="H1962" s="33" t="n">
        <v>1</v>
      </c>
      <c r="I1962" s="33" t="n">
        <v>2</v>
      </c>
      <c r="J1962" s="33" t="n">
        <v>2</v>
      </c>
      <c r="K1962" s="32" t="n">
        <v>200</v>
      </c>
      <c r="L1962" s="33" t="str">
        <f aca="false">IF($B1962="","",IFERROR(INDEX('Code Mapping'!$D$5:$D$1753,MATCH($B1962,'Code Mapping'!$A$5:$A$1753,0)),"Unmapped"))</f>
        <v>Unmapped</v>
      </c>
      <c r="M1962" s="33" t="str">
        <f aca="false">IF($B1962="","",IFERROR(INDEX('Code Mapping'!$E$5:$E$1753,MATCH($B1962,'Code Mapping'!$A$5:$A$1753,0)),"Unmapped"))</f>
        <v>Unmapped</v>
      </c>
      <c r="N1962" s="33" t="str">
        <f aca="false">IF($F1962="","",$F1962)</f>
        <v>InflataRun</v>
      </c>
    </row>
    <row r="1963" customFormat="false" ht="15" hidden="false" customHeight="false" outlineLevel="0" collapsed="false">
      <c r="A1963" s="33" t="n">
        <v>204</v>
      </c>
      <c r="B1963" s="33" t="s">
        <v>1150</v>
      </c>
      <c r="C1963" s="33"/>
      <c r="D1963" s="33"/>
      <c r="E1963" s="33" t="n">
        <v>52</v>
      </c>
      <c r="F1963" s="33" t="s">
        <v>2163</v>
      </c>
      <c r="G1963" s="33" t="s">
        <v>1141</v>
      </c>
      <c r="H1963" s="33" t="n">
        <v>1</v>
      </c>
      <c r="I1963" s="33" t="n">
        <v>4</v>
      </c>
      <c r="J1963" s="33" t="n">
        <v>4</v>
      </c>
      <c r="K1963" s="32" t="n">
        <v>400</v>
      </c>
      <c r="L1963" s="33" t="str">
        <f aca="false">IF($B1963="","",IFERROR(INDEX('Code Mapping'!$D$5:$D$1753,MATCH($B1963,'Code Mapping'!$A$5:$A$1753,0)),"Unmapped"))</f>
        <v>Unmapped</v>
      </c>
      <c r="M1963" s="33" t="str">
        <f aca="false">IF($B1963="","",IFERROR(INDEX('Code Mapping'!$E$5:$E$1753,MATCH($B1963,'Code Mapping'!$A$5:$A$1753,0)),"Unmapped"))</f>
        <v>Unmapped</v>
      </c>
      <c r="N1963" s="33" t="str">
        <f aca="false">IF($F1963="","",$F1963)</f>
        <v>InflataRun</v>
      </c>
    </row>
    <row r="1964" customFormat="false" ht="15" hidden="false" customHeight="false" outlineLevel="0" collapsed="false">
      <c r="A1964" s="33" t="n">
        <v>202</v>
      </c>
      <c r="B1964" s="33" t="s">
        <v>1149</v>
      </c>
      <c r="C1964" s="33"/>
      <c r="D1964" s="33"/>
      <c r="E1964" s="33" t="n">
        <v>52</v>
      </c>
      <c r="F1964" s="33" t="s">
        <v>2163</v>
      </c>
      <c r="G1964" s="33" t="s">
        <v>1141</v>
      </c>
      <c r="H1964" s="33" t="n">
        <v>1</v>
      </c>
      <c r="I1964" s="33" t="n">
        <v>4</v>
      </c>
      <c r="J1964" s="33" t="n">
        <v>4</v>
      </c>
      <c r="K1964" s="32" t="n">
        <v>400</v>
      </c>
      <c r="L1964" s="33" t="str">
        <f aca="false">IF($B1964="","",IFERROR(INDEX('Code Mapping'!$D$5:$D$1753,MATCH($B1964,'Code Mapping'!$A$5:$A$1753,0)),"Unmapped"))</f>
        <v>Unmapped</v>
      </c>
      <c r="M1964" s="33" t="str">
        <f aca="false">IF($B1964="","",IFERROR(INDEX('Code Mapping'!$E$5:$E$1753,MATCH($B1964,'Code Mapping'!$A$5:$A$1753,0)),"Unmapped"))</f>
        <v>Unmapped</v>
      </c>
      <c r="N1964" s="33" t="str">
        <f aca="false">IF($F1964="","",$F1964)</f>
        <v>InflataRun</v>
      </c>
    </row>
    <row r="1965" customFormat="false" ht="15" hidden="false" customHeight="false" outlineLevel="0" collapsed="false">
      <c r="A1965" s="33" t="n">
        <v>198</v>
      </c>
      <c r="B1965" s="33" t="s">
        <v>1148</v>
      </c>
      <c r="C1965" s="33"/>
      <c r="D1965" s="33"/>
      <c r="E1965" s="33" t="n">
        <v>52</v>
      </c>
      <c r="F1965" s="33" t="s">
        <v>2163</v>
      </c>
      <c r="G1965" s="33" t="s">
        <v>1141</v>
      </c>
      <c r="H1965" s="33" t="n">
        <v>1</v>
      </c>
      <c r="I1965" s="33" t="n">
        <v>7</v>
      </c>
      <c r="J1965" s="33" t="n">
        <v>7</v>
      </c>
      <c r="K1965" s="32" t="n">
        <v>700</v>
      </c>
      <c r="L1965" s="33" t="str">
        <f aca="false">IF($B1965="","",IFERROR(INDEX('Code Mapping'!$D$5:$D$1753,MATCH($B1965,'Code Mapping'!$A$5:$A$1753,0)),"Unmapped"))</f>
        <v>Unmapped</v>
      </c>
      <c r="M1965" s="33" t="str">
        <f aca="false">IF($B1965="","",IFERROR(INDEX('Code Mapping'!$E$5:$E$1753,MATCH($B1965,'Code Mapping'!$A$5:$A$1753,0)),"Unmapped"))</f>
        <v>Unmapped</v>
      </c>
      <c r="N1965" s="33" t="str">
        <f aca="false">IF($F1965="","",$F1965)</f>
        <v>InflataRun</v>
      </c>
    </row>
    <row r="1966" customFormat="false" ht="15" hidden="false" customHeight="false" outlineLevel="0" collapsed="false">
      <c r="A1966" s="33" t="n">
        <v>197</v>
      </c>
      <c r="B1966" s="33" t="s">
        <v>1147</v>
      </c>
      <c r="C1966" s="33"/>
      <c r="D1966" s="33"/>
      <c r="E1966" s="33" t="n">
        <v>52</v>
      </c>
      <c r="F1966" s="33" t="s">
        <v>2163</v>
      </c>
      <c r="G1966" s="33" t="s">
        <v>1141</v>
      </c>
      <c r="H1966" s="33" t="n">
        <v>1</v>
      </c>
      <c r="I1966" s="33" t="n">
        <v>4</v>
      </c>
      <c r="J1966" s="33" t="n">
        <v>4</v>
      </c>
      <c r="K1966" s="32" t="n">
        <v>400</v>
      </c>
      <c r="L1966" s="33" t="str">
        <f aca="false">IF($B1966="","",IFERROR(INDEX('Code Mapping'!$D$5:$D$1753,MATCH($B1966,'Code Mapping'!$A$5:$A$1753,0)),"Unmapped"))</f>
        <v>Unmapped</v>
      </c>
      <c r="M1966" s="33" t="str">
        <f aca="false">IF($B1966="","",IFERROR(INDEX('Code Mapping'!$E$5:$E$1753,MATCH($B1966,'Code Mapping'!$A$5:$A$1753,0)),"Unmapped"))</f>
        <v>Unmapped</v>
      </c>
      <c r="N1966" s="33" t="str">
        <f aca="false">IF($F1966="","",$F1966)</f>
        <v>InflataRun</v>
      </c>
    </row>
    <row r="1967" customFormat="false" ht="15" hidden="false" customHeight="false" outlineLevel="0" collapsed="false">
      <c r="A1967" s="33" t="n">
        <v>195</v>
      </c>
      <c r="B1967" s="33" t="s">
        <v>1146</v>
      </c>
      <c r="C1967" s="33"/>
      <c r="D1967" s="33"/>
      <c r="E1967" s="33" t="n">
        <v>52</v>
      </c>
      <c r="F1967" s="33" t="s">
        <v>2163</v>
      </c>
      <c r="G1967" s="33" t="s">
        <v>1141</v>
      </c>
      <c r="H1967" s="33" t="n">
        <v>1</v>
      </c>
      <c r="I1967" s="33" t="n">
        <v>3</v>
      </c>
      <c r="J1967" s="33" t="n">
        <v>3</v>
      </c>
      <c r="K1967" s="32" t="n">
        <v>300</v>
      </c>
      <c r="L1967" s="33" t="str">
        <f aca="false">IF($B1967="","",IFERROR(INDEX('Code Mapping'!$D$5:$D$1753,MATCH($B1967,'Code Mapping'!$A$5:$A$1753,0)),"Unmapped"))</f>
        <v>Unmapped</v>
      </c>
      <c r="M1967" s="33" t="str">
        <f aca="false">IF($B1967="","",IFERROR(INDEX('Code Mapping'!$E$5:$E$1753,MATCH($B1967,'Code Mapping'!$A$5:$A$1753,0)),"Unmapped"))</f>
        <v>Unmapped</v>
      </c>
      <c r="N1967" s="33" t="str">
        <f aca="false">IF($F1967="","",$F1967)</f>
        <v>InflataRun</v>
      </c>
    </row>
    <row r="1968" customFormat="false" ht="15" hidden="false" customHeight="false" outlineLevel="0" collapsed="false">
      <c r="A1968" s="33" t="n">
        <v>194</v>
      </c>
      <c r="B1968" s="33" t="s">
        <v>1145</v>
      </c>
      <c r="C1968" s="33"/>
      <c r="D1968" s="33"/>
      <c r="E1968" s="33" t="n">
        <v>52</v>
      </c>
      <c r="F1968" s="33" t="s">
        <v>2163</v>
      </c>
      <c r="G1968" s="33" t="s">
        <v>1141</v>
      </c>
      <c r="H1968" s="33" t="n">
        <v>1</v>
      </c>
      <c r="I1968" s="33" t="n">
        <v>4</v>
      </c>
      <c r="J1968" s="33" t="n">
        <v>4</v>
      </c>
      <c r="K1968" s="32" t="n">
        <v>400</v>
      </c>
      <c r="L1968" s="33" t="str">
        <f aca="false">IF($B1968="","",IFERROR(INDEX('Code Mapping'!$D$5:$D$1753,MATCH($B1968,'Code Mapping'!$A$5:$A$1753,0)),"Unmapped"))</f>
        <v>Unmapped</v>
      </c>
      <c r="M1968" s="33" t="str">
        <f aca="false">IF($B1968="","",IFERROR(INDEX('Code Mapping'!$E$5:$E$1753,MATCH($B1968,'Code Mapping'!$A$5:$A$1753,0)),"Unmapped"))</f>
        <v>Unmapped</v>
      </c>
      <c r="N1968" s="33" t="str">
        <f aca="false">IF($F1968="","",$F1968)</f>
        <v>InflataRun</v>
      </c>
    </row>
    <row r="1969" customFormat="false" ht="15" hidden="false" customHeight="false" outlineLevel="0" collapsed="false">
      <c r="A1969" s="33" t="n">
        <v>181</v>
      </c>
      <c r="B1969" s="33" t="s">
        <v>1144</v>
      </c>
      <c r="C1969" s="33"/>
      <c r="D1969" s="33"/>
      <c r="E1969" s="33" t="n">
        <v>52</v>
      </c>
      <c r="F1969" s="33" t="s">
        <v>2163</v>
      </c>
      <c r="G1969" s="33" t="s">
        <v>1141</v>
      </c>
      <c r="H1969" s="33" t="n">
        <v>1</v>
      </c>
      <c r="I1969" s="33" t="n">
        <v>3</v>
      </c>
      <c r="J1969" s="33" t="n">
        <v>3</v>
      </c>
      <c r="K1969" s="32" t="n">
        <v>300</v>
      </c>
      <c r="L1969" s="33" t="str">
        <f aca="false">IF($B1969="","",IFERROR(INDEX('Code Mapping'!$D$5:$D$1753,MATCH($B1969,'Code Mapping'!$A$5:$A$1753,0)),"Unmapped"))</f>
        <v>Unmapped</v>
      </c>
      <c r="M1969" s="33" t="str">
        <f aca="false">IF($B1969="","",IFERROR(INDEX('Code Mapping'!$E$5:$E$1753,MATCH($B1969,'Code Mapping'!$A$5:$A$1753,0)),"Unmapped"))</f>
        <v>Unmapped</v>
      </c>
      <c r="N1969" s="33" t="str">
        <f aca="false">IF($F1969="","",$F1969)</f>
        <v>InflataRun</v>
      </c>
    </row>
    <row r="1970" customFormat="false" ht="15" hidden="false" customHeight="false" outlineLevel="0" collapsed="false">
      <c r="A1970" s="33" t="n">
        <v>179</v>
      </c>
      <c r="B1970" s="33" t="s">
        <v>1143</v>
      </c>
      <c r="C1970" s="33"/>
      <c r="D1970" s="33"/>
      <c r="E1970" s="33" t="n">
        <v>52</v>
      </c>
      <c r="F1970" s="33" t="s">
        <v>2163</v>
      </c>
      <c r="G1970" s="33" t="s">
        <v>1141</v>
      </c>
      <c r="H1970" s="33" t="n">
        <v>1</v>
      </c>
      <c r="I1970" s="33" t="n">
        <v>3</v>
      </c>
      <c r="J1970" s="33" t="n">
        <v>3</v>
      </c>
      <c r="K1970" s="32" t="n">
        <v>300</v>
      </c>
      <c r="L1970" s="33" t="str">
        <f aca="false">IF($B1970="","",IFERROR(INDEX('Code Mapping'!$D$5:$D$1753,MATCH($B1970,'Code Mapping'!$A$5:$A$1753,0)),"Unmapped"))</f>
        <v>Unmapped</v>
      </c>
      <c r="M1970" s="33" t="str">
        <f aca="false">IF($B1970="","",IFERROR(INDEX('Code Mapping'!$E$5:$E$1753,MATCH($B1970,'Code Mapping'!$A$5:$A$1753,0)),"Unmapped"))</f>
        <v>Unmapped</v>
      </c>
      <c r="N1970" s="33" t="str">
        <f aca="false">IF($F1970="","",$F1970)</f>
        <v>InflataRun</v>
      </c>
    </row>
    <row r="1971" customFormat="false" ht="15" hidden="false" customHeight="false" outlineLevel="0" collapsed="false">
      <c r="A1971" s="33" t="n">
        <v>178</v>
      </c>
      <c r="B1971" s="33" t="s">
        <v>1142</v>
      </c>
      <c r="C1971" s="33"/>
      <c r="D1971" s="33"/>
      <c r="E1971" s="33" t="n">
        <v>52</v>
      </c>
      <c r="F1971" s="33" t="s">
        <v>2163</v>
      </c>
      <c r="G1971" s="33" t="s">
        <v>1141</v>
      </c>
      <c r="H1971" s="33" t="n">
        <v>1</v>
      </c>
      <c r="I1971" s="33" t="n">
        <v>4</v>
      </c>
      <c r="J1971" s="33" t="n">
        <v>4</v>
      </c>
      <c r="K1971" s="32" t="n">
        <v>400</v>
      </c>
      <c r="L1971" s="33" t="str">
        <f aca="false">IF($B1971="","",IFERROR(INDEX('Code Mapping'!$D$5:$D$1753,MATCH($B1971,'Code Mapping'!$A$5:$A$1753,0)),"Unmapped"))</f>
        <v>Unmapped</v>
      </c>
      <c r="M1971" s="33" t="str">
        <f aca="false">IF($B1971="","",IFERROR(INDEX('Code Mapping'!$E$5:$E$1753,MATCH($B1971,'Code Mapping'!$A$5:$A$1753,0)),"Unmapped"))</f>
        <v>Unmapped</v>
      </c>
      <c r="N1971" s="33" t="str">
        <f aca="false">IF($F1971="","",$F1971)</f>
        <v>InflataRun</v>
      </c>
    </row>
    <row r="1972" customFormat="false" ht="15" hidden="false" customHeight="false" outlineLevel="0" collapsed="false">
      <c r="A1972" s="33" t="n">
        <v>151</v>
      </c>
      <c r="B1972" s="33" t="s">
        <v>1140</v>
      </c>
      <c r="C1972" s="33"/>
      <c r="D1972" s="33"/>
      <c r="E1972" s="33" t="n">
        <v>52</v>
      </c>
      <c r="F1972" s="33" t="s">
        <v>2163</v>
      </c>
      <c r="G1972" s="33" t="s">
        <v>1141</v>
      </c>
      <c r="H1972" s="33" t="n">
        <v>1</v>
      </c>
      <c r="I1972" s="33" t="n">
        <v>2</v>
      </c>
      <c r="J1972" s="33" t="n">
        <v>2</v>
      </c>
      <c r="K1972" s="32" t="n">
        <v>200</v>
      </c>
      <c r="L1972" s="33" t="str">
        <f aca="false">IF($B1972="","",IFERROR(INDEX('Code Mapping'!$D$5:$D$1753,MATCH($B1972,'Code Mapping'!$A$5:$A$1753,0)),"Unmapped"))</f>
        <v>Unmapped</v>
      </c>
      <c r="M1972" s="33" t="str">
        <f aca="false">IF($B1972="","",IFERROR(INDEX('Code Mapping'!$E$5:$E$1753,MATCH($B1972,'Code Mapping'!$A$5:$A$1753,0)),"Unmapped"))</f>
        <v>Unmapped</v>
      </c>
      <c r="N1972" s="33" t="str">
        <f aca="false">IF($F1972="","",$F1972)</f>
        <v>InflataRun</v>
      </c>
    </row>
    <row r="1973" customFormat="false" ht="15" hidden="false" customHeight="false" outlineLevel="0" collapsed="false">
      <c r="A1973" s="33" t="n">
        <v>139</v>
      </c>
      <c r="B1973" s="33" t="s">
        <v>1093</v>
      </c>
      <c r="C1973" s="33"/>
      <c r="D1973" s="33"/>
      <c r="E1973" s="33" t="n">
        <v>41</v>
      </c>
      <c r="F1973" s="33" t="s">
        <v>36</v>
      </c>
      <c r="G1973" s="33" t="s">
        <v>1141</v>
      </c>
      <c r="H1973" s="33" t="n">
        <v>1</v>
      </c>
      <c r="I1973" s="33" t="n">
        <v>2</v>
      </c>
      <c r="J1973" s="33" t="n">
        <v>2</v>
      </c>
      <c r="K1973" s="32" t="n">
        <v>3.5</v>
      </c>
      <c r="L1973" s="33" t="str">
        <f aca="false">IF($B1973="","",IFERROR(INDEX('Code Mapping'!$D$5:$D$1753,MATCH($B1973,'Code Mapping'!$A$5:$A$1753,0)),"Unmapped"))</f>
        <v>Unmapped</v>
      </c>
      <c r="M1973" s="33" t="str">
        <f aca="false">IF($B1973="","",IFERROR(INDEX('Code Mapping'!$E$5:$E$1753,MATCH($B1973,'Code Mapping'!$A$5:$A$1753,0)),"Unmapped"))</f>
        <v>Unmapped</v>
      </c>
      <c r="N1973" s="33" t="str">
        <f aca="false">IF($F1973="","",$F1973)</f>
        <v>InflataPark</v>
      </c>
    </row>
    <row r="1974" customFormat="false" ht="15" hidden="false" customHeight="false" outlineLevel="0" collapsed="false">
      <c r="A1974" s="33" t="n">
        <v>225</v>
      </c>
      <c r="B1974" s="33" t="s">
        <v>1155</v>
      </c>
      <c r="C1974" s="33"/>
      <c r="D1974" s="33"/>
      <c r="E1974" s="33" t="n">
        <v>52</v>
      </c>
      <c r="F1974" s="33" t="s">
        <v>2163</v>
      </c>
      <c r="G1974" s="33" t="s">
        <v>1141</v>
      </c>
      <c r="H1974" s="33" t="n">
        <v>1</v>
      </c>
      <c r="I1974" s="33" t="n">
        <v>3</v>
      </c>
      <c r="J1974" s="33" t="n">
        <v>3</v>
      </c>
      <c r="K1974" s="32" t="n">
        <v>300</v>
      </c>
      <c r="L1974" s="33" t="str">
        <f aca="false">IF($B1974="","",IFERROR(INDEX('Code Mapping'!$D$5:$D$1753,MATCH($B1974,'Code Mapping'!$A$5:$A$1753,0)),"Unmapped"))</f>
        <v>Unmapped</v>
      </c>
      <c r="M1974" s="33" t="str">
        <f aca="false">IF($B1974="","",IFERROR(INDEX('Code Mapping'!$E$5:$E$1753,MATCH($B1974,'Code Mapping'!$A$5:$A$1753,0)),"Unmapped"))</f>
        <v>Unmapped</v>
      </c>
      <c r="N1974" s="33" t="str">
        <f aca="false">IF($F1974="","",$F1974)</f>
        <v>InflataRun</v>
      </c>
    </row>
    <row r="1975" customFormat="false" ht="15" hidden="false" customHeight="false" outlineLevel="0" collapsed="false">
      <c r="A1975" s="33" t="n">
        <v>208</v>
      </c>
      <c r="B1975" s="33" t="s">
        <v>1153</v>
      </c>
      <c r="C1975" s="33"/>
      <c r="D1975" s="33"/>
      <c r="E1975" s="33" t="n">
        <v>52</v>
      </c>
      <c r="F1975" s="33" t="s">
        <v>2163</v>
      </c>
      <c r="G1975" s="33" t="s">
        <v>1141</v>
      </c>
      <c r="H1975" s="33" t="n">
        <v>1</v>
      </c>
      <c r="I1975" s="33" t="n">
        <v>2</v>
      </c>
      <c r="J1975" s="33" t="n">
        <v>2</v>
      </c>
      <c r="K1975" s="32" t="n">
        <v>200</v>
      </c>
      <c r="L1975" s="33" t="str">
        <f aca="false">IF($B1975="","",IFERROR(INDEX('Code Mapping'!$D$5:$D$1753,MATCH($B1975,'Code Mapping'!$A$5:$A$1753,0)),"Unmapped"))</f>
        <v>Unmapped</v>
      </c>
      <c r="M1975" s="33" t="str">
        <f aca="false">IF($B1975="","",IFERROR(INDEX('Code Mapping'!$E$5:$E$1753,MATCH($B1975,'Code Mapping'!$A$5:$A$1753,0)),"Unmapped"))</f>
        <v>Unmapped</v>
      </c>
      <c r="N1975" s="33" t="str">
        <f aca="false">IF($F1975="","",$F1975)</f>
        <v>InflataRun</v>
      </c>
    </row>
    <row r="1976" customFormat="false" ht="15" hidden="false" customHeight="false" outlineLevel="0" collapsed="false">
      <c r="A1976" s="33" t="n">
        <v>229</v>
      </c>
      <c r="B1976" s="33" t="s">
        <v>1157</v>
      </c>
      <c r="C1976" s="33"/>
      <c r="D1976" s="33"/>
      <c r="E1976" s="33" t="n">
        <v>52</v>
      </c>
      <c r="F1976" s="33" t="s">
        <v>2163</v>
      </c>
      <c r="G1976" s="33" t="s">
        <v>1141</v>
      </c>
      <c r="H1976" s="33" t="n">
        <v>1</v>
      </c>
      <c r="I1976" s="33" t="n">
        <v>4</v>
      </c>
      <c r="J1976" s="33" t="n">
        <v>4</v>
      </c>
      <c r="K1976" s="32" t="n">
        <v>400</v>
      </c>
      <c r="L1976" s="33" t="str">
        <f aca="false">IF($B1976="","",IFERROR(INDEX('Code Mapping'!$D$5:$D$1753,MATCH($B1976,'Code Mapping'!$A$5:$A$1753,0)),"Unmapped"))</f>
        <v>Unmapped</v>
      </c>
      <c r="M1976" s="33" t="str">
        <f aca="false">IF($B1976="","",IFERROR(INDEX('Code Mapping'!$E$5:$E$1753,MATCH($B1976,'Code Mapping'!$A$5:$A$1753,0)),"Unmapped"))</f>
        <v>Unmapped</v>
      </c>
      <c r="N1976" s="33" t="str">
        <f aca="false">IF($F1976="","",$F1976)</f>
        <v>InflataRun</v>
      </c>
    </row>
    <row r="1977" customFormat="false" ht="15" hidden="false" customHeight="false" outlineLevel="0" collapsed="false">
      <c r="A1977" s="33" t="n">
        <v>268</v>
      </c>
      <c r="B1977" s="33" t="s">
        <v>1166</v>
      </c>
      <c r="C1977" s="33"/>
      <c r="D1977" s="33"/>
      <c r="E1977" s="33" t="n">
        <v>52</v>
      </c>
      <c r="F1977" s="33" t="s">
        <v>2163</v>
      </c>
      <c r="G1977" s="33" t="s">
        <v>1141</v>
      </c>
      <c r="H1977" s="33" t="n">
        <v>1</v>
      </c>
      <c r="I1977" s="33" t="n">
        <v>1</v>
      </c>
      <c r="J1977" s="33" t="n">
        <v>1</v>
      </c>
      <c r="K1977" s="32" t="n">
        <v>100</v>
      </c>
      <c r="L1977" s="33" t="str">
        <f aca="false">IF($B1977="","",IFERROR(INDEX('Code Mapping'!$D$5:$D$1753,MATCH($B1977,'Code Mapping'!$A$5:$A$1753,0)),"Unmapped"))</f>
        <v>Unmapped</v>
      </c>
      <c r="M1977" s="33" t="str">
        <f aca="false">IF($B1977="","",IFERROR(INDEX('Code Mapping'!$E$5:$E$1753,MATCH($B1977,'Code Mapping'!$A$5:$A$1753,0)),"Unmapped"))</f>
        <v>Unmapped</v>
      </c>
      <c r="N1977" s="33" t="str">
        <f aca="false">IF($F1977="","",$F1977)</f>
        <v>InflataRun</v>
      </c>
    </row>
    <row r="1978" customFormat="false" ht="15" hidden="false" customHeight="false" outlineLevel="0" collapsed="false">
      <c r="A1978" s="33" t="n">
        <v>293</v>
      </c>
      <c r="B1978" s="33" t="s">
        <v>1172</v>
      </c>
      <c r="C1978" s="33"/>
      <c r="D1978" s="33"/>
      <c r="E1978" s="33" t="n">
        <v>52</v>
      </c>
      <c r="F1978" s="33" t="s">
        <v>2163</v>
      </c>
      <c r="G1978" s="33" t="s">
        <v>1141</v>
      </c>
      <c r="H1978" s="33" t="n">
        <v>1</v>
      </c>
      <c r="I1978" s="33" t="n">
        <v>4</v>
      </c>
      <c r="J1978" s="33" t="n">
        <v>4</v>
      </c>
      <c r="K1978" s="32" t="n">
        <v>400</v>
      </c>
      <c r="L1978" s="33" t="str">
        <f aca="false">IF($B1978="","",IFERROR(INDEX('Code Mapping'!$D$5:$D$1753,MATCH($B1978,'Code Mapping'!$A$5:$A$1753,0)),"Unmapped"))</f>
        <v>Unmapped</v>
      </c>
      <c r="M1978" s="33" t="str">
        <f aca="false">IF($B1978="","",IFERROR(INDEX('Code Mapping'!$E$5:$E$1753,MATCH($B1978,'Code Mapping'!$A$5:$A$1753,0)),"Unmapped"))</f>
        <v>Unmapped</v>
      </c>
      <c r="N1978" s="33" t="str">
        <f aca="false">IF($F1978="","",$F1978)</f>
        <v>InflataRun</v>
      </c>
    </row>
    <row r="1979" customFormat="false" ht="15" hidden="false" customHeight="false" outlineLevel="0" collapsed="false">
      <c r="A1979" s="33" t="n">
        <v>291</v>
      </c>
      <c r="B1979" s="33" t="s">
        <v>1171</v>
      </c>
      <c r="C1979" s="33"/>
      <c r="D1979" s="33"/>
      <c r="E1979" s="33" t="n">
        <v>52</v>
      </c>
      <c r="F1979" s="33" t="s">
        <v>2163</v>
      </c>
      <c r="G1979" s="33" t="s">
        <v>1141</v>
      </c>
      <c r="H1979" s="33" t="n">
        <v>1</v>
      </c>
      <c r="I1979" s="33" t="n">
        <v>2</v>
      </c>
      <c r="J1979" s="33" t="n">
        <v>2</v>
      </c>
      <c r="K1979" s="32" t="n">
        <v>200</v>
      </c>
      <c r="L1979" s="33" t="str">
        <f aca="false">IF($B1979="","",IFERROR(INDEX('Code Mapping'!$D$5:$D$1753,MATCH($B1979,'Code Mapping'!$A$5:$A$1753,0)),"Unmapped"))</f>
        <v>Unmapped</v>
      </c>
      <c r="M1979" s="33" t="str">
        <f aca="false">IF($B1979="","",IFERROR(INDEX('Code Mapping'!$E$5:$E$1753,MATCH($B1979,'Code Mapping'!$A$5:$A$1753,0)),"Unmapped"))</f>
        <v>Unmapped</v>
      </c>
      <c r="N1979" s="33" t="str">
        <f aca="false">IF($F1979="","",$F1979)</f>
        <v>InflataRun</v>
      </c>
    </row>
    <row r="1980" customFormat="false" ht="15" hidden="false" customHeight="false" outlineLevel="0" collapsed="false">
      <c r="A1980" s="33" t="n">
        <v>287</v>
      </c>
      <c r="B1980" s="33" t="s">
        <v>1170</v>
      </c>
      <c r="C1980" s="33"/>
      <c r="D1980" s="33"/>
      <c r="E1980" s="33" t="n">
        <v>52</v>
      </c>
      <c r="F1980" s="33" t="s">
        <v>2163</v>
      </c>
      <c r="G1980" s="33" t="s">
        <v>1141</v>
      </c>
      <c r="H1980" s="33" t="n">
        <v>1</v>
      </c>
      <c r="I1980" s="33" t="n">
        <v>7</v>
      </c>
      <c r="J1980" s="33" t="n">
        <v>7</v>
      </c>
      <c r="K1980" s="32" t="n">
        <v>700</v>
      </c>
      <c r="L1980" s="33" t="str">
        <f aca="false">IF($B1980="","",IFERROR(INDEX('Code Mapping'!$D$5:$D$1753,MATCH($B1980,'Code Mapping'!$A$5:$A$1753,0)),"Unmapped"))</f>
        <v>Unmapped</v>
      </c>
      <c r="M1980" s="33" t="str">
        <f aca="false">IF($B1980="","",IFERROR(INDEX('Code Mapping'!$E$5:$E$1753,MATCH($B1980,'Code Mapping'!$A$5:$A$1753,0)),"Unmapped"))</f>
        <v>Unmapped</v>
      </c>
      <c r="N1980" s="33" t="str">
        <f aca="false">IF($F1980="","",$F1980)</f>
        <v>InflataRun</v>
      </c>
    </row>
    <row r="1981" customFormat="false" ht="15" hidden="false" customHeight="false" outlineLevel="0" collapsed="false">
      <c r="A1981" s="33" t="n">
        <v>279</v>
      </c>
      <c r="B1981" s="33" t="s">
        <v>1169</v>
      </c>
      <c r="C1981" s="33"/>
      <c r="D1981" s="33"/>
      <c r="E1981" s="33" t="n">
        <v>52</v>
      </c>
      <c r="F1981" s="33" t="s">
        <v>2163</v>
      </c>
      <c r="G1981" s="33" t="s">
        <v>1141</v>
      </c>
      <c r="H1981" s="33" t="n">
        <v>1</v>
      </c>
      <c r="I1981" s="33" t="n">
        <v>2</v>
      </c>
      <c r="J1981" s="33" t="n">
        <v>2</v>
      </c>
      <c r="K1981" s="32" t="n">
        <v>200</v>
      </c>
      <c r="L1981" s="33" t="str">
        <f aca="false">IF($B1981="","",IFERROR(INDEX('Code Mapping'!$D$5:$D$1753,MATCH($B1981,'Code Mapping'!$A$5:$A$1753,0)),"Unmapped"))</f>
        <v>Unmapped</v>
      </c>
      <c r="M1981" s="33" t="str">
        <f aca="false">IF($B1981="","",IFERROR(INDEX('Code Mapping'!$E$5:$E$1753,MATCH($B1981,'Code Mapping'!$A$5:$A$1753,0)),"Unmapped"))</f>
        <v>Unmapped</v>
      </c>
      <c r="N1981" s="33" t="str">
        <f aca="false">IF($F1981="","",$F1981)</f>
        <v>InflataRun</v>
      </c>
    </row>
    <row r="1982" customFormat="false" ht="15" hidden="false" customHeight="false" outlineLevel="0" collapsed="false">
      <c r="A1982" s="33" t="n">
        <v>234</v>
      </c>
      <c r="B1982" s="33" t="s">
        <v>1158</v>
      </c>
      <c r="C1982" s="33"/>
      <c r="D1982" s="33"/>
      <c r="E1982" s="33" t="n">
        <v>52</v>
      </c>
      <c r="F1982" s="33" t="s">
        <v>2163</v>
      </c>
      <c r="G1982" s="33" t="s">
        <v>1141</v>
      </c>
      <c r="H1982" s="33" t="n">
        <v>1</v>
      </c>
      <c r="I1982" s="33" t="n">
        <v>2</v>
      </c>
      <c r="J1982" s="33" t="n">
        <v>2</v>
      </c>
      <c r="K1982" s="32" t="n">
        <v>200</v>
      </c>
      <c r="L1982" s="33" t="str">
        <f aca="false">IF($B1982="","",IFERROR(INDEX('Code Mapping'!$D$5:$D$1753,MATCH($B1982,'Code Mapping'!$A$5:$A$1753,0)),"Unmapped"))</f>
        <v>Unmapped</v>
      </c>
      <c r="M1982" s="33" t="str">
        <f aca="false">IF($B1982="","",IFERROR(INDEX('Code Mapping'!$E$5:$E$1753,MATCH($B1982,'Code Mapping'!$A$5:$A$1753,0)),"Unmapped"))</f>
        <v>Unmapped</v>
      </c>
      <c r="N1982" s="33" t="str">
        <f aca="false">IF($F1982="","",$F1982)</f>
        <v>InflataRun</v>
      </c>
    </row>
    <row r="1983" customFormat="false" ht="15" hidden="false" customHeight="false" outlineLevel="0" collapsed="false">
      <c r="A1983" s="33" t="n">
        <v>273</v>
      </c>
      <c r="B1983" s="33" t="s">
        <v>1167</v>
      </c>
      <c r="C1983" s="33"/>
      <c r="D1983" s="33"/>
      <c r="E1983" s="33" t="n">
        <v>52</v>
      </c>
      <c r="F1983" s="33" t="s">
        <v>2163</v>
      </c>
      <c r="G1983" s="33" t="s">
        <v>1141</v>
      </c>
      <c r="H1983" s="33" t="n">
        <v>1</v>
      </c>
      <c r="I1983" s="33" t="n">
        <v>4</v>
      </c>
      <c r="J1983" s="33" t="n">
        <v>4</v>
      </c>
      <c r="K1983" s="32" t="n">
        <v>400</v>
      </c>
      <c r="L1983" s="33" t="str">
        <f aca="false">IF($B1983="","",IFERROR(INDEX('Code Mapping'!$D$5:$D$1753,MATCH($B1983,'Code Mapping'!$A$5:$A$1753,0)),"Unmapped"))</f>
        <v>Unmapped</v>
      </c>
      <c r="M1983" s="33" t="str">
        <f aca="false">IF($B1983="","",IFERROR(INDEX('Code Mapping'!$E$5:$E$1753,MATCH($B1983,'Code Mapping'!$A$5:$A$1753,0)),"Unmapped"))</f>
        <v>Unmapped</v>
      </c>
      <c r="N1983" s="33" t="str">
        <f aca="false">IF($F1983="","",$F1983)</f>
        <v>InflataRun</v>
      </c>
    </row>
    <row r="1984" customFormat="false" ht="15" hidden="false" customHeight="false" outlineLevel="0" collapsed="false">
      <c r="A1984" s="33" t="n">
        <v>275</v>
      </c>
      <c r="B1984" s="33" t="s">
        <v>1168</v>
      </c>
      <c r="C1984" s="33"/>
      <c r="D1984" s="33"/>
      <c r="E1984" s="33" t="n">
        <v>52</v>
      </c>
      <c r="F1984" s="33" t="s">
        <v>2163</v>
      </c>
      <c r="G1984" s="33" t="s">
        <v>1141</v>
      </c>
      <c r="H1984" s="33" t="n">
        <v>1</v>
      </c>
      <c r="I1984" s="33" t="n">
        <v>3</v>
      </c>
      <c r="J1984" s="33" t="n">
        <v>3</v>
      </c>
      <c r="K1984" s="32" t="n">
        <v>300</v>
      </c>
      <c r="L1984" s="33" t="str">
        <f aca="false">IF($B1984="","",IFERROR(INDEX('Code Mapping'!$D$5:$D$1753,MATCH($B1984,'Code Mapping'!$A$5:$A$1753,0)),"Unmapped"))</f>
        <v>Unmapped</v>
      </c>
      <c r="M1984" s="33" t="str">
        <f aca="false">IF($B1984="","",IFERROR(INDEX('Code Mapping'!$E$5:$E$1753,MATCH($B1984,'Code Mapping'!$A$5:$A$1753,0)),"Unmapped"))</f>
        <v>Unmapped</v>
      </c>
      <c r="N1984" s="33" t="str">
        <f aca="false">IF($F1984="","",$F1984)</f>
        <v>InflataRun</v>
      </c>
    </row>
    <row r="1985" customFormat="false" ht="15" hidden="false" customHeight="false" outlineLevel="0" collapsed="false">
      <c r="A1985" s="33" t="n">
        <v>256</v>
      </c>
      <c r="B1985" s="33" t="s">
        <v>1165</v>
      </c>
      <c r="C1985" s="33"/>
      <c r="D1985" s="33"/>
      <c r="E1985" s="33" t="n">
        <v>52</v>
      </c>
      <c r="F1985" s="33" t="s">
        <v>2163</v>
      </c>
      <c r="G1985" s="33" t="s">
        <v>1141</v>
      </c>
      <c r="H1985" s="33" t="n">
        <v>1</v>
      </c>
      <c r="I1985" s="33" t="n">
        <v>3</v>
      </c>
      <c r="J1985" s="33" t="n">
        <v>3</v>
      </c>
      <c r="K1985" s="32" t="n">
        <v>300</v>
      </c>
      <c r="L1985" s="33" t="str">
        <f aca="false">IF($B1985="","",IFERROR(INDEX('Code Mapping'!$D$5:$D$1753,MATCH($B1985,'Code Mapping'!$A$5:$A$1753,0)),"Unmapped"))</f>
        <v>Unmapped</v>
      </c>
      <c r="M1985" s="33" t="str">
        <f aca="false">IF($B1985="","",IFERROR(INDEX('Code Mapping'!$E$5:$E$1753,MATCH($B1985,'Code Mapping'!$A$5:$A$1753,0)),"Unmapped"))</f>
        <v>Unmapped</v>
      </c>
      <c r="N1985" s="33" t="str">
        <f aca="false">IF($F1985="","",$F1985)</f>
        <v>InflataRun</v>
      </c>
    </row>
    <row r="1986" customFormat="false" ht="15" hidden="false" customHeight="false" outlineLevel="0" collapsed="false">
      <c r="A1986" s="33" t="n">
        <v>252</v>
      </c>
      <c r="B1986" s="33" t="s">
        <v>1164</v>
      </c>
      <c r="C1986" s="33"/>
      <c r="D1986" s="33"/>
      <c r="E1986" s="33" t="n">
        <v>52</v>
      </c>
      <c r="F1986" s="33" t="s">
        <v>2163</v>
      </c>
      <c r="G1986" s="33" t="s">
        <v>1141</v>
      </c>
      <c r="H1986" s="33" t="n">
        <v>1</v>
      </c>
      <c r="I1986" s="33" t="n">
        <v>2</v>
      </c>
      <c r="J1986" s="33" t="n">
        <v>2</v>
      </c>
      <c r="K1986" s="32" t="n">
        <v>200</v>
      </c>
      <c r="L1986" s="33" t="str">
        <f aca="false">IF($B1986="","",IFERROR(INDEX('Code Mapping'!$D$5:$D$1753,MATCH($B1986,'Code Mapping'!$A$5:$A$1753,0)),"Unmapped"))</f>
        <v>Unmapped</v>
      </c>
      <c r="M1986" s="33" t="str">
        <f aca="false">IF($B1986="","",IFERROR(INDEX('Code Mapping'!$E$5:$E$1753,MATCH($B1986,'Code Mapping'!$A$5:$A$1753,0)),"Unmapped"))</f>
        <v>Unmapped</v>
      </c>
      <c r="N1986" s="33" t="str">
        <f aca="false">IF($F1986="","",$F1986)</f>
        <v>InflataRun</v>
      </c>
    </row>
    <row r="1987" customFormat="false" ht="15" hidden="false" customHeight="false" outlineLevel="0" collapsed="false">
      <c r="A1987" s="33" t="n">
        <v>246</v>
      </c>
      <c r="B1987" s="33" t="s">
        <v>1163</v>
      </c>
      <c r="C1987" s="33"/>
      <c r="D1987" s="33"/>
      <c r="E1987" s="33" t="n">
        <v>52</v>
      </c>
      <c r="F1987" s="33" t="s">
        <v>2163</v>
      </c>
      <c r="G1987" s="33" t="s">
        <v>1141</v>
      </c>
      <c r="H1987" s="33" t="n">
        <v>1</v>
      </c>
      <c r="I1987" s="33" t="n">
        <v>3</v>
      </c>
      <c r="J1987" s="33" t="n">
        <v>3</v>
      </c>
      <c r="K1987" s="32" t="n">
        <v>300</v>
      </c>
      <c r="L1987" s="33" t="str">
        <f aca="false">IF($B1987="","",IFERROR(INDEX('Code Mapping'!$D$5:$D$1753,MATCH($B1987,'Code Mapping'!$A$5:$A$1753,0)),"Unmapped"))</f>
        <v>Unmapped</v>
      </c>
      <c r="M1987" s="33" t="str">
        <f aca="false">IF($B1987="","",IFERROR(INDEX('Code Mapping'!$E$5:$E$1753,MATCH($B1987,'Code Mapping'!$A$5:$A$1753,0)),"Unmapped"))</f>
        <v>Unmapped</v>
      </c>
      <c r="N1987" s="33" t="str">
        <f aca="false">IF($F1987="","",$F1987)</f>
        <v>InflataRun</v>
      </c>
    </row>
    <row r="1988" customFormat="false" ht="15" hidden="false" customHeight="false" outlineLevel="0" collapsed="false">
      <c r="A1988" s="33" t="n">
        <v>244</v>
      </c>
      <c r="B1988" s="33" t="s">
        <v>1162</v>
      </c>
      <c r="C1988" s="33"/>
      <c r="D1988" s="33"/>
      <c r="E1988" s="33" t="n">
        <v>52</v>
      </c>
      <c r="F1988" s="33" t="s">
        <v>2163</v>
      </c>
      <c r="G1988" s="33" t="s">
        <v>1141</v>
      </c>
      <c r="H1988" s="33" t="n">
        <v>1</v>
      </c>
      <c r="I1988" s="33" t="n">
        <v>2</v>
      </c>
      <c r="J1988" s="33" t="n">
        <v>2</v>
      </c>
      <c r="K1988" s="32" t="n">
        <v>200</v>
      </c>
      <c r="L1988" s="33" t="str">
        <f aca="false">IF($B1988="","",IFERROR(INDEX('Code Mapping'!$D$5:$D$1753,MATCH($B1988,'Code Mapping'!$A$5:$A$1753,0)),"Unmapped"))</f>
        <v>Unmapped</v>
      </c>
      <c r="M1988" s="33" t="str">
        <f aca="false">IF($B1988="","",IFERROR(INDEX('Code Mapping'!$E$5:$E$1753,MATCH($B1988,'Code Mapping'!$A$5:$A$1753,0)),"Unmapped"))</f>
        <v>Unmapped</v>
      </c>
      <c r="N1988" s="33" t="str">
        <f aca="false">IF($F1988="","",$F1988)</f>
        <v>InflataRun</v>
      </c>
    </row>
    <row r="1989" customFormat="false" ht="15" hidden="false" customHeight="false" outlineLevel="0" collapsed="false">
      <c r="A1989" s="33" t="n">
        <v>243</v>
      </c>
      <c r="B1989" s="33" t="s">
        <v>1161</v>
      </c>
      <c r="C1989" s="33"/>
      <c r="D1989" s="33"/>
      <c r="E1989" s="33" t="n">
        <v>52</v>
      </c>
      <c r="F1989" s="33" t="s">
        <v>2163</v>
      </c>
      <c r="G1989" s="33" t="s">
        <v>1141</v>
      </c>
      <c r="H1989" s="33" t="n">
        <v>1</v>
      </c>
      <c r="I1989" s="33" t="n">
        <v>2</v>
      </c>
      <c r="J1989" s="33" t="n">
        <v>2</v>
      </c>
      <c r="K1989" s="32" t="n">
        <v>200</v>
      </c>
      <c r="L1989" s="33" t="str">
        <f aca="false">IF($B1989="","",IFERROR(INDEX('Code Mapping'!$D$5:$D$1753,MATCH($B1989,'Code Mapping'!$A$5:$A$1753,0)),"Unmapped"))</f>
        <v>Unmapped</v>
      </c>
      <c r="M1989" s="33" t="str">
        <f aca="false">IF($B1989="","",IFERROR(INDEX('Code Mapping'!$E$5:$E$1753,MATCH($B1989,'Code Mapping'!$A$5:$A$1753,0)),"Unmapped"))</f>
        <v>Unmapped</v>
      </c>
      <c r="N1989" s="33" t="str">
        <f aca="false">IF($F1989="","",$F1989)</f>
        <v>InflataRun</v>
      </c>
    </row>
    <row r="1990" customFormat="false" ht="15" hidden="false" customHeight="false" outlineLevel="0" collapsed="false">
      <c r="A1990" s="33" t="n">
        <v>240</v>
      </c>
      <c r="B1990" s="33" t="s">
        <v>1160</v>
      </c>
      <c r="C1990" s="33"/>
      <c r="D1990" s="33"/>
      <c r="E1990" s="33" t="n">
        <v>52</v>
      </c>
      <c r="F1990" s="33" t="s">
        <v>2163</v>
      </c>
      <c r="G1990" s="33" t="s">
        <v>1141</v>
      </c>
      <c r="H1990" s="33" t="n">
        <v>1</v>
      </c>
      <c r="I1990" s="33" t="n">
        <v>2</v>
      </c>
      <c r="J1990" s="33" t="n">
        <v>2</v>
      </c>
      <c r="K1990" s="32" t="n">
        <v>200</v>
      </c>
      <c r="L1990" s="33" t="str">
        <f aca="false">IF($B1990="","",IFERROR(INDEX('Code Mapping'!$D$5:$D$1753,MATCH($B1990,'Code Mapping'!$A$5:$A$1753,0)),"Unmapped"))</f>
        <v>Unmapped</v>
      </c>
      <c r="M1990" s="33" t="str">
        <f aca="false">IF($B1990="","",IFERROR(INDEX('Code Mapping'!$E$5:$E$1753,MATCH($B1990,'Code Mapping'!$A$5:$A$1753,0)),"Unmapped"))</f>
        <v>Unmapped</v>
      </c>
      <c r="N1990" s="33" t="str">
        <f aca="false">IF($F1990="","",$F1990)</f>
        <v>InflataRun</v>
      </c>
    </row>
    <row r="1991" customFormat="false" ht="15" hidden="false" customHeight="false" outlineLevel="0" collapsed="false">
      <c r="A1991" s="33" t="n">
        <v>237</v>
      </c>
      <c r="B1991" s="33" t="s">
        <v>1159</v>
      </c>
      <c r="C1991" s="33"/>
      <c r="D1991" s="33"/>
      <c r="E1991" s="33" t="n">
        <v>52</v>
      </c>
      <c r="F1991" s="33" t="s">
        <v>2163</v>
      </c>
      <c r="G1991" s="33" t="s">
        <v>1141</v>
      </c>
      <c r="H1991" s="33" t="n">
        <v>1</v>
      </c>
      <c r="I1991" s="33" t="n">
        <v>3</v>
      </c>
      <c r="J1991" s="33" t="n">
        <v>3</v>
      </c>
      <c r="K1991" s="32" t="n">
        <v>300</v>
      </c>
      <c r="L1991" s="33" t="str">
        <f aca="false">IF($B1991="","",IFERROR(INDEX('Code Mapping'!$D$5:$D$1753,MATCH($B1991,'Code Mapping'!$A$5:$A$1753,0)),"Unmapped"))</f>
        <v>Unmapped</v>
      </c>
      <c r="M1991" s="33" t="str">
        <f aca="false">IF($B1991="","",IFERROR(INDEX('Code Mapping'!$E$5:$E$1753,MATCH($B1991,'Code Mapping'!$A$5:$A$1753,0)),"Unmapped"))</f>
        <v>Unmapped</v>
      </c>
      <c r="N1991" s="33" t="str">
        <f aca="false">IF($F1991="","",$F1991)</f>
        <v>InflataRun</v>
      </c>
    </row>
    <row r="1992" customFormat="false" ht="15" hidden="false" customHeight="false" outlineLevel="0" collapsed="false">
      <c r="A1992" s="33" t="n">
        <v>139</v>
      </c>
      <c r="B1992" s="33" t="s">
        <v>1093</v>
      </c>
      <c r="C1992" s="33"/>
      <c r="D1992" s="33"/>
      <c r="E1992" s="33" t="n">
        <v>41</v>
      </c>
      <c r="F1992" s="33" t="s">
        <v>36</v>
      </c>
      <c r="G1992" s="33" t="s">
        <v>1426</v>
      </c>
      <c r="H1992" s="33" t="n">
        <v>3</v>
      </c>
      <c r="I1992" s="33" t="n">
        <v>4</v>
      </c>
      <c r="J1992" s="33" t="n">
        <v>4</v>
      </c>
      <c r="K1992" s="32" t="n">
        <v>16.5</v>
      </c>
      <c r="L1992" s="33" t="str">
        <f aca="false">IF($B1992="","",IFERROR(INDEX('Code Mapping'!$D$5:$D$1753,MATCH($B1992,'Code Mapping'!$A$5:$A$1753,0)),"Unmapped"))</f>
        <v>Unmapped</v>
      </c>
      <c r="M1992" s="33" t="str">
        <f aca="false">IF($B1992="","",IFERROR(INDEX('Code Mapping'!$E$5:$E$1753,MATCH($B1992,'Code Mapping'!$A$5:$A$1753,0)),"Unmapped"))</f>
        <v>Unmapped</v>
      </c>
      <c r="N1992" s="33" t="str">
        <f aca="false">IF($F1992="","",$F1992)</f>
        <v>InflataPark</v>
      </c>
    </row>
    <row r="1993" customFormat="false" ht="15" hidden="false" customHeight="false" outlineLevel="0" collapsed="false">
      <c r="A1993" s="33" t="n">
        <v>261</v>
      </c>
      <c r="B1993" s="33" t="s">
        <v>1425</v>
      </c>
      <c r="C1993" s="33"/>
      <c r="D1993" s="33"/>
      <c r="E1993" s="33" t="n">
        <v>52</v>
      </c>
      <c r="F1993" s="33" t="s">
        <v>2163</v>
      </c>
      <c r="G1993" s="33" t="s">
        <v>1426</v>
      </c>
      <c r="H1993" s="33" t="n">
        <v>1</v>
      </c>
      <c r="I1993" s="33" t="n">
        <v>7</v>
      </c>
      <c r="J1993" s="33" t="n">
        <v>7</v>
      </c>
      <c r="K1993" s="32" t="n">
        <v>700</v>
      </c>
      <c r="L1993" s="33" t="str">
        <f aca="false">IF($B1993="","",IFERROR(INDEX('Code Mapping'!$D$5:$D$1753,MATCH($B1993,'Code Mapping'!$A$5:$A$1753,0)),"Unmapped"))</f>
        <v>Unmapped</v>
      </c>
      <c r="M1993" s="33" t="str">
        <f aca="false">IF($B1993="","",IFERROR(INDEX('Code Mapping'!$E$5:$E$1753,MATCH($B1993,'Code Mapping'!$A$5:$A$1753,0)),"Unmapped"))</f>
        <v>Unmapped</v>
      </c>
      <c r="N1993" s="33" t="str">
        <f aca="false">IF($F1993="","",$F1993)</f>
        <v>InflataRun</v>
      </c>
    </row>
    <row r="1994" customFormat="false" ht="15" hidden="false" customHeight="false" outlineLevel="0" collapsed="false">
      <c r="A1994" s="33" t="n">
        <v>150</v>
      </c>
      <c r="B1994" s="33" t="s">
        <v>1439</v>
      </c>
      <c r="C1994" s="33"/>
      <c r="D1994" s="33"/>
      <c r="E1994" s="33" t="n">
        <v>52</v>
      </c>
      <c r="F1994" s="33" t="s">
        <v>2163</v>
      </c>
      <c r="G1994" s="33" t="s">
        <v>1426</v>
      </c>
      <c r="H1994" s="33" t="n">
        <v>2</v>
      </c>
      <c r="I1994" s="33" t="n">
        <v>5</v>
      </c>
      <c r="J1994" s="33" t="n">
        <v>5</v>
      </c>
      <c r="K1994" s="32" t="n">
        <v>200</v>
      </c>
      <c r="L1994" s="33" t="str">
        <f aca="false">IF($B1994="","",IFERROR(INDEX('Code Mapping'!$D$5:$D$1753,MATCH($B1994,'Code Mapping'!$A$5:$A$1753,0)),"Unmapped"))</f>
        <v>Unmapped</v>
      </c>
      <c r="M1994" s="33" t="str">
        <f aca="false">IF($B1994="","",IFERROR(INDEX('Code Mapping'!$E$5:$E$1753,MATCH($B1994,'Code Mapping'!$A$5:$A$1753,0)),"Unmapped"))</f>
        <v>Unmapped</v>
      </c>
      <c r="N1994" s="33" t="str">
        <f aca="false">IF($F1994="","",$F1994)</f>
        <v>InflataRun</v>
      </c>
    </row>
    <row r="1995" customFormat="false" ht="15" hidden="false" customHeight="false" outlineLevel="0" collapsed="false">
      <c r="A1995" s="33" t="n">
        <v>145</v>
      </c>
      <c r="B1995" s="33" t="s">
        <v>1440</v>
      </c>
      <c r="C1995" s="33"/>
      <c r="D1995" s="33"/>
      <c r="E1995" s="33" t="n">
        <v>52</v>
      </c>
      <c r="F1995" s="33" t="s">
        <v>2163</v>
      </c>
      <c r="G1995" s="33" t="s">
        <v>1426</v>
      </c>
      <c r="H1995" s="33" t="n">
        <v>2</v>
      </c>
      <c r="I1995" s="33" t="n">
        <v>3</v>
      </c>
      <c r="J1995" s="33" t="n">
        <v>3</v>
      </c>
      <c r="K1995" s="32" t="n">
        <v>300</v>
      </c>
      <c r="L1995" s="33" t="str">
        <f aca="false">IF($B1995="","",IFERROR(INDEX('Code Mapping'!$D$5:$D$1753,MATCH($B1995,'Code Mapping'!$A$5:$A$1753,0)),"Unmapped"))</f>
        <v>Unmapped</v>
      </c>
      <c r="M1995" s="33" t="str">
        <f aca="false">IF($B1995="","",IFERROR(INDEX('Code Mapping'!$E$5:$E$1753,MATCH($B1995,'Code Mapping'!$A$5:$A$1753,0)),"Unmapped"))</f>
        <v>Unmapped</v>
      </c>
      <c r="N1995" s="33" t="str">
        <f aca="false">IF($F1995="","",$F1995)</f>
        <v>InflataRun</v>
      </c>
    </row>
    <row r="1996" customFormat="false" ht="15" hidden="false" customHeight="false" outlineLevel="0" collapsed="false">
      <c r="A1996" s="33" t="n">
        <v>144</v>
      </c>
      <c r="B1996" s="33" t="s">
        <v>1441</v>
      </c>
      <c r="C1996" s="33"/>
      <c r="D1996" s="33"/>
      <c r="E1996" s="33" t="n">
        <v>52</v>
      </c>
      <c r="F1996" s="33" t="s">
        <v>2163</v>
      </c>
      <c r="G1996" s="33" t="s">
        <v>1426</v>
      </c>
      <c r="H1996" s="33" t="n">
        <v>1</v>
      </c>
      <c r="I1996" s="33" t="n">
        <v>2</v>
      </c>
      <c r="J1996" s="33" t="n">
        <v>2</v>
      </c>
      <c r="K1996" s="32" t="n">
        <v>200</v>
      </c>
      <c r="L1996" s="33" t="str">
        <f aca="false">IF($B1996="","",IFERROR(INDEX('Code Mapping'!$D$5:$D$1753,MATCH($B1996,'Code Mapping'!$A$5:$A$1753,0)),"Unmapped"))</f>
        <v>Unmapped</v>
      </c>
      <c r="M1996" s="33" t="str">
        <f aca="false">IF($B1996="","",IFERROR(INDEX('Code Mapping'!$E$5:$E$1753,MATCH($B1996,'Code Mapping'!$A$5:$A$1753,0)),"Unmapped"))</f>
        <v>Unmapped</v>
      </c>
      <c r="N1996" s="33" t="str">
        <f aca="false">IF($F1996="","",$F1996)</f>
        <v>InflataRun</v>
      </c>
    </row>
    <row r="1997" customFormat="false" ht="15" hidden="false" customHeight="false" outlineLevel="0" collapsed="false">
      <c r="A1997" s="33" t="n">
        <v>139</v>
      </c>
      <c r="B1997" s="33" t="s">
        <v>1093</v>
      </c>
      <c r="C1997" s="33"/>
      <c r="D1997" s="33"/>
      <c r="E1997" s="33" t="n">
        <v>41</v>
      </c>
      <c r="F1997" s="33" t="s">
        <v>36</v>
      </c>
      <c r="G1997" s="33" t="s">
        <v>2164</v>
      </c>
      <c r="H1997" s="33" t="n">
        <v>3</v>
      </c>
      <c r="I1997" s="33" t="n">
        <v>5</v>
      </c>
      <c r="J1997" s="33" t="n">
        <v>5</v>
      </c>
      <c r="K1997" s="32" t="n">
        <v>14.25</v>
      </c>
      <c r="L1997" s="33" t="str">
        <f aca="false">IF($B1997="","",IFERROR(INDEX('Code Mapping'!$D$5:$D$1753,MATCH($B1997,'Code Mapping'!$A$5:$A$1753,0)),"Unmapped"))</f>
        <v>Unmapped</v>
      </c>
      <c r="M1997" s="33" t="str">
        <f aca="false">IF($B1997="","",IFERROR(INDEX('Code Mapping'!$E$5:$E$1753,MATCH($B1997,'Code Mapping'!$A$5:$A$1753,0)),"Unmapped"))</f>
        <v>Unmapped</v>
      </c>
      <c r="N1997" s="33" t="str">
        <f aca="false">IF($F1997="","",$F1997)</f>
        <v>InflataPark</v>
      </c>
    </row>
    <row r="1998" customFormat="false" ht="15" hidden="false" customHeight="false" outlineLevel="0" collapsed="false">
      <c r="A1998" s="33" t="n">
        <v>139</v>
      </c>
      <c r="B1998" s="33" t="s">
        <v>1093</v>
      </c>
      <c r="C1998" s="33"/>
      <c r="D1998" s="33"/>
      <c r="E1998" s="33" t="n">
        <v>41</v>
      </c>
      <c r="F1998" s="33" t="s">
        <v>36</v>
      </c>
      <c r="G1998" s="33" t="s">
        <v>2165</v>
      </c>
      <c r="H1998" s="33" t="n">
        <v>3</v>
      </c>
      <c r="I1998" s="33" t="n">
        <v>5</v>
      </c>
      <c r="J1998" s="33" t="n">
        <v>5</v>
      </c>
      <c r="K1998" s="32" t="n">
        <v>19</v>
      </c>
      <c r="L1998" s="33" t="str">
        <f aca="false">IF($B1998="","",IFERROR(INDEX('Code Mapping'!$D$5:$D$1753,MATCH($B1998,'Code Mapping'!$A$5:$A$1753,0)),"Unmapped"))</f>
        <v>Unmapped</v>
      </c>
      <c r="M1998" s="33" t="str">
        <f aca="false">IF($B1998="","",IFERROR(INDEX('Code Mapping'!$E$5:$E$1753,MATCH($B1998,'Code Mapping'!$A$5:$A$1753,0)),"Unmapped"))</f>
        <v>Unmapped</v>
      </c>
      <c r="N1998" s="33" t="str">
        <f aca="false">IF($F1998="","",$F1998)</f>
        <v>InflataPark</v>
      </c>
    </row>
    <row r="1999" customFormat="false" ht="15" hidden="false" customHeight="false" outlineLevel="0" collapsed="false">
      <c r="A1999" s="33" t="n">
        <v>139</v>
      </c>
      <c r="B1999" s="33" t="s">
        <v>1093</v>
      </c>
      <c r="C1999" s="33"/>
      <c r="D1999" s="33"/>
      <c r="E1999" s="33" t="n">
        <v>41</v>
      </c>
      <c r="F1999" s="33" t="s">
        <v>36</v>
      </c>
      <c r="G1999" s="33" t="s">
        <v>478</v>
      </c>
      <c r="H1999" s="33" t="n">
        <v>11</v>
      </c>
      <c r="I1999" s="33" t="n">
        <v>24</v>
      </c>
      <c r="J1999" s="33" t="n">
        <v>24</v>
      </c>
      <c r="K1999" s="32" t="n">
        <v>119.5</v>
      </c>
      <c r="L1999" s="33" t="str">
        <f aca="false">IF($B1999="","",IFERROR(INDEX('Code Mapping'!$D$5:$D$1753,MATCH($B1999,'Code Mapping'!$A$5:$A$1753,0)),"Unmapped"))</f>
        <v>Unmapped</v>
      </c>
      <c r="M1999" s="33" t="str">
        <f aca="false">IF($B1999="","",IFERROR(INDEX('Code Mapping'!$E$5:$E$1753,MATCH($B1999,'Code Mapping'!$A$5:$A$1753,0)),"Unmapped"))</f>
        <v>Unmapped</v>
      </c>
      <c r="N1999" s="33" t="str">
        <f aca="false">IF($F1999="","",$F1999)</f>
        <v>InflataPark</v>
      </c>
    </row>
    <row r="2000" customFormat="false" ht="15" hidden="false" customHeight="false" outlineLevel="0" collapsed="false">
      <c r="A2000" s="33" t="n">
        <v>140</v>
      </c>
      <c r="B2000" s="33" t="s">
        <v>477</v>
      </c>
      <c r="C2000" s="33"/>
      <c r="D2000" s="33"/>
      <c r="E2000" s="33" t="n">
        <v>20</v>
      </c>
      <c r="F2000" s="33" t="s">
        <v>2166</v>
      </c>
      <c r="G2000" s="33" t="s">
        <v>478</v>
      </c>
      <c r="H2000" s="33" t="n">
        <v>2</v>
      </c>
      <c r="I2000" s="33" t="n">
        <v>2</v>
      </c>
      <c r="J2000" s="33" t="n">
        <v>2</v>
      </c>
      <c r="K2000" s="32" t="n">
        <v>3.5</v>
      </c>
      <c r="L2000" s="33" t="str">
        <f aca="false">IF($B2000="","",IFERROR(INDEX('Code Mapping'!$D$5:$D$1753,MATCH($B2000,'Code Mapping'!$A$5:$A$1753,0)),"Unmapped"))</f>
        <v>Unmapped</v>
      </c>
      <c r="M2000" s="33" t="str">
        <f aca="false">IF($B2000="","",IFERROR(INDEX('Code Mapping'!$E$5:$E$1753,MATCH($B2000,'Code Mapping'!$A$5:$A$1753,0)),"Unmapped"))</f>
        <v>Unmapped</v>
      </c>
      <c r="N2000" s="33" t="str">
        <f aca="false">IF($F2000="","",$F2000)</f>
        <v>Crayons &amp; Bricks</v>
      </c>
    </row>
    <row r="2001" customFormat="false" ht="15" hidden="false" customHeight="false" outlineLevel="0" collapsed="false">
      <c r="A2001" s="33" t="n">
        <v>140</v>
      </c>
      <c r="B2001" s="33" t="s">
        <v>477</v>
      </c>
      <c r="C2001" s="33"/>
      <c r="D2001" s="33"/>
      <c r="E2001" s="33" t="n">
        <v>20</v>
      </c>
      <c r="F2001" s="33" t="s">
        <v>2166</v>
      </c>
      <c r="G2001" s="33" t="s">
        <v>2167</v>
      </c>
      <c r="H2001" s="33" t="n">
        <v>2</v>
      </c>
      <c r="I2001" s="33" t="n">
        <v>4</v>
      </c>
      <c r="J2001" s="33" t="n">
        <v>4</v>
      </c>
      <c r="K2001" s="32" t="n">
        <v>7</v>
      </c>
      <c r="L2001" s="33" t="str">
        <f aca="false">IF($B2001="","",IFERROR(INDEX('Code Mapping'!$D$5:$D$1753,MATCH($B2001,'Code Mapping'!$A$5:$A$1753,0)),"Unmapped"))</f>
        <v>Unmapped</v>
      </c>
      <c r="M2001" s="33" t="str">
        <f aca="false">IF($B2001="","",IFERROR(INDEX('Code Mapping'!$E$5:$E$1753,MATCH($B2001,'Code Mapping'!$A$5:$A$1753,0)),"Unmapped"))</f>
        <v>Unmapped</v>
      </c>
      <c r="N2001" s="33" t="str">
        <f aca="false">IF($F2001="","",$F2001)</f>
        <v>Crayons &amp; Bricks</v>
      </c>
    </row>
    <row r="2002" customFormat="false" ht="15" hidden="false" customHeight="false" outlineLevel="0" collapsed="false">
      <c r="A2002" s="33" t="n">
        <v>139</v>
      </c>
      <c r="B2002" s="33" t="s">
        <v>1093</v>
      </c>
      <c r="C2002" s="33"/>
      <c r="D2002" s="33"/>
      <c r="E2002" s="33" t="n">
        <v>41</v>
      </c>
      <c r="F2002" s="33" t="s">
        <v>36</v>
      </c>
      <c r="G2002" s="33" t="s">
        <v>2167</v>
      </c>
      <c r="H2002" s="33" t="n">
        <v>14</v>
      </c>
      <c r="I2002" s="33" t="n">
        <v>20</v>
      </c>
      <c r="J2002" s="33" t="n">
        <v>20</v>
      </c>
      <c r="K2002" s="32" t="n">
        <v>99</v>
      </c>
      <c r="L2002" s="33" t="str">
        <f aca="false">IF($B2002="","",IFERROR(INDEX('Code Mapping'!$D$5:$D$1753,MATCH($B2002,'Code Mapping'!$A$5:$A$1753,0)),"Unmapped"))</f>
        <v>Unmapped</v>
      </c>
      <c r="M2002" s="33" t="str">
        <f aca="false">IF($B2002="","",IFERROR(INDEX('Code Mapping'!$E$5:$E$1753,MATCH($B2002,'Code Mapping'!$A$5:$A$1753,0)),"Unmapped"))</f>
        <v>Unmapped</v>
      </c>
      <c r="N2002" s="33" t="str">
        <f aca="false">IF($F2002="","",$F2002)</f>
        <v>InflataPark</v>
      </c>
    </row>
    <row r="2003" customFormat="false" ht="15" hidden="false" customHeight="false" outlineLevel="0" collapsed="false">
      <c r="A2003" s="33" t="n">
        <v>105</v>
      </c>
      <c r="B2003" s="33" t="s">
        <v>1978</v>
      </c>
      <c r="C2003" s="33"/>
      <c r="D2003" s="33"/>
      <c r="E2003" s="33" t="n">
        <v>10</v>
      </c>
      <c r="F2003" s="33" t="s">
        <v>2163</v>
      </c>
      <c r="G2003" s="33" t="s">
        <v>450</v>
      </c>
      <c r="H2003" s="33" t="n">
        <v>6</v>
      </c>
      <c r="I2003" s="33" t="n">
        <v>14</v>
      </c>
      <c r="J2003" s="33" t="n">
        <v>14</v>
      </c>
      <c r="K2003" s="32" t="n">
        <v>490</v>
      </c>
      <c r="L2003" s="33" t="str">
        <f aca="false">IF($B2003="","",IFERROR(INDEX('Code Mapping'!$D$5:$D$1753,MATCH($B2003,'Code Mapping'!$A$5:$A$1753,0)),"Unmapped"))</f>
        <v>Unmapped</v>
      </c>
      <c r="M2003" s="33" t="str">
        <f aca="false">IF($B2003="","",IFERROR(INDEX('Code Mapping'!$E$5:$E$1753,MATCH($B2003,'Code Mapping'!$A$5:$A$1753,0)),"Unmapped"))</f>
        <v>Unmapped</v>
      </c>
      <c r="N2003" s="33" t="str">
        <f aca="false">IF($F2003="","",$F2003)</f>
        <v>InflataRun</v>
      </c>
    </row>
    <row r="2004" customFormat="false" ht="15" hidden="false" customHeight="false" outlineLevel="0" collapsed="false">
      <c r="A2004" s="33" t="n">
        <v>40</v>
      </c>
      <c r="B2004" s="33" t="s">
        <v>1997</v>
      </c>
      <c r="C2004" s="33"/>
      <c r="D2004" s="33"/>
      <c r="E2004" s="33" t="n">
        <v>10</v>
      </c>
      <c r="F2004" s="33" t="s">
        <v>2163</v>
      </c>
      <c r="G2004" s="33" t="s">
        <v>450</v>
      </c>
      <c r="H2004" s="33" t="n">
        <v>1</v>
      </c>
      <c r="I2004" s="33" t="n">
        <v>1</v>
      </c>
      <c r="J2004" s="33" t="n">
        <v>1</v>
      </c>
      <c r="K2004" s="32" t="n">
        <v>185</v>
      </c>
      <c r="L2004" s="33" t="str">
        <f aca="false">IF($B2004="","",IFERROR(INDEX('Code Mapping'!$D$5:$D$1753,MATCH($B2004,'Code Mapping'!$A$5:$A$1753,0)),"Unmapped"))</f>
        <v>Unmapped</v>
      </c>
      <c r="M2004" s="33" t="str">
        <f aca="false">IF($B2004="","",IFERROR(INDEX('Code Mapping'!$E$5:$E$1753,MATCH($B2004,'Code Mapping'!$A$5:$A$1753,0)),"Unmapped"))</f>
        <v>Unmapped</v>
      </c>
      <c r="N2004" s="33" t="str">
        <f aca="false">IF($F2004="","",$F2004)</f>
        <v>InflataRun</v>
      </c>
    </row>
    <row r="2005" customFormat="false" ht="15" hidden="false" customHeight="false" outlineLevel="0" collapsed="false">
      <c r="A2005" s="33" t="n">
        <v>39</v>
      </c>
      <c r="B2005" s="33" t="s">
        <v>1992</v>
      </c>
      <c r="C2005" s="33"/>
      <c r="D2005" s="33"/>
      <c r="E2005" s="33" t="n">
        <v>10</v>
      </c>
      <c r="F2005" s="33" t="s">
        <v>2163</v>
      </c>
      <c r="G2005" s="33" t="s">
        <v>450</v>
      </c>
      <c r="H2005" s="33" t="n">
        <v>1</v>
      </c>
      <c r="I2005" s="33" t="n">
        <v>1</v>
      </c>
      <c r="J2005" s="33" t="n">
        <v>1</v>
      </c>
      <c r="K2005" s="32" t="n">
        <v>175</v>
      </c>
      <c r="L2005" s="33" t="str">
        <f aca="false">IF($B2005="","",IFERROR(INDEX('Code Mapping'!$D$5:$D$1753,MATCH($B2005,'Code Mapping'!$A$5:$A$1753,0)),"Unmapped"))</f>
        <v>Unmapped</v>
      </c>
      <c r="M2005" s="33" t="str">
        <f aca="false">IF($B2005="","",IFERROR(INDEX('Code Mapping'!$E$5:$E$1753,MATCH($B2005,'Code Mapping'!$A$5:$A$1753,0)),"Unmapped"))</f>
        <v>Unmapped</v>
      </c>
      <c r="N2005" s="33" t="str">
        <f aca="false">IF($F2005="","",$F2005)</f>
        <v>InflataRun</v>
      </c>
    </row>
    <row r="2006" customFormat="false" ht="15" hidden="false" customHeight="false" outlineLevel="0" collapsed="false">
      <c r="A2006" s="33" t="n">
        <v>114</v>
      </c>
      <c r="B2006" s="33" t="s">
        <v>1989</v>
      </c>
      <c r="C2006" s="33"/>
      <c r="D2006" s="33"/>
      <c r="E2006" s="33" t="n">
        <v>10</v>
      </c>
      <c r="F2006" s="33" t="s">
        <v>2163</v>
      </c>
      <c r="G2006" s="33" t="s">
        <v>450</v>
      </c>
      <c r="H2006" s="33" t="n">
        <v>2</v>
      </c>
      <c r="I2006" s="33" t="n">
        <v>5</v>
      </c>
      <c r="J2006" s="33" t="n">
        <v>5</v>
      </c>
      <c r="K2006" s="32" t="n">
        <v>175</v>
      </c>
      <c r="L2006" s="33" t="str">
        <f aca="false">IF($B2006="","",IFERROR(INDEX('Code Mapping'!$D$5:$D$1753,MATCH($B2006,'Code Mapping'!$A$5:$A$1753,0)),"Unmapped"))</f>
        <v>Unmapped</v>
      </c>
      <c r="M2006" s="33" t="str">
        <f aca="false">IF($B2006="","",IFERROR(INDEX('Code Mapping'!$E$5:$E$1753,MATCH($B2006,'Code Mapping'!$A$5:$A$1753,0)),"Unmapped"))</f>
        <v>Unmapped</v>
      </c>
      <c r="N2006" s="33" t="str">
        <f aca="false">IF($F2006="","",$F2006)</f>
        <v>InflataRun</v>
      </c>
    </row>
    <row r="2007" customFormat="false" ht="15" hidden="false" customHeight="false" outlineLevel="0" collapsed="false">
      <c r="A2007" s="33" t="n">
        <v>28</v>
      </c>
      <c r="B2007" s="33" t="s">
        <v>1987</v>
      </c>
      <c r="C2007" s="33"/>
      <c r="D2007" s="33"/>
      <c r="E2007" s="33" t="n">
        <v>10</v>
      </c>
      <c r="F2007" s="33" t="s">
        <v>2163</v>
      </c>
      <c r="G2007" s="33" t="s">
        <v>450</v>
      </c>
      <c r="H2007" s="33" t="n">
        <v>1</v>
      </c>
      <c r="I2007" s="33" t="n">
        <v>1</v>
      </c>
      <c r="J2007" s="33" t="n">
        <v>1</v>
      </c>
      <c r="K2007" s="32" t="n">
        <v>185</v>
      </c>
      <c r="L2007" s="33" t="str">
        <f aca="false">IF($B2007="","",IFERROR(INDEX('Code Mapping'!$D$5:$D$1753,MATCH($B2007,'Code Mapping'!$A$5:$A$1753,0)),"Unmapped"))</f>
        <v>Unmapped</v>
      </c>
      <c r="M2007" s="33" t="str">
        <f aca="false">IF($B2007="","",IFERROR(INDEX('Code Mapping'!$E$5:$E$1753,MATCH($B2007,'Code Mapping'!$A$5:$A$1753,0)),"Unmapped"))</f>
        <v>Unmapped</v>
      </c>
      <c r="N2007" s="33" t="str">
        <f aca="false">IF($F2007="","",$F2007)</f>
        <v>InflataRun</v>
      </c>
    </row>
    <row r="2008" customFormat="false" ht="15" hidden="false" customHeight="false" outlineLevel="0" collapsed="false">
      <c r="A2008" s="33" t="n">
        <v>27</v>
      </c>
      <c r="B2008" s="33" t="s">
        <v>1982</v>
      </c>
      <c r="C2008" s="33"/>
      <c r="D2008" s="33"/>
      <c r="E2008" s="33" t="n">
        <v>10</v>
      </c>
      <c r="F2008" s="33" t="s">
        <v>2163</v>
      </c>
      <c r="G2008" s="33" t="s">
        <v>450</v>
      </c>
      <c r="H2008" s="33" t="n">
        <v>1</v>
      </c>
      <c r="I2008" s="33" t="n">
        <v>1</v>
      </c>
      <c r="J2008" s="33" t="n">
        <v>1</v>
      </c>
      <c r="K2008" s="32" t="n">
        <v>185</v>
      </c>
      <c r="L2008" s="33" t="str">
        <f aca="false">IF($B2008="","",IFERROR(INDEX('Code Mapping'!$D$5:$D$1753,MATCH($B2008,'Code Mapping'!$A$5:$A$1753,0)),"Unmapped"))</f>
        <v>Unmapped</v>
      </c>
      <c r="M2008" s="33" t="str">
        <f aca="false">IF($B2008="","",IFERROR(INDEX('Code Mapping'!$E$5:$E$1753,MATCH($B2008,'Code Mapping'!$A$5:$A$1753,0)),"Unmapped"))</f>
        <v>Unmapped</v>
      </c>
      <c r="N2008" s="33" t="str">
        <f aca="false">IF($F2008="","",$F2008)</f>
        <v>InflataRun</v>
      </c>
    </row>
    <row r="2009" customFormat="false" ht="15" hidden="false" customHeight="false" outlineLevel="0" collapsed="false">
      <c r="A2009" s="33" t="n">
        <v>32</v>
      </c>
      <c r="B2009" s="33" t="s">
        <v>1981</v>
      </c>
      <c r="C2009" s="33"/>
      <c r="D2009" s="33"/>
      <c r="E2009" s="33" t="n">
        <v>10</v>
      </c>
      <c r="F2009" s="33" t="s">
        <v>2163</v>
      </c>
      <c r="G2009" s="33" t="s">
        <v>450</v>
      </c>
      <c r="H2009" s="33" t="n">
        <v>1</v>
      </c>
      <c r="I2009" s="33" t="n">
        <v>2</v>
      </c>
      <c r="J2009" s="33" t="n">
        <v>2</v>
      </c>
      <c r="K2009" s="32" t="n">
        <v>350</v>
      </c>
      <c r="L2009" s="33" t="str">
        <f aca="false">IF($B2009="","",IFERROR(INDEX('Code Mapping'!$D$5:$D$1753,MATCH($B2009,'Code Mapping'!$A$5:$A$1753,0)),"Unmapped"))</f>
        <v>Unmapped</v>
      </c>
      <c r="M2009" s="33" t="str">
        <f aca="false">IF($B2009="","",IFERROR(INDEX('Code Mapping'!$E$5:$E$1753,MATCH($B2009,'Code Mapping'!$A$5:$A$1753,0)),"Unmapped"))</f>
        <v>Unmapped</v>
      </c>
      <c r="N2009" s="33" t="str">
        <f aca="false">IF($F2009="","",$F2009)</f>
        <v>InflataRun</v>
      </c>
    </row>
    <row r="2010" customFormat="false" ht="15" hidden="false" customHeight="false" outlineLevel="0" collapsed="false">
      <c r="A2010" s="33" t="n">
        <v>29</v>
      </c>
      <c r="B2010" s="33" t="s">
        <v>1980</v>
      </c>
      <c r="C2010" s="33"/>
      <c r="D2010" s="33"/>
      <c r="E2010" s="33" t="n">
        <v>10</v>
      </c>
      <c r="F2010" s="33" t="s">
        <v>2163</v>
      </c>
      <c r="G2010" s="33" t="s">
        <v>450</v>
      </c>
      <c r="H2010" s="33" t="n">
        <v>1</v>
      </c>
      <c r="I2010" s="33" t="n">
        <v>1</v>
      </c>
      <c r="J2010" s="33" t="n">
        <v>1</v>
      </c>
      <c r="K2010" s="32" t="n">
        <v>185</v>
      </c>
      <c r="L2010" s="33" t="str">
        <f aca="false">IF($B2010="","",IFERROR(INDEX('Code Mapping'!$D$5:$D$1753,MATCH($B2010,'Code Mapping'!$A$5:$A$1753,0)),"Unmapped"))</f>
        <v>Unmapped</v>
      </c>
      <c r="M2010" s="33" t="str">
        <f aca="false">IF($B2010="","",IFERROR(INDEX('Code Mapping'!$E$5:$E$1753,MATCH($B2010,'Code Mapping'!$A$5:$A$1753,0)),"Unmapped"))</f>
        <v>Unmapped</v>
      </c>
      <c r="N2010" s="33" t="str">
        <f aca="false">IF($F2010="","",$F2010)</f>
        <v>InflataRun</v>
      </c>
    </row>
    <row r="2011" customFormat="false" ht="15" hidden="false" customHeight="false" outlineLevel="0" collapsed="false">
      <c r="A2011" s="33" t="n">
        <v>7</v>
      </c>
      <c r="B2011" s="33" t="s">
        <v>1979</v>
      </c>
      <c r="C2011" s="33"/>
      <c r="D2011" s="33"/>
      <c r="E2011" s="33" t="n">
        <v>10</v>
      </c>
      <c r="F2011" s="33" t="s">
        <v>2163</v>
      </c>
      <c r="G2011" s="33" t="s">
        <v>450</v>
      </c>
      <c r="H2011" s="33" t="n">
        <v>1</v>
      </c>
      <c r="I2011" s="33" t="n">
        <v>1</v>
      </c>
      <c r="J2011" s="33" t="n">
        <v>1</v>
      </c>
      <c r="K2011" s="32" t="n">
        <v>35</v>
      </c>
      <c r="L2011" s="33" t="str">
        <f aca="false">IF($B2011="","",IFERROR(INDEX('Code Mapping'!$D$5:$D$1753,MATCH($B2011,'Code Mapping'!$A$5:$A$1753,0)),"Unmapped"))</f>
        <v>Unmapped</v>
      </c>
      <c r="M2011" s="33" t="str">
        <f aca="false">IF($B2011="","",IFERROR(INDEX('Code Mapping'!$E$5:$E$1753,MATCH($B2011,'Code Mapping'!$A$5:$A$1753,0)),"Unmapped"))</f>
        <v>Unmapped</v>
      </c>
      <c r="N2011" s="33" t="str">
        <f aca="false">IF($F2011="","",$F2011)</f>
        <v>InflataRun</v>
      </c>
    </row>
    <row r="2012" customFormat="false" ht="15" hidden="false" customHeight="false" outlineLevel="0" collapsed="false">
      <c r="A2012" s="33" t="n">
        <v>67</v>
      </c>
      <c r="B2012" s="33" t="s">
        <v>1871</v>
      </c>
      <c r="C2012" s="33"/>
      <c r="D2012" s="33"/>
      <c r="E2012" s="33" t="n">
        <v>10</v>
      </c>
      <c r="F2012" s="33" t="s">
        <v>2163</v>
      </c>
      <c r="G2012" s="33" t="s">
        <v>450</v>
      </c>
      <c r="H2012" s="33" t="n">
        <v>1</v>
      </c>
      <c r="I2012" s="33" t="n">
        <v>4</v>
      </c>
      <c r="J2012" s="33" t="n">
        <v>4</v>
      </c>
      <c r="K2012" s="32" t="n">
        <v>720</v>
      </c>
      <c r="L2012" s="33" t="str">
        <f aca="false">IF($B2012="","",IFERROR(INDEX('Code Mapping'!$D$5:$D$1753,MATCH($B2012,'Code Mapping'!$A$5:$A$1753,0)),"Unmapped"))</f>
        <v>Unmapped</v>
      </c>
      <c r="M2012" s="33" t="str">
        <f aca="false">IF($B2012="","",IFERROR(INDEX('Code Mapping'!$E$5:$E$1753,MATCH($B2012,'Code Mapping'!$A$5:$A$1753,0)),"Unmapped"))</f>
        <v>Unmapped</v>
      </c>
      <c r="N2012" s="33" t="str">
        <f aca="false">IF($F2012="","",$F2012)</f>
        <v>InflataRun</v>
      </c>
    </row>
    <row r="2013" customFormat="false" ht="15" hidden="false" customHeight="false" outlineLevel="0" collapsed="false">
      <c r="A2013" s="33" t="n">
        <v>58</v>
      </c>
      <c r="B2013" s="33" t="s">
        <v>1998</v>
      </c>
      <c r="C2013" s="33"/>
      <c r="D2013" s="33"/>
      <c r="E2013" s="33" t="n">
        <v>10</v>
      </c>
      <c r="F2013" s="33" t="s">
        <v>2163</v>
      </c>
      <c r="G2013" s="33" t="s">
        <v>450</v>
      </c>
      <c r="H2013" s="33" t="n">
        <v>1</v>
      </c>
      <c r="I2013" s="33" t="n">
        <v>2</v>
      </c>
      <c r="J2013" s="33" t="n">
        <v>2</v>
      </c>
      <c r="K2013" s="32" t="n">
        <v>110</v>
      </c>
      <c r="L2013" s="33" t="str">
        <f aca="false">IF($B2013="","",IFERROR(INDEX('Code Mapping'!$D$5:$D$1753,MATCH($B2013,'Code Mapping'!$A$5:$A$1753,0)),"Unmapped"))</f>
        <v>Unmapped</v>
      </c>
      <c r="M2013" s="33" t="str">
        <f aca="false">IF($B2013="","",IFERROR(INDEX('Code Mapping'!$E$5:$E$1753,MATCH($B2013,'Code Mapping'!$A$5:$A$1753,0)),"Unmapped"))</f>
        <v>Unmapped</v>
      </c>
      <c r="N2013" s="33" t="str">
        <f aca="false">IF($F2013="","",$F2013)</f>
        <v>InflataRun</v>
      </c>
    </row>
    <row r="2014" customFormat="false" ht="15" hidden="false" customHeight="false" outlineLevel="0" collapsed="false">
      <c r="A2014" s="33" t="n">
        <v>109</v>
      </c>
      <c r="B2014" s="33" t="s">
        <v>1963</v>
      </c>
      <c r="C2014" s="33"/>
      <c r="D2014" s="33"/>
      <c r="E2014" s="33" t="n">
        <v>10</v>
      </c>
      <c r="F2014" s="33" t="s">
        <v>2163</v>
      </c>
      <c r="G2014" s="33" t="s">
        <v>450</v>
      </c>
      <c r="H2014" s="33" t="n">
        <v>3</v>
      </c>
      <c r="I2014" s="33" t="n">
        <v>8</v>
      </c>
      <c r="J2014" s="33" t="n">
        <v>8</v>
      </c>
      <c r="K2014" s="32" t="n">
        <v>200</v>
      </c>
      <c r="L2014" s="33" t="str">
        <f aca="false">IF($B2014="","",IFERROR(INDEX('Code Mapping'!$D$5:$D$1753,MATCH($B2014,'Code Mapping'!$A$5:$A$1753,0)),"Unmapped"))</f>
        <v>Unmapped</v>
      </c>
      <c r="M2014" s="33" t="str">
        <f aca="false">IF($B2014="","",IFERROR(INDEX('Code Mapping'!$E$5:$E$1753,MATCH($B2014,'Code Mapping'!$A$5:$A$1753,0)),"Unmapped"))</f>
        <v>Unmapped</v>
      </c>
      <c r="N2014" s="33" t="str">
        <f aca="false">IF($F2014="","",$F2014)</f>
        <v>InflataRun</v>
      </c>
    </row>
    <row r="2015" customFormat="false" ht="15" hidden="false" customHeight="false" outlineLevel="0" collapsed="false">
      <c r="A2015" s="33" t="n">
        <v>110</v>
      </c>
      <c r="B2015" s="33" t="s">
        <v>1962</v>
      </c>
      <c r="C2015" s="33"/>
      <c r="D2015" s="33"/>
      <c r="E2015" s="33" t="n">
        <v>10</v>
      </c>
      <c r="F2015" s="33" t="s">
        <v>2163</v>
      </c>
      <c r="G2015" s="33" t="s">
        <v>450</v>
      </c>
      <c r="H2015" s="33" t="n">
        <v>2</v>
      </c>
      <c r="I2015" s="33" t="n">
        <v>2</v>
      </c>
      <c r="J2015" s="33" t="n">
        <v>2</v>
      </c>
      <c r="K2015" s="32" t="n">
        <v>70</v>
      </c>
      <c r="L2015" s="33" t="str">
        <f aca="false">IF($B2015="","",IFERROR(INDEX('Code Mapping'!$D$5:$D$1753,MATCH($B2015,'Code Mapping'!$A$5:$A$1753,0)),"Unmapped"))</f>
        <v>Unmapped</v>
      </c>
      <c r="M2015" s="33" t="str">
        <f aca="false">IF($B2015="","",IFERROR(INDEX('Code Mapping'!$E$5:$E$1753,MATCH($B2015,'Code Mapping'!$A$5:$A$1753,0)),"Unmapped"))</f>
        <v>Unmapped</v>
      </c>
      <c r="N2015" s="33" t="str">
        <f aca="false">IF($F2015="","",$F2015)</f>
        <v>InflataRun</v>
      </c>
    </row>
    <row r="2016" customFormat="false" ht="15" hidden="false" customHeight="false" outlineLevel="0" collapsed="false">
      <c r="A2016" s="33" t="n">
        <v>97</v>
      </c>
      <c r="B2016" s="33" t="s">
        <v>1945</v>
      </c>
      <c r="C2016" s="33"/>
      <c r="D2016" s="33"/>
      <c r="E2016" s="33" t="n">
        <v>10</v>
      </c>
      <c r="F2016" s="33" t="s">
        <v>2163</v>
      </c>
      <c r="G2016" s="33" t="s">
        <v>450</v>
      </c>
      <c r="H2016" s="33" t="n">
        <v>1</v>
      </c>
      <c r="I2016" s="33" t="n">
        <v>2</v>
      </c>
      <c r="J2016" s="33" t="n">
        <v>2</v>
      </c>
      <c r="K2016" s="32" t="n">
        <v>350</v>
      </c>
      <c r="L2016" s="33" t="str">
        <f aca="false">IF($B2016="","",IFERROR(INDEX('Code Mapping'!$D$5:$D$1753,MATCH($B2016,'Code Mapping'!$A$5:$A$1753,0)),"Unmapped"))</f>
        <v>Unmapped</v>
      </c>
      <c r="M2016" s="33" t="str">
        <f aca="false">IF($B2016="","",IFERROR(INDEX('Code Mapping'!$E$5:$E$1753,MATCH($B2016,'Code Mapping'!$A$5:$A$1753,0)),"Unmapped"))</f>
        <v>Unmapped</v>
      </c>
      <c r="N2016" s="33" t="str">
        <f aca="false">IF($F2016="","",$F2016)</f>
        <v>InflataRun</v>
      </c>
    </row>
    <row r="2017" customFormat="false" ht="15" hidden="false" customHeight="false" outlineLevel="0" collapsed="false">
      <c r="A2017" s="33" t="n">
        <v>87</v>
      </c>
      <c r="B2017" s="33" t="s">
        <v>1944</v>
      </c>
      <c r="C2017" s="33"/>
      <c r="D2017" s="33"/>
      <c r="E2017" s="33" t="n">
        <v>10</v>
      </c>
      <c r="F2017" s="33" t="s">
        <v>2163</v>
      </c>
      <c r="G2017" s="33" t="s">
        <v>450</v>
      </c>
      <c r="H2017" s="33" t="n">
        <v>1</v>
      </c>
      <c r="I2017" s="33" t="n">
        <v>1</v>
      </c>
      <c r="J2017" s="33" t="n">
        <v>1</v>
      </c>
      <c r="K2017" s="32" t="n">
        <v>185</v>
      </c>
      <c r="L2017" s="33" t="str">
        <f aca="false">IF($B2017="","",IFERROR(INDEX('Code Mapping'!$D$5:$D$1753,MATCH($B2017,'Code Mapping'!$A$5:$A$1753,0)),"Unmapped"))</f>
        <v>Unmapped</v>
      </c>
      <c r="M2017" s="33" t="str">
        <f aca="false">IF($B2017="","",IFERROR(INDEX('Code Mapping'!$E$5:$E$1753,MATCH($B2017,'Code Mapping'!$A$5:$A$1753,0)),"Unmapped"))</f>
        <v>Unmapped</v>
      </c>
      <c r="N2017" s="33" t="str">
        <f aca="false">IF($F2017="","",$F2017)</f>
        <v>InflataRun</v>
      </c>
    </row>
    <row r="2018" customFormat="false" ht="15" hidden="false" customHeight="false" outlineLevel="0" collapsed="false">
      <c r="A2018" s="33" t="n">
        <v>86</v>
      </c>
      <c r="B2018" s="33" t="s">
        <v>1943</v>
      </c>
      <c r="C2018" s="33"/>
      <c r="D2018" s="33"/>
      <c r="E2018" s="33" t="n">
        <v>10</v>
      </c>
      <c r="F2018" s="33" t="s">
        <v>2163</v>
      </c>
      <c r="G2018" s="33" t="s">
        <v>450</v>
      </c>
      <c r="H2018" s="33" t="n">
        <v>1</v>
      </c>
      <c r="I2018" s="33" t="n">
        <v>2</v>
      </c>
      <c r="J2018" s="33" t="n">
        <v>2</v>
      </c>
      <c r="K2018" s="32" t="n">
        <v>350</v>
      </c>
      <c r="L2018" s="33" t="str">
        <f aca="false">IF($B2018="","",IFERROR(INDEX('Code Mapping'!$D$5:$D$1753,MATCH($B2018,'Code Mapping'!$A$5:$A$1753,0)),"Unmapped"))</f>
        <v>Unmapped</v>
      </c>
      <c r="M2018" s="33" t="str">
        <f aca="false">IF($B2018="","",IFERROR(INDEX('Code Mapping'!$E$5:$E$1753,MATCH($B2018,'Code Mapping'!$A$5:$A$1753,0)),"Unmapped"))</f>
        <v>Unmapped</v>
      </c>
      <c r="N2018" s="33" t="str">
        <f aca="false">IF($F2018="","",$F2018)</f>
        <v>InflataRun</v>
      </c>
    </row>
    <row r="2019" customFormat="false" ht="15" hidden="false" customHeight="false" outlineLevel="0" collapsed="false">
      <c r="A2019" s="33" t="n">
        <v>101</v>
      </c>
      <c r="B2019" s="33" t="s">
        <v>1942</v>
      </c>
      <c r="C2019" s="33"/>
      <c r="D2019" s="33"/>
      <c r="E2019" s="33" t="n">
        <v>10</v>
      </c>
      <c r="F2019" s="33" t="s">
        <v>2163</v>
      </c>
      <c r="G2019" s="33" t="s">
        <v>450</v>
      </c>
      <c r="H2019" s="33" t="n">
        <v>1</v>
      </c>
      <c r="I2019" s="33" t="n">
        <v>2</v>
      </c>
      <c r="J2019" s="33" t="n">
        <v>2</v>
      </c>
      <c r="K2019" s="32" t="n">
        <v>255</v>
      </c>
      <c r="L2019" s="33" t="str">
        <f aca="false">IF($B2019="","",IFERROR(INDEX('Code Mapping'!$D$5:$D$1753,MATCH($B2019,'Code Mapping'!$A$5:$A$1753,0)),"Unmapped"))</f>
        <v>Unmapped</v>
      </c>
      <c r="M2019" s="33" t="str">
        <f aca="false">IF($B2019="","",IFERROR(INDEX('Code Mapping'!$E$5:$E$1753,MATCH($B2019,'Code Mapping'!$A$5:$A$1753,0)),"Unmapped"))</f>
        <v>Unmapped</v>
      </c>
      <c r="N2019" s="33" t="str">
        <f aca="false">IF($F2019="","",$F2019)</f>
        <v>InflataRun</v>
      </c>
    </row>
    <row r="2020" customFormat="false" ht="15" hidden="false" customHeight="false" outlineLevel="0" collapsed="false">
      <c r="A2020" s="33" t="n">
        <v>111</v>
      </c>
      <c r="B2020" s="33" t="s">
        <v>1941</v>
      </c>
      <c r="C2020" s="33"/>
      <c r="D2020" s="33"/>
      <c r="E2020" s="33" t="n">
        <v>10</v>
      </c>
      <c r="F2020" s="33" t="s">
        <v>2163</v>
      </c>
      <c r="G2020" s="33" t="s">
        <v>450</v>
      </c>
      <c r="H2020" s="33" t="n">
        <v>2</v>
      </c>
      <c r="I2020" s="33" t="n">
        <v>9</v>
      </c>
      <c r="J2020" s="33" t="n">
        <v>9</v>
      </c>
      <c r="K2020" s="32" t="n">
        <v>1635</v>
      </c>
      <c r="L2020" s="33" t="str">
        <f aca="false">IF($B2020="","",IFERROR(INDEX('Code Mapping'!$D$5:$D$1753,MATCH($B2020,'Code Mapping'!$A$5:$A$1753,0)),"Unmapped"))</f>
        <v>Unmapped</v>
      </c>
      <c r="M2020" s="33" t="str">
        <f aca="false">IF($B2020="","",IFERROR(INDEX('Code Mapping'!$E$5:$E$1753,MATCH($B2020,'Code Mapping'!$A$5:$A$1753,0)),"Unmapped"))</f>
        <v>Unmapped</v>
      </c>
      <c r="N2020" s="33" t="str">
        <f aca="false">IF($F2020="","",$F2020)</f>
        <v>InflataRun</v>
      </c>
    </row>
    <row r="2021" customFormat="false" ht="15" hidden="false" customHeight="false" outlineLevel="0" collapsed="false">
      <c r="A2021" s="33" t="n">
        <v>71</v>
      </c>
      <c r="B2021" s="33" t="s">
        <v>1934</v>
      </c>
      <c r="C2021" s="33"/>
      <c r="D2021" s="33"/>
      <c r="E2021" s="33" t="n">
        <v>10</v>
      </c>
      <c r="F2021" s="33" t="s">
        <v>2163</v>
      </c>
      <c r="G2021" s="33" t="s">
        <v>450</v>
      </c>
      <c r="H2021" s="33" t="n">
        <v>1</v>
      </c>
      <c r="I2021" s="33" t="n">
        <v>3</v>
      </c>
      <c r="J2021" s="33" t="n">
        <v>3</v>
      </c>
      <c r="K2021" s="32" t="n">
        <v>535</v>
      </c>
      <c r="L2021" s="33" t="str">
        <f aca="false">IF($B2021="","",IFERROR(INDEX('Code Mapping'!$D$5:$D$1753,MATCH($B2021,'Code Mapping'!$A$5:$A$1753,0)),"Unmapped"))</f>
        <v>Unmapped</v>
      </c>
      <c r="M2021" s="33" t="str">
        <f aca="false">IF($B2021="","",IFERROR(INDEX('Code Mapping'!$E$5:$E$1753,MATCH($B2021,'Code Mapping'!$A$5:$A$1753,0)),"Unmapped"))</f>
        <v>Unmapped</v>
      </c>
      <c r="N2021" s="33" t="str">
        <f aca="false">IF($F2021="","",$F2021)</f>
        <v>InflataRun</v>
      </c>
    </row>
    <row r="2022" customFormat="false" ht="15" hidden="false" customHeight="false" outlineLevel="0" collapsed="false">
      <c r="A2022" s="33" t="n">
        <v>8</v>
      </c>
      <c r="B2022" s="33" t="s">
        <v>1977</v>
      </c>
      <c r="C2022" s="33"/>
      <c r="D2022" s="33"/>
      <c r="E2022" s="33" t="n">
        <v>10</v>
      </c>
      <c r="F2022" s="33" t="s">
        <v>2163</v>
      </c>
      <c r="G2022" s="33" t="s">
        <v>450</v>
      </c>
      <c r="H2022" s="33" t="n">
        <v>13</v>
      </c>
      <c r="I2022" s="33" t="n">
        <v>35</v>
      </c>
      <c r="J2022" s="33" t="n">
        <v>35</v>
      </c>
      <c r="K2022" s="32" t="n">
        <v>875</v>
      </c>
      <c r="L2022" s="33" t="str">
        <f aca="false">IF($B2022="","",IFERROR(INDEX('Code Mapping'!$D$5:$D$1753,MATCH($B2022,'Code Mapping'!$A$5:$A$1753,0)),"Unmapped"))</f>
        <v>Unmapped</v>
      </c>
      <c r="M2022" s="33" t="str">
        <f aca="false">IF($B2022="","",IFERROR(INDEX('Code Mapping'!$E$5:$E$1753,MATCH($B2022,'Code Mapping'!$A$5:$A$1753,0)),"Unmapped"))</f>
        <v>Unmapped</v>
      </c>
      <c r="N2022" s="33" t="str">
        <f aca="false">IF($F2022="","",$F2022)</f>
        <v>InflataRun</v>
      </c>
    </row>
    <row r="2023" customFormat="false" ht="15" hidden="false" customHeight="false" outlineLevel="0" collapsed="false">
      <c r="A2023" s="33" t="n">
        <v>80</v>
      </c>
      <c r="B2023" s="33" t="s">
        <v>2004</v>
      </c>
      <c r="C2023" s="33"/>
      <c r="D2023" s="33"/>
      <c r="E2023" s="33" t="n">
        <v>10</v>
      </c>
      <c r="F2023" s="33" t="s">
        <v>2163</v>
      </c>
      <c r="G2023" s="33" t="s">
        <v>450</v>
      </c>
      <c r="H2023" s="33" t="n">
        <v>1</v>
      </c>
      <c r="I2023" s="33" t="n">
        <v>5</v>
      </c>
      <c r="J2023" s="33" t="n">
        <v>5</v>
      </c>
      <c r="K2023" s="32" t="n">
        <v>925</v>
      </c>
      <c r="L2023" s="33" t="str">
        <f aca="false">IF($B2023="","",IFERROR(INDEX('Code Mapping'!$D$5:$D$1753,MATCH($B2023,'Code Mapping'!$A$5:$A$1753,0)),"Unmapped"))</f>
        <v>Unmapped</v>
      </c>
      <c r="M2023" s="33" t="str">
        <f aca="false">IF($B2023="","",IFERROR(INDEX('Code Mapping'!$E$5:$E$1753,MATCH($B2023,'Code Mapping'!$A$5:$A$1753,0)),"Unmapped"))</f>
        <v>Unmapped</v>
      </c>
      <c r="N2023" s="33" t="str">
        <f aca="false">IF($F2023="","",$F2023)</f>
        <v>InflataRun</v>
      </c>
    </row>
    <row r="2024" customFormat="false" ht="15" hidden="false" customHeight="false" outlineLevel="0" collapsed="false">
      <c r="A2024" s="33" t="n">
        <v>70</v>
      </c>
      <c r="B2024" s="33" t="s">
        <v>2003</v>
      </c>
      <c r="C2024" s="33"/>
      <c r="D2024" s="33"/>
      <c r="E2024" s="33" t="n">
        <v>10</v>
      </c>
      <c r="F2024" s="33" t="s">
        <v>2163</v>
      </c>
      <c r="G2024" s="33" t="s">
        <v>450</v>
      </c>
      <c r="H2024" s="33" t="n">
        <v>1</v>
      </c>
      <c r="I2024" s="33" t="n">
        <v>3</v>
      </c>
      <c r="J2024" s="33" t="n">
        <v>3</v>
      </c>
      <c r="K2024" s="32" t="n">
        <v>535</v>
      </c>
      <c r="L2024" s="33" t="str">
        <f aca="false">IF($B2024="","",IFERROR(INDEX('Code Mapping'!$D$5:$D$1753,MATCH($B2024,'Code Mapping'!$A$5:$A$1753,0)),"Unmapped"))</f>
        <v>Unmapped</v>
      </c>
      <c r="M2024" s="33" t="str">
        <f aca="false">IF($B2024="","",IFERROR(INDEX('Code Mapping'!$E$5:$E$1753,MATCH($B2024,'Code Mapping'!$A$5:$A$1753,0)),"Unmapped"))</f>
        <v>Unmapped</v>
      </c>
      <c r="N2024" s="33" t="str">
        <f aca="false">IF($F2024="","",$F2024)</f>
        <v>InflataRun</v>
      </c>
    </row>
    <row r="2025" customFormat="false" ht="15" hidden="false" customHeight="false" outlineLevel="0" collapsed="false">
      <c r="A2025" s="33" t="n">
        <v>79</v>
      </c>
      <c r="B2025" s="33" t="s">
        <v>2005</v>
      </c>
      <c r="C2025" s="33"/>
      <c r="D2025" s="33"/>
      <c r="E2025" s="33" t="n">
        <v>10</v>
      </c>
      <c r="F2025" s="33" t="s">
        <v>2163</v>
      </c>
      <c r="G2025" s="33" t="s">
        <v>450</v>
      </c>
      <c r="H2025" s="33" t="n">
        <v>1</v>
      </c>
      <c r="I2025" s="33" t="n">
        <v>6</v>
      </c>
      <c r="J2025" s="33" t="n">
        <v>6</v>
      </c>
      <c r="K2025" s="32" t="n">
        <v>800</v>
      </c>
      <c r="L2025" s="33" t="str">
        <f aca="false">IF($B2025="","",IFERROR(INDEX('Code Mapping'!$D$5:$D$1753,MATCH($B2025,'Code Mapping'!$A$5:$A$1753,0)),"Unmapped"))</f>
        <v>Unmapped</v>
      </c>
      <c r="M2025" s="33" t="str">
        <f aca="false">IF($B2025="","",IFERROR(INDEX('Code Mapping'!$E$5:$E$1753,MATCH($B2025,'Code Mapping'!$A$5:$A$1753,0)),"Unmapped"))</f>
        <v>Unmapped</v>
      </c>
      <c r="N2025" s="33" t="str">
        <f aca="false">IF($F2025="","",$F2025)</f>
        <v>InflataRun</v>
      </c>
    </row>
    <row r="2026" customFormat="false" ht="15" hidden="false" customHeight="false" outlineLevel="0" collapsed="false">
      <c r="A2026" s="33" t="n">
        <v>96</v>
      </c>
      <c r="B2026" s="33" t="s">
        <v>2045</v>
      </c>
      <c r="C2026" s="33"/>
      <c r="D2026" s="33"/>
      <c r="E2026" s="33" t="n">
        <v>10</v>
      </c>
      <c r="F2026" s="33" t="s">
        <v>2163</v>
      </c>
      <c r="G2026" s="33" t="s">
        <v>450</v>
      </c>
      <c r="H2026" s="33" t="n">
        <v>1</v>
      </c>
      <c r="I2026" s="33" t="n">
        <v>4</v>
      </c>
      <c r="J2026" s="33" t="n">
        <v>4</v>
      </c>
      <c r="K2026" s="32" t="n">
        <v>740</v>
      </c>
      <c r="L2026" s="33" t="str">
        <f aca="false">IF($B2026="","",IFERROR(INDEX('Code Mapping'!$D$5:$D$1753,MATCH($B2026,'Code Mapping'!$A$5:$A$1753,0)),"Unmapped"))</f>
        <v>Unmapped</v>
      </c>
      <c r="M2026" s="33" t="str">
        <f aca="false">IF($B2026="","",IFERROR(INDEX('Code Mapping'!$E$5:$E$1753,MATCH($B2026,'Code Mapping'!$A$5:$A$1753,0)),"Unmapped"))</f>
        <v>Unmapped</v>
      </c>
      <c r="N2026" s="33" t="str">
        <f aca="false">IF($F2026="","",$F2026)</f>
        <v>InflataRun</v>
      </c>
    </row>
    <row r="2027" customFormat="false" ht="15" hidden="false" customHeight="false" outlineLevel="0" collapsed="false">
      <c r="A2027" s="33" t="n">
        <v>46</v>
      </c>
      <c r="B2027" s="33" t="s">
        <v>2044</v>
      </c>
      <c r="C2027" s="33"/>
      <c r="D2027" s="33"/>
      <c r="E2027" s="33" t="n">
        <v>10</v>
      </c>
      <c r="F2027" s="33" t="s">
        <v>2163</v>
      </c>
      <c r="G2027" s="33" t="s">
        <v>450</v>
      </c>
      <c r="H2027" s="33" t="n">
        <v>2</v>
      </c>
      <c r="I2027" s="33" t="n">
        <v>2</v>
      </c>
      <c r="J2027" s="33" t="n">
        <v>2</v>
      </c>
      <c r="K2027" s="32" t="n">
        <v>350</v>
      </c>
      <c r="L2027" s="33" t="str">
        <f aca="false">IF($B2027="","",IFERROR(INDEX('Code Mapping'!$D$5:$D$1753,MATCH($B2027,'Code Mapping'!$A$5:$A$1753,0)),"Unmapped"))</f>
        <v>Unmapped</v>
      </c>
      <c r="M2027" s="33" t="str">
        <f aca="false">IF($B2027="","",IFERROR(INDEX('Code Mapping'!$E$5:$E$1753,MATCH($B2027,'Code Mapping'!$A$5:$A$1753,0)),"Unmapped"))</f>
        <v>Unmapped</v>
      </c>
      <c r="N2027" s="33" t="str">
        <f aca="false">IF($F2027="","",$F2027)</f>
        <v>InflataRun</v>
      </c>
    </row>
    <row r="2028" customFormat="false" ht="15" hidden="false" customHeight="false" outlineLevel="0" collapsed="false">
      <c r="A2028" s="33" t="n">
        <v>45</v>
      </c>
      <c r="B2028" s="33" t="s">
        <v>2043</v>
      </c>
      <c r="C2028" s="33"/>
      <c r="D2028" s="33"/>
      <c r="E2028" s="33" t="n">
        <v>10</v>
      </c>
      <c r="F2028" s="33" t="s">
        <v>2163</v>
      </c>
      <c r="G2028" s="33" t="s">
        <v>450</v>
      </c>
      <c r="H2028" s="33" t="n">
        <v>2</v>
      </c>
      <c r="I2028" s="33" t="n">
        <v>2</v>
      </c>
      <c r="J2028" s="33" t="n">
        <v>2</v>
      </c>
      <c r="K2028" s="32" t="n">
        <v>370</v>
      </c>
      <c r="L2028" s="33" t="str">
        <f aca="false">IF($B2028="","",IFERROR(INDEX('Code Mapping'!$D$5:$D$1753,MATCH($B2028,'Code Mapping'!$A$5:$A$1753,0)),"Unmapped"))</f>
        <v>Unmapped</v>
      </c>
      <c r="M2028" s="33" t="str">
        <f aca="false">IF($B2028="","",IFERROR(INDEX('Code Mapping'!$E$5:$E$1753,MATCH($B2028,'Code Mapping'!$A$5:$A$1753,0)),"Unmapped"))</f>
        <v>Unmapped</v>
      </c>
      <c r="N2028" s="33" t="str">
        <f aca="false">IF($F2028="","",$F2028)</f>
        <v>InflataRun</v>
      </c>
    </row>
    <row r="2029" customFormat="false" ht="15" hidden="false" customHeight="false" outlineLevel="0" collapsed="false">
      <c r="A2029" s="33" t="n">
        <v>59</v>
      </c>
      <c r="B2029" s="33" t="s">
        <v>2042</v>
      </c>
      <c r="C2029" s="33"/>
      <c r="D2029" s="33"/>
      <c r="E2029" s="33" t="n">
        <v>10</v>
      </c>
      <c r="F2029" s="33" t="s">
        <v>2163</v>
      </c>
      <c r="G2029" s="33" t="s">
        <v>450</v>
      </c>
      <c r="H2029" s="33" t="n">
        <v>1</v>
      </c>
      <c r="I2029" s="33" t="n">
        <v>4</v>
      </c>
      <c r="J2029" s="33" t="n">
        <v>4</v>
      </c>
      <c r="K2029" s="32" t="n">
        <v>720</v>
      </c>
      <c r="L2029" s="33" t="str">
        <f aca="false">IF($B2029="","",IFERROR(INDEX('Code Mapping'!$D$5:$D$1753,MATCH($B2029,'Code Mapping'!$A$5:$A$1753,0)),"Unmapped"))</f>
        <v>Unmapped</v>
      </c>
      <c r="M2029" s="33" t="str">
        <f aca="false">IF($B2029="","",IFERROR(INDEX('Code Mapping'!$E$5:$E$1753,MATCH($B2029,'Code Mapping'!$A$5:$A$1753,0)),"Unmapped"))</f>
        <v>Unmapped</v>
      </c>
      <c r="N2029" s="33" t="str">
        <f aca="false">IF($F2029="","",$F2029)</f>
        <v>InflataRun</v>
      </c>
    </row>
    <row r="2030" customFormat="false" ht="15" hidden="false" customHeight="false" outlineLevel="0" collapsed="false">
      <c r="A2030" s="33" t="n">
        <v>125</v>
      </c>
      <c r="B2030" s="33" t="s">
        <v>2033</v>
      </c>
      <c r="C2030" s="33"/>
      <c r="D2030" s="33"/>
      <c r="E2030" s="33" t="n">
        <v>10</v>
      </c>
      <c r="F2030" s="33" t="s">
        <v>2163</v>
      </c>
      <c r="G2030" s="33" t="s">
        <v>450</v>
      </c>
      <c r="H2030" s="33" t="n">
        <v>1</v>
      </c>
      <c r="I2030" s="33" t="n">
        <v>2</v>
      </c>
      <c r="J2030" s="33" t="n">
        <v>2</v>
      </c>
      <c r="K2030" s="32" t="n">
        <v>60</v>
      </c>
      <c r="L2030" s="33" t="str">
        <f aca="false">IF($B2030="","",IFERROR(INDEX('Code Mapping'!$D$5:$D$1753,MATCH($B2030,'Code Mapping'!$A$5:$A$1753,0)),"Unmapped"))</f>
        <v>Unmapped</v>
      </c>
      <c r="M2030" s="33" t="str">
        <f aca="false">IF($B2030="","",IFERROR(INDEX('Code Mapping'!$E$5:$E$1753,MATCH($B2030,'Code Mapping'!$A$5:$A$1753,0)),"Unmapped"))</f>
        <v>Unmapped</v>
      </c>
      <c r="N2030" s="33" t="str">
        <f aca="false">IF($F2030="","",$F2030)</f>
        <v>InflataRun</v>
      </c>
    </row>
    <row r="2031" customFormat="false" ht="15" hidden="false" customHeight="false" outlineLevel="0" collapsed="false">
      <c r="A2031" s="33" t="n">
        <v>123</v>
      </c>
      <c r="B2031" s="33" t="s">
        <v>2028</v>
      </c>
      <c r="C2031" s="33"/>
      <c r="D2031" s="33"/>
      <c r="E2031" s="33" t="n">
        <v>10</v>
      </c>
      <c r="F2031" s="33" t="s">
        <v>2163</v>
      </c>
      <c r="G2031" s="33" t="s">
        <v>450</v>
      </c>
      <c r="H2031" s="33" t="n">
        <v>1</v>
      </c>
      <c r="I2031" s="33" t="n">
        <v>1</v>
      </c>
      <c r="J2031" s="33" t="n">
        <v>1</v>
      </c>
      <c r="K2031" s="32" t="n">
        <v>185</v>
      </c>
      <c r="L2031" s="33" t="str">
        <f aca="false">IF($B2031="","",IFERROR(INDEX('Code Mapping'!$D$5:$D$1753,MATCH($B2031,'Code Mapping'!$A$5:$A$1753,0)),"Unmapped"))</f>
        <v>Unmapped</v>
      </c>
      <c r="M2031" s="33" t="str">
        <f aca="false">IF($B2031="","",IFERROR(INDEX('Code Mapping'!$E$5:$E$1753,MATCH($B2031,'Code Mapping'!$A$5:$A$1753,0)),"Unmapped"))</f>
        <v>Unmapped</v>
      </c>
      <c r="N2031" s="33" t="str">
        <f aca="false">IF($F2031="","",$F2031)</f>
        <v>InflataRun</v>
      </c>
    </row>
    <row r="2032" customFormat="false" ht="15" hidden="false" customHeight="false" outlineLevel="0" collapsed="false">
      <c r="A2032" s="33" t="n">
        <v>134</v>
      </c>
      <c r="B2032" s="33" t="s">
        <v>2027</v>
      </c>
      <c r="C2032" s="33"/>
      <c r="D2032" s="33"/>
      <c r="E2032" s="33" t="n">
        <v>10</v>
      </c>
      <c r="F2032" s="33" t="s">
        <v>2163</v>
      </c>
      <c r="G2032" s="33" t="s">
        <v>450</v>
      </c>
      <c r="H2032" s="33" t="n">
        <v>1</v>
      </c>
      <c r="I2032" s="33" t="n">
        <v>3</v>
      </c>
      <c r="J2032" s="33" t="n">
        <v>3</v>
      </c>
      <c r="K2032" s="32" t="n">
        <v>535</v>
      </c>
      <c r="L2032" s="33" t="str">
        <f aca="false">IF($B2032="","",IFERROR(INDEX('Code Mapping'!$D$5:$D$1753,MATCH($B2032,'Code Mapping'!$A$5:$A$1753,0)),"Unmapped"))</f>
        <v>Unmapped</v>
      </c>
      <c r="M2032" s="33" t="str">
        <f aca="false">IF($B2032="","",IFERROR(INDEX('Code Mapping'!$E$5:$E$1753,MATCH($B2032,'Code Mapping'!$A$5:$A$1753,0)),"Unmapped"))</f>
        <v>Unmapped</v>
      </c>
      <c r="N2032" s="33" t="str">
        <f aca="false">IF($F2032="","",$F2032)</f>
        <v>InflataRun</v>
      </c>
    </row>
    <row r="2033" customFormat="false" ht="15" hidden="false" customHeight="false" outlineLevel="0" collapsed="false">
      <c r="A2033" s="33" t="n">
        <v>132</v>
      </c>
      <c r="B2033" s="33" t="s">
        <v>2026</v>
      </c>
      <c r="C2033" s="33"/>
      <c r="D2033" s="33"/>
      <c r="E2033" s="33" t="n">
        <v>10</v>
      </c>
      <c r="F2033" s="33" t="s">
        <v>2163</v>
      </c>
      <c r="G2033" s="33" t="s">
        <v>450</v>
      </c>
      <c r="H2033" s="33" t="n">
        <v>1</v>
      </c>
      <c r="I2033" s="33" t="n">
        <v>3</v>
      </c>
      <c r="J2033" s="33" t="n">
        <v>3</v>
      </c>
      <c r="K2033" s="32" t="n">
        <v>440</v>
      </c>
      <c r="L2033" s="33" t="str">
        <f aca="false">IF($B2033="","",IFERROR(INDEX('Code Mapping'!$D$5:$D$1753,MATCH($B2033,'Code Mapping'!$A$5:$A$1753,0)),"Unmapped"))</f>
        <v>Unmapped</v>
      </c>
      <c r="M2033" s="33" t="str">
        <f aca="false">IF($B2033="","",IFERROR(INDEX('Code Mapping'!$E$5:$E$1753,MATCH($B2033,'Code Mapping'!$A$5:$A$1753,0)),"Unmapped"))</f>
        <v>Unmapped</v>
      </c>
      <c r="N2033" s="33" t="str">
        <f aca="false">IF($F2033="","",$F2033)</f>
        <v>InflataRun</v>
      </c>
    </row>
    <row r="2034" customFormat="false" ht="15" hidden="false" customHeight="false" outlineLevel="0" collapsed="false">
      <c r="A2034" s="33" t="n">
        <v>131</v>
      </c>
      <c r="B2034" s="33" t="s">
        <v>2025</v>
      </c>
      <c r="C2034" s="33"/>
      <c r="D2034" s="33"/>
      <c r="E2034" s="33" t="n">
        <v>10</v>
      </c>
      <c r="F2034" s="33" t="s">
        <v>2163</v>
      </c>
      <c r="G2034" s="33" t="s">
        <v>450</v>
      </c>
      <c r="H2034" s="33" t="n">
        <v>1</v>
      </c>
      <c r="I2034" s="33" t="n">
        <v>11</v>
      </c>
      <c r="J2034" s="33" t="n">
        <v>11</v>
      </c>
      <c r="K2034" s="32" t="n">
        <v>1735</v>
      </c>
      <c r="L2034" s="33" t="str">
        <f aca="false">IF($B2034="","",IFERROR(INDEX('Code Mapping'!$D$5:$D$1753,MATCH($B2034,'Code Mapping'!$A$5:$A$1753,0)),"Unmapped"))</f>
        <v>Unmapped</v>
      </c>
      <c r="M2034" s="33" t="str">
        <f aca="false">IF($B2034="","",IFERROR(INDEX('Code Mapping'!$E$5:$E$1753,MATCH($B2034,'Code Mapping'!$A$5:$A$1753,0)),"Unmapped"))</f>
        <v>Unmapped</v>
      </c>
      <c r="N2034" s="33" t="str">
        <f aca="false">IF($F2034="","",$F2034)</f>
        <v>InflataRun</v>
      </c>
    </row>
    <row r="2035" customFormat="false" ht="15" hidden="false" customHeight="false" outlineLevel="0" collapsed="false">
      <c r="A2035" s="33" t="n">
        <v>130</v>
      </c>
      <c r="B2035" s="33" t="s">
        <v>2024</v>
      </c>
      <c r="C2035" s="33"/>
      <c r="D2035" s="33"/>
      <c r="E2035" s="33" t="n">
        <v>10</v>
      </c>
      <c r="F2035" s="33" t="s">
        <v>2163</v>
      </c>
      <c r="G2035" s="33" t="s">
        <v>450</v>
      </c>
      <c r="H2035" s="33" t="n">
        <v>1</v>
      </c>
      <c r="I2035" s="33" t="n">
        <v>3</v>
      </c>
      <c r="J2035" s="33" t="n">
        <v>3</v>
      </c>
      <c r="K2035" s="32" t="n">
        <v>545</v>
      </c>
      <c r="L2035" s="33" t="str">
        <f aca="false">IF($B2035="","",IFERROR(INDEX('Code Mapping'!$D$5:$D$1753,MATCH($B2035,'Code Mapping'!$A$5:$A$1753,0)),"Unmapped"))</f>
        <v>Unmapped</v>
      </c>
      <c r="M2035" s="33" t="str">
        <f aca="false">IF($B2035="","",IFERROR(INDEX('Code Mapping'!$E$5:$E$1753,MATCH($B2035,'Code Mapping'!$A$5:$A$1753,0)),"Unmapped"))</f>
        <v>Unmapped</v>
      </c>
      <c r="N2035" s="33" t="str">
        <f aca="false">IF($F2035="","",$F2035)</f>
        <v>InflataRun</v>
      </c>
    </row>
    <row r="2036" customFormat="false" ht="15" hidden="false" customHeight="false" outlineLevel="0" collapsed="false">
      <c r="A2036" s="33" t="n">
        <v>129</v>
      </c>
      <c r="B2036" s="33" t="s">
        <v>2023</v>
      </c>
      <c r="C2036" s="33"/>
      <c r="D2036" s="33"/>
      <c r="E2036" s="33" t="n">
        <v>10</v>
      </c>
      <c r="F2036" s="33" t="s">
        <v>2163</v>
      </c>
      <c r="G2036" s="33" t="s">
        <v>450</v>
      </c>
      <c r="H2036" s="33" t="n">
        <v>1</v>
      </c>
      <c r="I2036" s="33" t="n">
        <v>3</v>
      </c>
      <c r="J2036" s="33" t="n">
        <v>3</v>
      </c>
      <c r="K2036" s="32" t="n">
        <v>450</v>
      </c>
      <c r="L2036" s="33" t="str">
        <f aca="false">IF($B2036="","",IFERROR(INDEX('Code Mapping'!$D$5:$D$1753,MATCH($B2036,'Code Mapping'!$A$5:$A$1753,0)),"Unmapped"))</f>
        <v>Unmapped</v>
      </c>
      <c r="M2036" s="33" t="str">
        <f aca="false">IF($B2036="","",IFERROR(INDEX('Code Mapping'!$E$5:$E$1753,MATCH($B2036,'Code Mapping'!$A$5:$A$1753,0)),"Unmapped"))</f>
        <v>Unmapped</v>
      </c>
      <c r="N2036" s="33" t="str">
        <f aca="false">IF($F2036="","",$F2036)</f>
        <v>InflataRun</v>
      </c>
    </row>
    <row r="2037" customFormat="false" ht="15" hidden="false" customHeight="false" outlineLevel="0" collapsed="false">
      <c r="A2037" s="33" t="n">
        <v>126</v>
      </c>
      <c r="B2037" s="33" t="s">
        <v>2022</v>
      </c>
      <c r="C2037" s="33"/>
      <c r="D2037" s="33"/>
      <c r="E2037" s="33" t="n">
        <v>10</v>
      </c>
      <c r="F2037" s="33" t="s">
        <v>2163</v>
      </c>
      <c r="G2037" s="33" t="s">
        <v>450</v>
      </c>
      <c r="H2037" s="33" t="n">
        <v>1</v>
      </c>
      <c r="I2037" s="33" t="n">
        <v>3</v>
      </c>
      <c r="J2037" s="33" t="n">
        <v>3</v>
      </c>
      <c r="K2037" s="32" t="n">
        <v>535</v>
      </c>
      <c r="L2037" s="33" t="str">
        <f aca="false">IF($B2037="","",IFERROR(INDEX('Code Mapping'!$D$5:$D$1753,MATCH($B2037,'Code Mapping'!$A$5:$A$1753,0)),"Unmapped"))</f>
        <v>Unmapped</v>
      </c>
      <c r="M2037" s="33" t="str">
        <f aca="false">IF($B2037="","",IFERROR(INDEX('Code Mapping'!$E$5:$E$1753,MATCH($B2037,'Code Mapping'!$A$5:$A$1753,0)),"Unmapped"))</f>
        <v>Unmapped</v>
      </c>
      <c r="N2037" s="33" t="str">
        <f aca="false">IF($F2037="","",$F2037)</f>
        <v>InflataRun</v>
      </c>
    </row>
    <row r="2038" customFormat="false" ht="15" hidden="false" customHeight="false" outlineLevel="0" collapsed="false">
      <c r="A2038" s="33" t="n">
        <v>127</v>
      </c>
      <c r="B2038" s="33" t="s">
        <v>2021</v>
      </c>
      <c r="C2038" s="33"/>
      <c r="D2038" s="33"/>
      <c r="E2038" s="33" t="n">
        <v>10</v>
      </c>
      <c r="F2038" s="33" t="s">
        <v>2163</v>
      </c>
      <c r="G2038" s="33" t="s">
        <v>450</v>
      </c>
      <c r="H2038" s="33" t="n">
        <v>1</v>
      </c>
      <c r="I2038" s="33" t="n">
        <v>3</v>
      </c>
      <c r="J2038" s="33" t="n">
        <v>3</v>
      </c>
      <c r="K2038" s="32" t="n">
        <v>555</v>
      </c>
      <c r="L2038" s="33" t="str">
        <f aca="false">IF($B2038="","",IFERROR(INDEX('Code Mapping'!$D$5:$D$1753,MATCH($B2038,'Code Mapping'!$A$5:$A$1753,0)),"Unmapped"))</f>
        <v>Unmapped</v>
      </c>
      <c r="M2038" s="33" t="str">
        <f aca="false">IF($B2038="","",IFERROR(INDEX('Code Mapping'!$E$5:$E$1753,MATCH($B2038,'Code Mapping'!$A$5:$A$1753,0)),"Unmapped"))</f>
        <v>Unmapped</v>
      </c>
      <c r="N2038" s="33" t="str">
        <f aca="false">IF($F2038="","",$F2038)</f>
        <v>InflataRun</v>
      </c>
    </row>
    <row r="2039" customFormat="false" ht="15" hidden="false" customHeight="false" outlineLevel="0" collapsed="false">
      <c r="A2039" s="33" t="n">
        <v>128</v>
      </c>
      <c r="B2039" s="33" t="s">
        <v>2020</v>
      </c>
      <c r="C2039" s="33"/>
      <c r="D2039" s="33"/>
      <c r="E2039" s="33" t="n">
        <v>10</v>
      </c>
      <c r="F2039" s="33" t="s">
        <v>2163</v>
      </c>
      <c r="G2039" s="33" t="s">
        <v>450</v>
      </c>
      <c r="H2039" s="33" t="n">
        <v>1</v>
      </c>
      <c r="I2039" s="33" t="n">
        <v>3</v>
      </c>
      <c r="J2039" s="33" t="n">
        <v>3</v>
      </c>
      <c r="K2039" s="32" t="n">
        <v>440</v>
      </c>
      <c r="L2039" s="33" t="str">
        <f aca="false">IF($B2039="","",IFERROR(INDEX('Code Mapping'!$D$5:$D$1753,MATCH($B2039,'Code Mapping'!$A$5:$A$1753,0)),"Unmapped"))</f>
        <v>Unmapped</v>
      </c>
      <c r="M2039" s="33" t="str">
        <f aca="false">IF($B2039="","",IFERROR(INDEX('Code Mapping'!$E$5:$E$1753,MATCH($B2039,'Code Mapping'!$A$5:$A$1753,0)),"Unmapped"))</f>
        <v>Unmapped</v>
      </c>
      <c r="N2039" s="33" t="str">
        <f aca="false">IF($F2039="","",$F2039)</f>
        <v>InflataRun</v>
      </c>
    </row>
    <row r="2040" customFormat="false" ht="15" hidden="false" customHeight="false" outlineLevel="0" collapsed="false">
      <c r="A2040" s="33" t="n">
        <v>135</v>
      </c>
      <c r="B2040" s="33" t="s">
        <v>2019</v>
      </c>
      <c r="C2040" s="33"/>
      <c r="D2040" s="33"/>
      <c r="E2040" s="33" t="n">
        <v>10</v>
      </c>
      <c r="F2040" s="33" t="s">
        <v>2163</v>
      </c>
      <c r="G2040" s="33" t="s">
        <v>450</v>
      </c>
      <c r="H2040" s="33" t="n">
        <v>1</v>
      </c>
      <c r="I2040" s="33" t="n">
        <v>3</v>
      </c>
      <c r="J2040" s="33" t="n">
        <v>3</v>
      </c>
      <c r="K2040" s="32" t="n">
        <v>555</v>
      </c>
      <c r="L2040" s="33" t="str">
        <f aca="false">IF($B2040="","",IFERROR(INDEX('Code Mapping'!$D$5:$D$1753,MATCH($B2040,'Code Mapping'!$A$5:$A$1753,0)),"Unmapped"))</f>
        <v>Unmapped</v>
      </c>
      <c r="M2040" s="33" t="str">
        <f aca="false">IF($B2040="","",IFERROR(INDEX('Code Mapping'!$E$5:$E$1753,MATCH($B2040,'Code Mapping'!$A$5:$A$1753,0)),"Unmapped"))</f>
        <v>Unmapped</v>
      </c>
      <c r="N2040" s="33" t="str">
        <f aca="false">IF($F2040="","",$F2040)</f>
        <v>InflataRun</v>
      </c>
    </row>
    <row r="2041" customFormat="false" ht="15" hidden="false" customHeight="false" outlineLevel="0" collapsed="false">
      <c r="A2041" s="33" t="n">
        <v>107</v>
      </c>
      <c r="B2041" s="33" t="s">
        <v>2009</v>
      </c>
      <c r="C2041" s="33"/>
      <c r="D2041" s="33"/>
      <c r="E2041" s="33" t="n">
        <v>10</v>
      </c>
      <c r="F2041" s="33" t="s">
        <v>2163</v>
      </c>
      <c r="G2041" s="33" t="s">
        <v>450</v>
      </c>
      <c r="H2041" s="33" t="n">
        <v>2</v>
      </c>
      <c r="I2041" s="33" t="n">
        <v>4</v>
      </c>
      <c r="J2041" s="33" t="n">
        <v>4</v>
      </c>
      <c r="K2041" s="32" t="n">
        <v>730</v>
      </c>
      <c r="L2041" s="33" t="str">
        <f aca="false">IF($B2041="","",IFERROR(INDEX('Code Mapping'!$D$5:$D$1753,MATCH($B2041,'Code Mapping'!$A$5:$A$1753,0)),"Unmapped"))</f>
        <v>Unmapped</v>
      </c>
      <c r="M2041" s="33" t="str">
        <f aca="false">IF($B2041="","",IFERROR(INDEX('Code Mapping'!$E$5:$E$1753,MATCH($B2041,'Code Mapping'!$A$5:$A$1753,0)),"Unmapped"))</f>
        <v>Unmapped</v>
      </c>
      <c r="N2041" s="33" t="str">
        <f aca="false">IF($F2041="","",$F2041)</f>
        <v>InflataRun</v>
      </c>
    </row>
    <row r="2042" customFormat="false" ht="15" hidden="false" customHeight="false" outlineLevel="0" collapsed="false">
      <c r="A2042" s="33" t="n">
        <v>106</v>
      </c>
      <c r="B2042" s="33" t="s">
        <v>2008</v>
      </c>
      <c r="C2042" s="33"/>
      <c r="D2042" s="33"/>
      <c r="E2042" s="33" t="n">
        <v>10</v>
      </c>
      <c r="F2042" s="33" t="s">
        <v>2163</v>
      </c>
      <c r="G2042" s="33" t="s">
        <v>450</v>
      </c>
      <c r="H2042" s="33" t="n">
        <v>2</v>
      </c>
      <c r="I2042" s="33" t="n">
        <v>4</v>
      </c>
      <c r="J2042" s="33" t="n">
        <v>4</v>
      </c>
      <c r="K2042" s="32" t="n">
        <v>730</v>
      </c>
      <c r="L2042" s="33" t="str">
        <f aca="false">IF($B2042="","",IFERROR(INDEX('Code Mapping'!$D$5:$D$1753,MATCH($B2042,'Code Mapping'!$A$5:$A$1753,0)),"Unmapped"))</f>
        <v>Unmapped</v>
      </c>
      <c r="M2042" s="33" t="str">
        <f aca="false">IF($B2042="","",IFERROR(INDEX('Code Mapping'!$E$5:$E$1753,MATCH($B2042,'Code Mapping'!$A$5:$A$1753,0)),"Unmapped"))</f>
        <v>Unmapped</v>
      </c>
      <c r="N2042" s="33" t="str">
        <f aca="false">IF($F2042="","",$F2042)</f>
        <v>InflataRun</v>
      </c>
    </row>
    <row r="2043" customFormat="false" ht="15" hidden="false" customHeight="false" outlineLevel="0" collapsed="false">
      <c r="A2043" s="33" t="n">
        <v>64</v>
      </c>
      <c r="B2043" s="33" t="s">
        <v>1933</v>
      </c>
      <c r="C2043" s="33"/>
      <c r="D2043" s="33"/>
      <c r="E2043" s="33" t="n">
        <v>10</v>
      </c>
      <c r="F2043" s="33" t="s">
        <v>2163</v>
      </c>
      <c r="G2043" s="33" t="s">
        <v>450</v>
      </c>
      <c r="H2043" s="33" t="n">
        <v>1</v>
      </c>
      <c r="I2043" s="33" t="n">
        <v>4</v>
      </c>
      <c r="J2043" s="33" t="n">
        <v>4</v>
      </c>
      <c r="K2043" s="32" t="n">
        <v>710</v>
      </c>
      <c r="L2043" s="33" t="str">
        <f aca="false">IF($B2043="","",IFERROR(INDEX('Code Mapping'!$D$5:$D$1753,MATCH($B2043,'Code Mapping'!$A$5:$A$1753,0)),"Unmapped"))</f>
        <v>Unmapped</v>
      </c>
      <c r="M2043" s="33" t="str">
        <f aca="false">IF($B2043="","",IFERROR(INDEX('Code Mapping'!$E$5:$E$1753,MATCH($B2043,'Code Mapping'!$A$5:$A$1753,0)),"Unmapped"))</f>
        <v>Unmapped</v>
      </c>
      <c r="N2043" s="33" t="str">
        <f aca="false">IF($F2043="","",$F2043)</f>
        <v>InflataRun</v>
      </c>
    </row>
    <row r="2044" customFormat="false" ht="15" hidden="false" customHeight="false" outlineLevel="0" collapsed="false">
      <c r="A2044" s="33" t="n">
        <v>25</v>
      </c>
      <c r="B2044" s="33" t="s">
        <v>814</v>
      </c>
      <c r="C2044" s="33"/>
      <c r="D2044" s="33"/>
      <c r="E2044" s="33" t="n">
        <v>10</v>
      </c>
      <c r="F2044" s="33" t="s">
        <v>2163</v>
      </c>
      <c r="G2044" s="33" t="s">
        <v>450</v>
      </c>
      <c r="H2044" s="33" t="n">
        <v>1</v>
      </c>
      <c r="I2044" s="33" t="n">
        <v>1</v>
      </c>
      <c r="J2044" s="33" t="n">
        <v>1</v>
      </c>
      <c r="K2044" s="32" t="n">
        <v>175</v>
      </c>
      <c r="L2044" s="33" t="str">
        <f aca="false">IF($B2044="","",IFERROR(INDEX('Code Mapping'!$D$5:$D$1753,MATCH($B2044,'Code Mapping'!$A$5:$A$1753,0)),"Unmapped"))</f>
        <v>Unmapped</v>
      </c>
      <c r="M2044" s="33" t="str">
        <f aca="false">IF($B2044="","",IFERROR(INDEX('Code Mapping'!$E$5:$E$1753,MATCH($B2044,'Code Mapping'!$A$5:$A$1753,0)),"Unmapped"))</f>
        <v>Unmapped</v>
      </c>
      <c r="N2044" s="33" t="str">
        <f aca="false">IF($F2044="","",$F2044)</f>
        <v>InflataRun</v>
      </c>
    </row>
    <row r="2045" customFormat="false" ht="15" hidden="false" customHeight="false" outlineLevel="0" collapsed="false">
      <c r="A2045" s="33" t="n">
        <v>78</v>
      </c>
      <c r="B2045" s="33" t="s">
        <v>1792</v>
      </c>
      <c r="C2045" s="33"/>
      <c r="D2045" s="33"/>
      <c r="E2045" s="33" t="n">
        <v>10</v>
      </c>
      <c r="F2045" s="33" t="s">
        <v>2163</v>
      </c>
      <c r="G2045" s="33" t="s">
        <v>450</v>
      </c>
      <c r="H2045" s="33" t="n">
        <v>1</v>
      </c>
      <c r="I2045" s="33" t="n">
        <v>4</v>
      </c>
      <c r="J2045" s="33" t="n">
        <v>4</v>
      </c>
      <c r="K2045" s="32" t="n">
        <v>720</v>
      </c>
      <c r="L2045" s="33" t="str">
        <f aca="false">IF($B2045="","",IFERROR(INDEX('Code Mapping'!$D$5:$D$1753,MATCH($B2045,'Code Mapping'!$A$5:$A$1753,0)),"Unmapped"))</f>
        <v>Unmapped</v>
      </c>
      <c r="M2045" s="33" t="str">
        <f aca="false">IF($B2045="","",IFERROR(INDEX('Code Mapping'!$E$5:$E$1753,MATCH($B2045,'Code Mapping'!$A$5:$A$1753,0)),"Unmapped"))</f>
        <v>Unmapped</v>
      </c>
      <c r="N2045" s="33" t="str">
        <f aca="false">IF($F2045="","",$F2045)</f>
        <v>InflataRun</v>
      </c>
    </row>
    <row r="2046" customFormat="false" ht="15" hidden="false" customHeight="false" outlineLevel="0" collapsed="false">
      <c r="A2046" s="33" t="n">
        <v>26</v>
      </c>
      <c r="B2046" s="33" t="s">
        <v>815</v>
      </c>
      <c r="C2046" s="33"/>
      <c r="D2046" s="33"/>
      <c r="E2046" s="33" t="n">
        <v>10</v>
      </c>
      <c r="F2046" s="33" t="s">
        <v>2163</v>
      </c>
      <c r="G2046" s="33" t="s">
        <v>450</v>
      </c>
      <c r="H2046" s="33" t="n">
        <v>1</v>
      </c>
      <c r="I2046" s="33" t="n">
        <v>1</v>
      </c>
      <c r="J2046" s="33" t="n">
        <v>1</v>
      </c>
      <c r="K2046" s="32" t="n">
        <v>185</v>
      </c>
      <c r="L2046" s="33" t="str">
        <f aca="false">IF($B2046="","",IFERROR(INDEX('Code Mapping'!$D$5:$D$1753,MATCH($B2046,'Code Mapping'!$A$5:$A$1753,0)),"Unmapped"))</f>
        <v>Unmapped</v>
      </c>
      <c r="M2046" s="33" t="str">
        <f aca="false">IF($B2046="","",IFERROR(INDEX('Code Mapping'!$E$5:$E$1753,MATCH($B2046,'Code Mapping'!$A$5:$A$1753,0)),"Unmapped"))</f>
        <v>Unmapped</v>
      </c>
      <c r="N2046" s="33" t="str">
        <f aca="false">IF($F2046="","",$F2046)</f>
        <v>InflataRun</v>
      </c>
    </row>
    <row r="2047" customFormat="false" ht="15" hidden="false" customHeight="false" outlineLevel="0" collapsed="false">
      <c r="A2047" s="33" t="n">
        <v>15</v>
      </c>
      <c r="B2047" s="33" t="s">
        <v>812</v>
      </c>
      <c r="C2047" s="33"/>
      <c r="D2047" s="33"/>
      <c r="E2047" s="33" t="n">
        <v>10</v>
      </c>
      <c r="F2047" s="33" t="s">
        <v>2163</v>
      </c>
      <c r="G2047" s="33" t="s">
        <v>450</v>
      </c>
      <c r="H2047" s="33" t="n">
        <v>1</v>
      </c>
      <c r="I2047" s="33" t="n">
        <v>3</v>
      </c>
      <c r="J2047" s="33" t="n">
        <v>3</v>
      </c>
      <c r="K2047" s="32" t="n">
        <v>545</v>
      </c>
      <c r="L2047" s="33" t="str">
        <f aca="false">IF($B2047="","",IFERROR(INDEX('Code Mapping'!$D$5:$D$1753,MATCH($B2047,'Code Mapping'!$A$5:$A$1753,0)),"Unmapped"))</f>
        <v>Unmapped</v>
      </c>
      <c r="M2047" s="33" t="str">
        <f aca="false">IF($B2047="","",IFERROR(INDEX('Code Mapping'!$E$5:$E$1753,MATCH($B2047,'Code Mapping'!$A$5:$A$1753,0)),"Unmapped"))</f>
        <v>Unmapped</v>
      </c>
      <c r="N2047" s="33" t="str">
        <f aca="false">IF($F2047="","",$F2047)</f>
        <v>InflataRun</v>
      </c>
    </row>
    <row r="2048" customFormat="false" ht="15" hidden="false" customHeight="false" outlineLevel="0" collapsed="false">
      <c r="A2048" s="33" t="n">
        <v>61</v>
      </c>
      <c r="B2048" s="33" t="s">
        <v>502</v>
      </c>
      <c r="C2048" s="33"/>
      <c r="D2048" s="33"/>
      <c r="E2048" s="33" t="n">
        <v>10</v>
      </c>
      <c r="F2048" s="33" t="s">
        <v>2163</v>
      </c>
      <c r="G2048" s="33" t="s">
        <v>450</v>
      </c>
      <c r="H2048" s="33" t="n">
        <v>1</v>
      </c>
      <c r="I2048" s="33" t="n">
        <v>3</v>
      </c>
      <c r="J2048" s="33" t="n">
        <v>3</v>
      </c>
      <c r="K2048" s="32" t="n">
        <v>555</v>
      </c>
      <c r="L2048" s="33" t="str">
        <f aca="false">IF($B2048="","",IFERROR(INDEX('Code Mapping'!$D$5:$D$1753,MATCH($B2048,'Code Mapping'!$A$5:$A$1753,0)),"Unmapped"))</f>
        <v>Unmapped</v>
      </c>
      <c r="M2048" s="33" t="str">
        <f aca="false">IF($B2048="","",IFERROR(INDEX('Code Mapping'!$E$5:$E$1753,MATCH($B2048,'Code Mapping'!$A$5:$A$1753,0)),"Unmapped"))</f>
        <v>Unmapped</v>
      </c>
      <c r="N2048" s="33" t="str">
        <f aca="false">IF($F2048="","",$F2048)</f>
        <v>InflataRun</v>
      </c>
    </row>
    <row r="2049" customFormat="false" ht="15" hidden="false" customHeight="false" outlineLevel="0" collapsed="false">
      <c r="A2049" s="33" t="n">
        <v>82</v>
      </c>
      <c r="B2049" s="33" t="s">
        <v>501</v>
      </c>
      <c r="C2049" s="33"/>
      <c r="D2049" s="33"/>
      <c r="E2049" s="33" t="n">
        <v>10</v>
      </c>
      <c r="F2049" s="33" t="s">
        <v>2163</v>
      </c>
      <c r="G2049" s="33" t="s">
        <v>450</v>
      </c>
      <c r="H2049" s="33" t="n">
        <v>1</v>
      </c>
      <c r="I2049" s="33" t="n">
        <v>2</v>
      </c>
      <c r="J2049" s="33" t="n">
        <v>2</v>
      </c>
      <c r="K2049" s="32" t="n">
        <v>370</v>
      </c>
      <c r="L2049" s="33" t="str">
        <f aca="false">IF($B2049="","",IFERROR(INDEX('Code Mapping'!$D$5:$D$1753,MATCH($B2049,'Code Mapping'!$A$5:$A$1753,0)),"Unmapped"))</f>
        <v>Unmapped</v>
      </c>
      <c r="M2049" s="33" t="str">
        <f aca="false">IF($B2049="","",IFERROR(INDEX('Code Mapping'!$E$5:$E$1753,MATCH($B2049,'Code Mapping'!$A$5:$A$1753,0)),"Unmapped"))</f>
        <v>Unmapped</v>
      </c>
      <c r="N2049" s="33" t="str">
        <f aca="false">IF($F2049="","",$F2049)</f>
        <v>InflataRun</v>
      </c>
    </row>
    <row r="2050" customFormat="false" ht="15" hidden="false" customHeight="false" outlineLevel="0" collapsed="false">
      <c r="A2050" s="33" t="n">
        <v>81</v>
      </c>
      <c r="B2050" s="33" t="s">
        <v>500</v>
      </c>
      <c r="C2050" s="33"/>
      <c r="D2050" s="33"/>
      <c r="E2050" s="33" t="n">
        <v>10</v>
      </c>
      <c r="F2050" s="33" t="s">
        <v>2163</v>
      </c>
      <c r="G2050" s="33" t="s">
        <v>450</v>
      </c>
      <c r="H2050" s="33" t="n">
        <v>1</v>
      </c>
      <c r="I2050" s="33" t="n">
        <v>2</v>
      </c>
      <c r="J2050" s="33" t="n">
        <v>2</v>
      </c>
      <c r="K2050" s="32" t="n">
        <v>360</v>
      </c>
      <c r="L2050" s="33" t="str">
        <f aca="false">IF($B2050="","",IFERROR(INDEX('Code Mapping'!$D$5:$D$1753,MATCH($B2050,'Code Mapping'!$A$5:$A$1753,0)),"Unmapped"))</f>
        <v>Unmapped</v>
      </c>
      <c r="M2050" s="33" t="str">
        <f aca="false">IF($B2050="","",IFERROR(INDEX('Code Mapping'!$E$5:$E$1753,MATCH($B2050,'Code Mapping'!$A$5:$A$1753,0)),"Unmapped"))</f>
        <v>Unmapped</v>
      </c>
      <c r="N2050" s="33" t="str">
        <f aca="false">IF($F2050="","",$F2050)</f>
        <v>InflataRun</v>
      </c>
    </row>
    <row r="2051" customFormat="false" ht="15" hidden="false" customHeight="false" outlineLevel="0" collapsed="false">
      <c r="A2051" s="33" t="n">
        <v>84</v>
      </c>
      <c r="B2051" s="33" t="s">
        <v>494</v>
      </c>
      <c r="C2051" s="33"/>
      <c r="D2051" s="33"/>
      <c r="E2051" s="33" t="n">
        <v>10</v>
      </c>
      <c r="F2051" s="33" t="s">
        <v>2163</v>
      </c>
      <c r="G2051" s="33" t="s">
        <v>450</v>
      </c>
      <c r="H2051" s="33" t="n">
        <v>1</v>
      </c>
      <c r="I2051" s="33" t="n">
        <v>2</v>
      </c>
      <c r="J2051" s="33" t="n">
        <v>2</v>
      </c>
      <c r="K2051" s="32" t="n">
        <v>370</v>
      </c>
      <c r="L2051" s="33" t="str">
        <f aca="false">IF($B2051="","",IFERROR(INDEX('Code Mapping'!$D$5:$D$1753,MATCH($B2051,'Code Mapping'!$A$5:$A$1753,0)),"Unmapped"))</f>
        <v>Unmapped</v>
      </c>
      <c r="M2051" s="33" t="str">
        <f aca="false">IF($B2051="","",IFERROR(INDEX('Code Mapping'!$E$5:$E$1753,MATCH($B2051,'Code Mapping'!$A$5:$A$1753,0)),"Unmapped"))</f>
        <v>Unmapped</v>
      </c>
      <c r="N2051" s="33" t="str">
        <f aca="false">IF($F2051="","",$F2051)</f>
        <v>InflataRun</v>
      </c>
    </row>
    <row r="2052" customFormat="false" ht="15" hidden="false" customHeight="false" outlineLevel="0" collapsed="false">
      <c r="A2052" s="33" t="n">
        <v>85</v>
      </c>
      <c r="B2052" s="33" t="s">
        <v>493</v>
      </c>
      <c r="C2052" s="33"/>
      <c r="D2052" s="33"/>
      <c r="E2052" s="33" t="n">
        <v>10</v>
      </c>
      <c r="F2052" s="33" t="s">
        <v>2163</v>
      </c>
      <c r="G2052" s="33" t="s">
        <v>450</v>
      </c>
      <c r="H2052" s="33" t="n">
        <v>1</v>
      </c>
      <c r="I2052" s="33" t="n">
        <v>2</v>
      </c>
      <c r="J2052" s="33" t="n">
        <v>2</v>
      </c>
      <c r="K2052" s="32" t="n">
        <v>360</v>
      </c>
      <c r="L2052" s="33" t="str">
        <f aca="false">IF($B2052="","",IFERROR(INDEX('Code Mapping'!$D$5:$D$1753,MATCH($B2052,'Code Mapping'!$A$5:$A$1753,0)),"Unmapped"))</f>
        <v>Unmapped</v>
      </c>
      <c r="M2052" s="33" t="str">
        <f aca="false">IF($B2052="","",IFERROR(INDEX('Code Mapping'!$E$5:$E$1753,MATCH($B2052,'Code Mapping'!$A$5:$A$1753,0)),"Unmapped"))</f>
        <v>Unmapped</v>
      </c>
      <c r="N2052" s="33" t="str">
        <f aca="false">IF($F2052="","",$F2052)</f>
        <v>InflataRun</v>
      </c>
    </row>
    <row r="2053" customFormat="false" ht="15" hidden="false" customHeight="false" outlineLevel="0" collapsed="false">
      <c r="A2053" s="33" t="n">
        <v>76</v>
      </c>
      <c r="B2053" s="33" t="s">
        <v>490</v>
      </c>
      <c r="C2053" s="33"/>
      <c r="D2053" s="33"/>
      <c r="E2053" s="33" t="n">
        <v>10</v>
      </c>
      <c r="F2053" s="33" t="s">
        <v>2163</v>
      </c>
      <c r="G2053" s="33" t="s">
        <v>450</v>
      </c>
      <c r="H2053" s="33" t="n">
        <v>1</v>
      </c>
      <c r="I2053" s="33" t="n">
        <v>3</v>
      </c>
      <c r="J2053" s="33" t="n">
        <v>3</v>
      </c>
      <c r="K2053" s="32" t="n">
        <v>545</v>
      </c>
      <c r="L2053" s="33" t="str">
        <f aca="false">IF($B2053="","",IFERROR(INDEX('Code Mapping'!$D$5:$D$1753,MATCH($B2053,'Code Mapping'!$A$5:$A$1753,0)),"Unmapped"))</f>
        <v>Unmapped</v>
      </c>
      <c r="M2053" s="33" t="str">
        <f aca="false">IF($B2053="","",IFERROR(INDEX('Code Mapping'!$E$5:$E$1753,MATCH($B2053,'Code Mapping'!$A$5:$A$1753,0)),"Unmapped"))</f>
        <v>Unmapped</v>
      </c>
      <c r="N2053" s="33" t="str">
        <f aca="false">IF($F2053="","",$F2053)</f>
        <v>InflataRun</v>
      </c>
    </row>
    <row r="2054" customFormat="false" ht="15" hidden="false" customHeight="false" outlineLevel="0" collapsed="false">
      <c r="A2054" s="33" t="n">
        <v>38</v>
      </c>
      <c r="B2054" s="33" t="s">
        <v>485</v>
      </c>
      <c r="C2054" s="33"/>
      <c r="D2054" s="33"/>
      <c r="E2054" s="33" t="n">
        <v>10</v>
      </c>
      <c r="F2054" s="33" t="s">
        <v>2163</v>
      </c>
      <c r="G2054" s="33" t="s">
        <v>450</v>
      </c>
      <c r="H2054" s="33" t="n">
        <v>1</v>
      </c>
      <c r="I2054" s="33" t="n">
        <v>1</v>
      </c>
      <c r="J2054" s="33" t="n">
        <v>1</v>
      </c>
      <c r="K2054" s="32" t="n">
        <v>185</v>
      </c>
      <c r="L2054" s="33" t="str">
        <f aca="false">IF($B2054="","",IFERROR(INDEX('Code Mapping'!$D$5:$D$1753,MATCH($B2054,'Code Mapping'!$A$5:$A$1753,0)),"Unmapped"))</f>
        <v>Entertainer</v>
      </c>
      <c r="M2054" s="33" t="str">
        <f aca="false">IF($B2054="","",IFERROR(INDEX('Code Mapping'!$E$5:$E$1753,MATCH($B2054,'Code Mapping'!$A$5:$A$1753,0)),"Unmapped"))</f>
        <v>Aggregator BOGO</v>
      </c>
      <c r="N2054" s="33" t="str">
        <f aca="false">IF($F2054="","",$F2054)</f>
        <v>InflataRun</v>
      </c>
    </row>
    <row r="2055" customFormat="false" ht="15" hidden="false" customHeight="false" outlineLevel="0" collapsed="false">
      <c r="A2055" s="33" t="n">
        <v>69</v>
      </c>
      <c r="B2055" s="33" t="s">
        <v>484</v>
      </c>
      <c r="C2055" s="33"/>
      <c r="D2055" s="33"/>
      <c r="E2055" s="33" t="n">
        <v>10</v>
      </c>
      <c r="F2055" s="33" t="s">
        <v>2163</v>
      </c>
      <c r="G2055" s="33" t="s">
        <v>450</v>
      </c>
      <c r="H2055" s="33" t="n">
        <v>1</v>
      </c>
      <c r="I2055" s="33" t="n">
        <v>4</v>
      </c>
      <c r="J2055" s="33" t="n">
        <v>4</v>
      </c>
      <c r="K2055" s="32" t="n">
        <v>740</v>
      </c>
      <c r="L2055" s="33" t="str">
        <f aca="false">IF($B2055="","",IFERROR(INDEX('Code Mapping'!$D$5:$D$1753,MATCH($B2055,'Code Mapping'!$A$5:$A$1753,0)),"Unmapped"))</f>
        <v>Unmapped</v>
      </c>
      <c r="M2055" s="33" t="str">
        <f aca="false">IF($B2055="","",IFERROR(INDEX('Code Mapping'!$E$5:$E$1753,MATCH($B2055,'Code Mapping'!$A$5:$A$1753,0)),"Unmapped"))</f>
        <v>Unmapped</v>
      </c>
      <c r="N2055" s="33" t="str">
        <f aca="false">IF($F2055="","",$F2055)</f>
        <v>InflataRun</v>
      </c>
    </row>
    <row r="2056" customFormat="false" ht="15" hidden="false" customHeight="false" outlineLevel="0" collapsed="false">
      <c r="A2056" s="33" t="n">
        <v>74</v>
      </c>
      <c r="B2056" s="33" t="s">
        <v>483</v>
      </c>
      <c r="C2056" s="33"/>
      <c r="D2056" s="33"/>
      <c r="E2056" s="33" t="n">
        <v>10</v>
      </c>
      <c r="F2056" s="33" t="s">
        <v>2163</v>
      </c>
      <c r="G2056" s="33" t="s">
        <v>450</v>
      </c>
      <c r="H2056" s="33" t="n">
        <v>1</v>
      </c>
      <c r="I2056" s="33" t="n">
        <v>4</v>
      </c>
      <c r="J2056" s="33" t="n">
        <v>4</v>
      </c>
      <c r="K2056" s="32" t="n">
        <v>720</v>
      </c>
      <c r="L2056" s="33" t="str">
        <f aca="false">IF($B2056="","",IFERROR(INDEX('Code Mapping'!$D$5:$D$1753,MATCH($B2056,'Code Mapping'!$A$5:$A$1753,0)),"Unmapped"))</f>
        <v>Unmapped</v>
      </c>
      <c r="M2056" s="33" t="str">
        <f aca="false">IF($B2056="","",IFERROR(INDEX('Code Mapping'!$E$5:$E$1753,MATCH($B2056,'Code Mapping'!$A$5:$A$1753,0)),"Unmapped"))</f>
        <v>Unmapped</v>
      </c>
      <c r="N2056" s="33" t="str">
        <f aca="false">IF($F2056="","",$F2056)</f>
        <v>InflataRun</v>
      </c>
    </row>
    <row r="2057" customFormat="false" ht="15" hidden="false" customHeight="false" outlineLevel="0" collapsed="false">
      <c r="A2057" s="33" t="n">
        <v>41</v>
      </c>
      <c r="B2057" s="33" t="s">
        <v>482</v>
      </c>
      <c r="C2057" s="33"/>
      <c r="D2057" s="33"/>
      <c r="E2057" s="33" t="n">
        <v>10</v>
      </c>
      <c r="F2057" s="33" t="s">
        <v>2163</v>
      </c>
      <c r="G2057" s="33" t="s">
        <v>450</v>
      </c>
      <c r="H2057" s="33" t="n">
        <v>1</v>
      </c>
      <c r="I2057" s="33" t="n">
        <v>3</v>
      </c>
      <c r="J2057" s="33" t="n">
        <v>3</v>
      </c>
      <c r="K2057" s="32" t="n">
        <v>535</v>
      </c>
      <c r="L2057" s="33" t="str">
        <f aca="false">IF($B2057="","",IFERROR(INDEX('Code Mapping'!$D$5:$D$1753,MATCH($B2057,'Code Mapping'!$A$5:$A$1753,0)),"Unmapped"))</f>
        <v>Unmapped</v>
      </c>
      <c r="M2057" s="33" t="str">
        <f aca="false">IF($B2057="","",IFERROR(INDEX('Code Mapping'!$E$5:$E$1753,MATCH($B2057,'Code Mapping'!$A$5:$A$1753,0)),"Unmapped"))</f>
        <v>Unmapped</v>
      </c>
      <c r="N2057" s="33" t="str">
        <f aca="false">IF($F2057="","",$F2057)</f>
        <v>InflataRun</v>
      </c>
    </row>
    <row r="2058" customFormat="false" ht="15" hidden="false" customHeight="false" outlineLevel="0" collapsed="false">
      <c r="A2058" s="33" t="n">
        <v>44</v>
      </c>
      <c r="B2058" s="33" t="s">
        <v>470</v>
      </c>
      <c r="C2058" s="33"/>
      <c r="D2058" s="33"/>
      <c r="E2058" s="33" t="n">
        <v>10</v>
      </c>
      <c r="F2058" s="33" t="s">
        <v>2163</v>
      </c>
      <c r="G2058" s="33" t="s">
        <v>450</v>
      </c>
      <c r="H2058" s="33" t="n">
        <v>1</v>
      </c>
      <c r="I2058" s="33" t="n">
        <v>2</v>
      </c>
      <c r="J2058" s="33" t="n">
        <v>2</v>
      </c>
      <c r="K2058" s="32" t="n">
        <v>360</v>
      </c>
      <c r="L2058" s="33" t="str">
        <f aca="false">IF($B2058="","",IFERROR(INDEX('Code Mapping'!$D$5:$D$1753,MATCH($B2058,'Code Mapping'!$A$5:$A$1753,0)),"Unmapped"))</f>
        <v>Unmapped</v>
      </c>
      <c r="M2058" s="33" t="str">
        <f aca="false">IF($B2058="","",IFERROR(INDEX('Code Mapping'!$E$5:$E$1753,MATCH($B2058,'Code Mapping'!$A$5:$A$1753,0)),"Unmapped"))</f>
        <v>Unmapped</v>
      </c>
      <c r="N2058" s="33" t="str">
        <f aca="false">IF($F2058="","",$F2058)</f>
        <v>InflataRun</v>
      </c>
    </row>
    <row r="2059" customFormat="false" ht="15" hidden="false" customHeight="false" outlineLevel="0" collapsed="false">
      <c r="A2059" s="33" t="n">
        <v>43</v>
      </c>
      <c r="B2059" s="33" t="s">
        <v>469</v>
      </c>
      <c r="C2059" s="33"/>
      <c r="D2059" s="33"/>
      <c r="E2059" s="33" t="n">
        <v>10</v>
      </c>
      <c r="F2059" s="33" t="s">
        <v>2163</v>
      </c>
      <c r="G2059" s="33" t="s">
        <v>450</v>
      </c>
      <c r="H2059" s="33" t="n">
        <v>1</v>
      </c>
      <c r="I2059" s="33" t="n">
        <v>2</v>
      </c>
      <c r="J2059" s="33" t="n">
        <v>2</v>
      </c>
      <c r="K2059" s="32" t="n">
        <v>360</v>
      </c>
      <c r="L2059" s="33" t="str">
        <f aca="false">IF($B2059="","",IFERROR(INDEX('Code Mapping'!$D$5:$D$1753,MATCH($B2059,'Code Mapping'!$A$5:$A$1753,0)),"Unmapped"))</f>
        <v>Unmapped</v>
      </c>
      <c r="M2059" s="33" t="str">
        <f aca="false">IF($B2059="","",IFERROR(INDEX('Code Mapping'!$E$5:$E$1753,MATCH($B2059,'Code Mapping'!$A$5:$A$1753,0)),"Unmapped"))</f>
        <v>Unmapped</v>
      </c>
      <c r="N2059" s="33" t="str">
        <f aca="false">IF($F2059="","",$F2059)</f>
        <v>InflataRun</v>
      </c>
    </row>
    <row r="2060" customFormat="false" ht="15" hidden="false" customHeight="false" outlineLevel="0" collapsed="false">
      <c r="A2060" s="33" t="n">
        <v>62</v>
      </c>
      <c r="B2060" s="33" t="s">
        <v>468</v>
      </c>
      <c r="C2060" s="33"/>
      <c r="D2060" s="33"/>
      <c r="E2060" s="33" t="n">
        <v>10</v>
      </c>
      <c r="F2060" s="33" t="s">
        <v>2163</v>
      </c>
      <c r="G2060" s="33" t="s">
        <v>450</v>
      </c>
      <c r="H2060" s="33" t="n">
        <v>1</v>
      </c>
      <c r="I2060" s="33" t="n">
        <v>2</v>
      </c>
      <c r="J2060" s="33" t="n">
        <v>2</v>
      </c>
      <c r="K2060" s="32" t="n">
        <v>350</v>
      </c>
      <c r="L2060" s="33" t="str">
        <f aca="false">IF($B2060="","",IFERROR(INDEX('Code Mapping'!$D$5:$D$1753,MATCH($B2060,'Code Mapping'!$A$5:$A$1753,0)),"Unmapped"))</f>
        <v>Unmapped</v>
      </c>
      <c r="M2060" s="33" t="str">
        <f aca="false">IF($B2060="","",IFERROR(INDEX('Code Mapping'!$E$5:$E$1753,MATCH($B2060,'Code Mapping'!$A$5:$A$1753,0)),"Unmapped"))</f>
        <v>Unmapped</v>
      </c>
      <c r="N2060" s="33" t="str">
        <f aca="false">IF($F2060="","",$F2060)</f>
        <v>InflataRun</v>
      </c>
    </row>
    <row r="2061" customFormat="false" ht="15" hidden="false" customHeight="false" outlineLevel="0" collapsed="false">
      <c r="A2061" s="33" t="n">
        <v>53</v>
      </c>
      <c r="B2061" s="33" t="s">
        <v>466</v>
      </c>
      <c r="C2061" s="33"/>
      <c r="D2061" s="33"/>
      <c r="E2061" s="33" t="n">
        <v>10</v>
      </c>
      <c r="F2061" s="33" t="s">
        <v>2163</v>
      </c>
      <c r="G2061" s="33" t="s">
        <v>450</v>
      </c>
      <c r="H2061" s="33" t="n">
        <v>1</v>
      </c>
      <c r="I2061" s="33" t="n">
        <v>4</v>
      </c>
      <c r="J2061" s="33" t="n">
        <v>4</v>
      </c>
      <c r="K2061" s="32" t="n">
        <v>740</v>
      </c>
      <c r="L2061" s="33" t="str">
        <f aca="false">IF($B2061="","",IFERROR(INDEX('Code Mapping'!$D$5:$D$1753,MATCH($B2061,'Code Mapping'!$A$5:$A$1753,0)),"Unmapped"))</f>
        <v>Unmapped</v>
      </c>
      <c r="M2061" s="33" t="str">
        <f aca="false">IF($B2061="","",IFERROR(INDEX('Code Mapping'!$E$5:$E$1753,MATCH($B2061,'Code Mapping'!$A$5:$A$1753,0)),"Unmapped"))</f>
        <v>Unmapped</v>
      </c>
      <c r="N2061" s="33" t="str">
        <f aca="false">IF($F2061="","",$F2061)</f>
        <v>InflataRun</v>
      </c>
    </row>
    <row r="2062" customFormat="false" ht="15" hidden="false" customHeight="false" outlineLevel="0" collapsed="false">
      <c r="A2062" s="33" t="n">
        <v>77</v>
      </c>
      <c r="B2062" s="33" t="s">
        <v>453</v>
      </c>
      <c r="C2062" s="33"/>
      <c r="D2062" s="33"/>
      <c r="E2062" s="33" t="n">
        <v>10</v>
      </c>
      <c r="F2062" s="33" t="s">
        <v>2163</v>
      </c>
      <c r="G2062" s="33" t="s">
        <v>450</v>
      </c>
      <c r="H2062" s="33" t="n">
        <v>1</v>
      </c>
      <c r="I2062" s="33" t="n">
        <v>4</v>
      </c>
      <c r="J2062" s="33" t="n">
        <v>4</v>
      </c>
      <c r="K2062" s="32" t="n">
        <v>720</v>
      </c>
      <c r="L2062" s="33" t="str">
        <f aca="false">IF($B2062="","",IFERROR(INDEX('Code Mapping'!$D$5:$D$1753,MATCH($B2062,'Code Mapping'!$A$5:$A$1753,0)),"Unmapped"))</f>
        <v>Unmapped</v>
      </c>
      <c r="M2062" s="33" t="str">
        <f aca="false">IF($B2062="","",IFERROR(INDEX('Code Mapping'!$E$5:$E$1753,MATCH($B2062,'Code Mapping'!$A$5:$A$1753,0)),"Unmapped"))</f>
        <v>Unmapped</v>
      </c>
      <c r="N2062" s="33" t="str">
        <f aca="false">IF($F2062="","",$F2062)</f>
        <v>InflataRun</v>
      </c>
    </row>
    <row r="2063" customFormat="false" ht="15" hidden="false" customHeight="false" outlineLevel="0" collapsed="false">
      <c r="A2063" s="33" t="n">
        <v>65</v>
      </c>
      <c r="B2063" s="33" t="s">
        <v>449</v>
      </c>
      <c r="C2063" s="33"/>
      <c r="D2063" s="33"/>
      <c r="E2063" s="33" t="n">
        <v>10</v>
      </c>
      <c r="F2063" s="33" t="s">
        <v>2163</v>
      </c>
      <c r="G2063" s="33" t="s">
        <v>450</v>
      </c>
      <c r="H2063" s="33" t="n">
        <v>1</v>
      </c>
      <c r="I2063" s="33" t="n">
        <v>4</v>
      </c>
      <c r="J2063" s="33" t="n">
        <v>4</v>
      </c>
      <c r="K2063" s="32" t="n">
        <v>700</v>
      </c>
      <c r="L2063" s="33" t="str">
        <f aca="false">IF($B2063="","",IFERROR(INDEX('Code Mapping'!$D$5:$D$1753,MATCH($B2063,'Code Mapping'!$A$5:$A$1753,0)),"Unmapped"))</f>
        <v>Unmapped</v>
      </c>
      <c r="M2063" s="33" t="str">
        <f aca="false">IF($B2063="","",IFERROR(INDEX('Code Mapping'!$E$5:$E$1753,MATCH($B2063,'Code Mapping'!$A$5:$A$1753,0)),"Unmapped"))</f>
        <v>Unmapped</v>
      </c>
      <c r="N2063" s="33" t="str">
        <f aca="false">IF($F2063="","",$F2063)</f>
        <v>InflataRun</v>
      </c>
    </row>
    <row r="2064" customFormat="false" ht="15" hidden="false" customHeight="false" outlineLevel="0" collapsed="false">
      <c r="A2064" s="33" t="n">
        <v>23</v>
      </c>
      <c r="B2064" s="33" t="s">
        <v>813</v>
      </c>
      <c r="C2064" s="33"/>
      <c r="D2064" s="33"/>
      <c r="E2064" s="33" t="n">
        <v>14</v>
      </c>
      <c r="F2064" s="33" t="s">
        <v>2168</v>
      </c>
      <c r="G2064" s="33" t="s">
        <v>450</v>
      </c>
      <c r="H2064" s="33" t="n">
        <v>1</v>
      </c>
      <c r="I2064" s="33" t="n">
        <v>2</v>
      </c>
      <c r="J2064" s="33" t="n">
        <v>2</v>
      </c>
      <c r="K2064" s="32" t="n">
        <v>600</v>
      </c>
      <c r="L2064" s="33" t="str">
        <f aca="false">IF($B2064="","",IFERROR(INDEX('Code Mapping'!$D$5:$D$1753,MATCH($B2064,'Code Mapping'!$A$5:$A$1753,0)),"Unmapped"))</f>
        <v>Unmapped</v>
      </c>
      <c r="M2064" s="33" t="str">
        <f aca="false">IF($B2064="","",IFERROR(INDEX('Code Mapping'!$E$5:$E$1753,MATCH($B2064,'Code Mapping'!$A$5:$A$1753,0)),"Unmapped"))</f>
        <v>Unmapped</v>
      </c>
      <c r="N2064" s="33" t="str">
        <f aca="false">IF($F2064="","",$F2064)</f>
        <v>InflataRaces</v>
      </c>
    </row>
    <row r="2065" customFormat="false" ht="15" hidden="false" customHeight="false" outlineLevel="0" collapsed="false">
      <c r="A2065" s="33" t="n">
        <v>16</v>
      </c>
      <c r="B2065" s="33" t="s">
        <v>816</v>
      </c>
      <c r="C2065" s="33"/>
      <c r="D2065" s="33"/>
      <c r="E2065" s="33" t="n">
        <v>10</v>
      </c>
      <c r="F2065" s="33" t="s">
        <v>2163</v>
      </c>
      <c r="G2065" s="33" t="s">
        <v>450</v>
      </c>
      <c r="H2065" s="33" t="n">
        <v>1</v>
      </c>
      <c r="I2065" s="33" t="n">
        <v>3</v>
      </c>
      <c r="J2065" s="33" t="n">
        <v>3</v>
      </c>
      <c r="K2065" s="32" t="n">
        <v>545</v>
      </c>
      <c r="L2065" s="33" t="str">
        <f aca="false">IF($B2065="","",IFERROR(INDEX('Code Mapping'!$D$5:$D$1753,MATCH($B2065,'Code Mapping'!$A$5:$A$1753,0)),"Unmapped"))</f>
        <v>Unmapped</v>
      </c>
      <c r="M2065" s="33" t="str">
        <f aca="false">IF($B2065="","",IFERROR(INDEX('Code Mapping'!$E$5:$E$1753,MATCH($B2065,'Code Mapping'!$A$5:$A$1753,0)),"Unmapped"))</f>
        <v>Unmapped</v>
      </c>
      <c r="N2065" s="33" t="str">
        <f aca="false">IF($F2065="","",$F2065)</f>
        <v>InflataRun</v>
      </c>
    </row>
    <row r="2066" customFormat="false" ht="15" hidden="false" customHeight="false" outlineLevel="0" collapsed="false">
      <c r="A2066" s="33" t="n">
        <v>73</v>
      </c>
      <c r="B2066" s="33" t="s">
        <v>1791</v>
      </c>
      <c r="C2066" s="33"/>
      <c r="D2066" s="33"/>
      <c r="E2066" s="33" t="n">
        <v>10</v>
      </c>
      <c r="F2066" s="33" t="s">
        <v>2163</v>
      </c>
      <c r="G2066" s="33" t="s">
        <v>450</v>
      </c>
      <c r="H2066" s="33" t="n">
        <v>1</v>
      </c>
      <c r="I2066" s="33" t="n">
        <v>3</v>
      </c>
      <c r="J2066" s="33" t="n">
        <v>3</v>
      </c>
      <c r="K2066" s="32" t="n">
        <v>535</v>
      </c>
      <c r="L2066" s="33" t="str">
        <f aca="false">IF($B2066="","",IFERROR(INDEX('Code Mapping'!$D$5:$D$1753,MATCH($B2066,'Code Mapping'!$A$5:$A$1753,0)),"Unmapped"))</f>
        <v>Unmapped</v>
      </c>
      <c r="M2066" s="33" t="str">
        <f aca="false">IF($B2066="","",IFERROR(INDEX('Code Mapping'!$E$5:$E$1753,MATCH($B2066,'Code Mapping'!$A$5:$A$1753,0)),"Unmapped"))</f>
        <v>Unmapped</v>
      </c>
      <c r="N2066" s="33" t="str">
        <f aca="false">IF($F2066="","",$F2066)</f>
        <v>InflataRun</v>
      </c>
    </row>
    <row r="2067" customFormat="false" ht="15" hidden="false" customHeight="false" outlineLevel="0" collapsed="false">
      <c r="A2067" s="33" t="n">
        <v>17</v>
      </c>
      <c r="B2067" s="33" t="s">
        <v>817</v>
      </c>
      <c r="C2067" s="33"/>
      <c r="D2067" s="33"/>
      <c r="E2067" s="33" t="n">
        <v>10</v>
      </c>
      <c r="F2067" s="33" t="s">
        <v>2163</v>
      </c>
      <c r="G2067" s="33" t="s">
        <v>450</v>
      </c>
      <c r="H2067" s="33" t="n">
        <v>2</v>
      </c>
      <c r="I2067" s="33" t="n">
        <v>6</v>
      </c>
      <c r="J2067" s="33" t="n">
        <v>6</v>
      </c>
      <c r="K2067" s="32" t="n">
        <v>1100</v>
      </c>
      <c r="L2067" s="33" t="str">
        <f aca="false">IF($B2067="","",IFERROR(INDEX('Code Mapping'!$D$5:$D$1753,MATCH($B2067,'Code Mapping'!$A$5:$A$1753,0)),"Unmapped"))</f>
        <v>Unmapped</v>
      </c>
      <c r="M2067" s="33" t="str">
        <f aca="false">IF($B2067="","",IFERROR(INDEX('Code Mapping'!$E$5:$E$1753,MATCH($B2067,'Code Mapping'!$A$5:$A$1753,0)),"Unmapped"))</f>
        <v>Unmapped</v>
      </c>
      <c r="N2067" s="33" t="str">
        <f aca="false">IF($F2067="","",$F2067)</f>
        <v>InflataRun</v>
      </c>
    </row>
    <row r="2068" customFormat="false" ht="15" hidden="false" customHeight="false" outlineLevel="0" collapsed="false">
      <c r="A2068" s="33" t="n">
        <v>122</v>
      </c>
      <c r="B2068" s="33" t="s">
        <v>1790</v>
      </c>
      <c r="C2068" s="33"/>
      <c r="D2068" s="33"/>
      <c r="E2068" s="33" t="n">
        <v>10</v>
      </c>
      <c r="F2068" s="33" t="s">
        <v>2163</v>
      </c>
      <c r="G2068" s="33" t="s">
        <v>450</v>
      </c>
      <c r="H2068" s="33" t="n">
        <v>1</v>
      </c>
      <c r="I2068" s="33" t="n">
        <v>1</v>
      </c>
      <c r="J2068" s="33" t="n">
        <v>1</v>
      </c>
      <c r="K2068" s="32" t="n">
        <v>185</v>
      </c>
      <c r="L2068" s="33" t="str">
        <f aca="false">IF($B2068="","",IFERROR(INDEX('Code Mapping'!$D$5:$D$1753,MATCH($B2068,'Code Mapping'!$A$5:$A$1753,0)),"Unmapped"))</f>
        <v>Unmapped</v>
      </c>
      <c r="M2068" s="33" t="str">
        <f aca="false">IF($B2068="","",IFERROR(INDEX('Code Mapping'!$E$5:$E$1753,MATCH($B2068,'Code Mapping'!$A$5:$A$1753,0)),"Unmapped"))</f>
        <v>Unmapped</v>
      </c>
      <c r="N2068" s="33" t="str">
        <f aca="false">IF($F2068="","",$F2068)</f>
        <v>InflataRun</v>
      </c>
    </row>
    <row r="2069" customFormat="false" ht="15" hidden="false" customHeight="false" outlineLevel="0" collapsed="false">
      <c r="A2069" s="33" t="n">
        <v>57</v>
      </c>
      <c r="B2069" s="33" t="s">
        <v>1789</v>
      </c>
      <c r="C2069" s="33"/>
      <c r="D2069" s="33"/>
      <c r="E2069" s="33" t="n">
        <v>10</v>
      </c>
      <c r="F2069" s="33" t="s">
        <v>2163</v>
      </c>
      <c r="G2069" s="33" t="s">
        <v>450</v>
      </c>
      <c r="H2069" s="33" t="n">
        <v>1</v>
      </c>
      <c r="I2069" s="33" t="n">
        <v>4</v>
      </c>
      <c r="J2069" s="33" t="n">
        <v>4</v>
      </c>
      <c r="K2069" s="32" t="n">
        <v>720</v>
      </c>
      <c r="L2069" s="33" t="str">
        <f aca="false">IF($B2069="","",IFERROR(INDEX('Code Mapping'!$D$5:$D$1753,MATCH($B2069,'Code Mapping'!$A$5:$A$1753,0)),"Unmapped"))</f>
        <v>Unmapped</v>
      </c>
      <c r="M2069" s="33" t="str">
        <f aca="false">IF($B2069="","",IFERROR(INDEX('Code Mapping'!$E$5:$E$1753,MATCH($B2069,'Code Mapping'!$A$5:$A$1753,0)),"Unmapped"))</f>
        <v>Unmapped</v>
      </c>
      <c r="N2069" s="33" t="str">
        <f aca="false">IF($F2069="","",$F2069)</f>
        <v>InflataRun</v>
      </c>
    </row>
    <row r="2070" customFormat="false" ht="15" hidden="false" customHeight="false" outlineLevel="0" collapsed="false">
      <c r="A2070" s="33" t="n">
        <v>54</v>
      </c>
      <c r="B2070" s="33" t="s">
        <v>1774</v>
      </c>
      <c r="C2070" s="33"/>
      <c r="D2070" s="33"/>
      <c r="E2070" s="33" t="n">
        <v>10</v>
      </c>
      <c r="F2070" s="33" t="s">
        <v>2163</v>
      </c>
      <c r="G2070" s="33" t="s">
        <v>450</v>
      </c>
      <c r="H2070" s="33" t="n">
        <v>1</v>
      </c>
      <c r="I2070" s="33" t="n">
        <v>3</v>
      </c>
      <c r="J2070" s="33" t="n">
        <v>3</v>
      </c>
      <c r="K2070" s="32" t="n">
        <v>555</v>
      </c>
      <c r="L2070" s="33" t="str">
        <f aca="false">IF($B2070="","",IFERROR(INDEX('Code Mapping'!$D$5:$D$1753,MATCH($B2070,'Code Mapping'!$A$5:$A$1753,0)),"Unmapped"))</f>
        <v>Unmapped</v>
      </c>
      <c r="M2070" s="33" t="str">
        <f aca="false">IF($B2070="","",IFERROR(INDEX('Code Mapping'!$E$5:$E$1753,MATCH($B2070,'Code Mapping'!$A$5:$A$1753,0)),"Unmapped"))</f>
        <v>Unmapped</v>
      </c>
      <c r="N2070" s="33" t="str">
        <f aca="false">IF($F2070="","",$F2070)</f>
        <v>InflataRun</v>
      </c>
    </row>
    <row r="2071" customFormat="false" ht="15" hidden="false" customHeight="false" outlineLevel="0" collapsed="false">
      <c r="A2071" s="33" t="n">
        <v>10</v>
      </c>
      <c r="B2071" s="33" t="s">
        <v>1442</v>
      </c>
      <c r="C2071" s="33"/>
      <c r="D2071" s="33"/>
      <c r="E2071" s="33" t="n">
        <v>10</v>
      </c>
      <c r="F2071" s="33" t="s">
        <v>2163</v>
      </c>
      <c r="G2071" s="33" t="s">
        <v>450</v>
      </c>
      <c r="H2071" s="33" t="n">
        <v>1</v>
      </c>
      <c r="I2071" s="33" t="n">
        <v>4</v>
      </c>
      <c r="J2071" s="33" t="n">
        <v>4</v>
      </c>
      <c r="K2071" s="32" t="n">
        <v>740</v>
      </c>
      <c r="L2071" s="33" t="str">
        <f aca="false">IF($B2071="","",IFERROR(INDEX('Code Mapping'!$D$5:$D$1753,MATCH($B2071,'Code Mapping'!$A$5:$A$1753,0)),"Unmapped"))</f>
        <v>Unmapped</v>
      </c>
      <c r="M2071" s="33" t="str">
        <f aca="false">IF($B2071="","",IFERROR(INDEX('Code Mapping'!$E$5:$E$1753,MATCH($B2071,'Code Mapping'!$A$5:$A$1753,0)),"Unmapped"))</f>
        <v>Unmapped</v>
      </c>
      <c r="N2071" s="33" t="str">
        <f aca="false">IF($F2071="","",$F2071)</f>
        <v>InflataRun</v>
      </c>
    </row>
    <row r="2072" customFormat="false" ht="15" hidden="false" customHeight="false" outlineLevel="0" collapsed="false">
      <c r="A2072" s="33" t="n">
        <v>11</v>
      </c>
      <c r="B2072" s="33" t="s">
        <v>1365</v>
      </c>
      <c r="C2072" s="33"/>
      <c r="D2072" s="33"/>
      <c r="E2072" s="33" t="n">
        <v>10</v>
      </c>
      <c r="F2072" s="33" t="s">
        <v>2163</v>
      </c>
      <c r="G2072" s="33" t="s">
        <v>450</v>
      </c>
      <c r="H2072" s="33" t="n">
        <v>1</v>
      </c>
      <c r="I2072" s="33" t="n">
        <v>2</v>
      </c>
      <c r="J2072" s="33" t="n">
        <v>2</v>
      </c>
      <c r="K2072" s="32" t="n">
        <v>350</v>
      </c>
      <c r="L2072" s="33" t="str">
        <f aca="false">IF($B2072="","",IFERROR(INDEX('Code Mapping'!$D$5:$D$1753,MATCH($B2072,'Code Mapping'!$A$5:$A$1753,0)),"Unmapped"))</f>
        <v>Unmapped</v>
      </c>
      <c r="M2072" s="33" t="str">
        <f aca="false">IF($B2072="","",IFERROR(INDEX('Code Mapping'!$E$5:$E$1753,MATCH($B2072,'Code Mapping'!$A$5:$A$1753,0)),"Unmapped"))</f>
        <v>Unmapped</v>
      </c>
      <c r="N2072" s="33" t="str">
        <f aca="false">IF($F2072="","",$F2072)</f>
        <v>InflataRun</v>
      </c>
    </row>
    <row r="2073" customFormat="false" ht="15" hidden="false" customHeight="false" outlineLevel="0" collapsed="false">
      <c r="A2073" s="33" t="n">
        <v>50</v>
      </c>
      <c r="B2073" s="33" t="s">
        <v>1331</v>
      </c>
      <c r="C2073" s="33"/>
      <c r="D2073" s="33"/>
      <c r="E2073" s="33" t="n">
        <v>10</v>
      </c>
      <c r="F2073" s="33" t="s">
        <v>2163</v>
      </c>
      <c r="G2073" s="33" t="s">
        <v>450</v>
      </c>
      <c r="H2073" s="33" t="n">
        <v>1</v>
      </c>
      <c r="I2073" s="33" t="n">
        <v>2</v>
      </c>
      <c r="J2073" s="33" t="n">
        <v>2</v>
      </c>
      <c r="K2073" s="32" t="n">
        <v>360</v>
      </c>
      <c r="L2073" s="33" t="str">
        <f aca="false">IF($B2073="","",IFERROR(INDEX('Code Mapping'!$D$5:$D$1753,MATCH($B2073,'Code Mapping'!$A$5:$A$1753,0)),"Unmapped"))</f>
        <v>Unmapped</v>
      </c>
      <c r="M2073" s="33" t="str">
        <f aca="false">IF($B2073="","",IFERROR(INDEX('Code Mapping'!$E$5:$E$1753,MATCH($B2073,'Code Mapping'!$A$5:$A$1753,0)),"Unmapped"))</f>
        <v>Unmapped</v>
      </c>
      <c r="N2073" s="33" t="str">
        <f aca="false">IF($F2073="","",$F2073)</f>
        <v>InflataRun</v>
      </c>
    </row>
    <row r="2074" customFormat="false" ht="15" hidden="false" customHeight="false" outlineLevel="0" collapsed="false">
      <c r="A2074" s="33" t="n">
        <v>49</v>
      </c>
      <c r="B2074" s="33" t="s">
        <v>1330</v>
      </c>
      <c r="C2074" s="33"/>
      <c r="D2074" s="33"/>
      <c r="E2074" s="33" t="n">
        <v>10</v>
      </c>
      <c r="F2074" s="33" t="s">
        <v>2163</v>
      </c>
      <c r="G2074" s="33" t="s">
        <v>450</v>
      </c>
      <c r="H2074" s="33" t="n">
        <v>1</v>
      </c>
      <c r="I2074" s="33" t="n">
        <v>2</v>
      </c>
      <c r="J2074" s="33" t="n">
        <v>2</v>
      </c>
      <c r="K2074" s="32" t="n">
        <v>360</v>
      </c>
      <c r="L2074" s="33" t="str">
        <f aca="false">IF($B2074="","",IFERROR(INDEX('Code Mapping'!$D$5:$D$1753,MATCH($B2074,'Code Mapping'!$A$5:$A$1753,0)),"Unmapped"))</f>
        <v>Unmapped</v>
      </c>
      <c r="M2074" s="33" t="str">
        <f aca="false">IF($B2074="","",IFERROR(INDEX('Code Mapping'!$E$5:$E$1753,MATCH($B2074,'Code Mapping'!$A$5:$A$1753,0)),"Unmapped"))</f>
        <v>Unmapped</v>
      </c>
      <c r="N2074" s="33" t="str">
        <f aca="false">IF($F2074="","",$F2074)</f>
        <v>InflataRun</v>
      </c>
    </row>
    <row r="2075" customFormat="false" ht="15" hidden="false" customHeight="false" outlineLevel="0" collapsed="false">
      <c r="A2075" s="33" t="n">
        <v>48</v>
      </c>
      <c r="B2075" s="33" t="s">
        <v>1329</v>
      </c>
      <c r="C2075" s="33"/>
      <c r="D2075" s="33"/>
      <c r="E2075" s="33" t="n">
        <v>10</v>
      </c>
      <c r="F2075" s="33" t="s">
        <v>2163</v>
      </c>
      <c r="G2075" s="33" t="s">
        <v>450</v>
      </c>
      <c r="H2075" s="33" t="n">
        <v>2</v>
      </c>
      <c r="I2075" s="33" t="n">
        <v>4</v>
      </c>
      <c r="J2075" s="33" t="n">
        <v>4</v>
      </c>
      <c r="K2075" s="32" t="n">
        <v>720</v>
      </c>
      <c r="L2075" s="33" t="str">
        <f aca="false">IF($B2075="","",IFERROR(INDEX('Code Mapping'!$D$5:$D$1753,MATCH($B2075,'Code Mapping'!$A$5:$A$1753,0)),"Unmapped"))</f>
        <v>Unmapped</v>
      </c>
      <c r="M2075" s="33" t="str">
        <f aca="false">IF($B2075="","",IFERROR(INDEX('Code Mapping'!$E$5:$E$1753,MATCH($B2075,'Code Mapping'!$A$5:$A$1753,0)),"Unmapped"))</f>
        <v>Unmapped</v>
      </c>
      <c r="N2075" s="33" t="str">
        <f aca="false">IF($F2075="","",$F2075)</f>
        <v>InflataRun</v>
      </c>
    </row>
    <row r="2076" customFormat="false" ht="15" hidden="false" customHeight="false" outlineLevel="0" collapsed="false">
      <c r="A2076" s="33" t="n">
        <v>47</v>
      </c>
      <c r="B2076" s="33" t="s">
        <v>1328</v>
      </c>
      <c r="C2076" s="33"/>
      <c r="D2076" s="33"/>
      <c r="E2076" s="33" t="n">
        <v>10</v>
      </c>
      <c r="F2076" s="33" t="s">
        <v>2163</v>
      </c>
      <c r="G2076" s="33" t="s">
        <v>450</v>
      </c>
      <c r="H2076" s="33" t="n">
        <v>1</v>
      </c>
      <c r="I2076" s="33" t="n">
        <v>2</v>
      </c>
      <c r="J2076" s="33" t="n">
        <v>2</v>
      </c>
      <c r="K2076" s="32" t="n">
        <v>360</v>
      </c>
      <c r="L2076" s="33" t="str">
        <f aca="false">IF($B2076="","",IFERROR(INDEX('Code Mapping'!$D$5:$D$1753,MATCH($B2076,'Code Mapping'!$A$5:$A$1753,0)),"Unmapped"))</f>
        <v>Unmapped</v>
      </c>
      <c r="M2076" s="33" t="str">
        <f aca="false">IF($B2076="","",IFERROR(INDEX('Code Mapping'!$E$5:$E$1753,MATCH($B2076,'Code Mapping'!$A$5:$A$1753,0)),"Unmapped"))</f>
        <v>Unmapped</v>
      </c>
      <c r="N2076" s="33" t="str">
        <f aca="false">IF($F2076="","",$F2076)</f>
        <v>InflataRun</v>
      </c>
    </row>
    <row r="2077" customFormat="false" ht="15" hidden="false" customHeight="false" outlineLevel="0" collapsed="false">
      <c r="A2077" s="33" t="n">
        <v>9</v>
      </c>
      <c r="B2077" s="33" t="s">
        <v>1314</v>
      </c>
      <c r="C2077" s="33"/>
      <c r="D2077" s="33"/>
      <c r="E2077" s="33" t="n">
        <v>10</v>
      </c>
      <c r="F2077" s="33" t="s">
        <v>2163</v>
      </c>
      <c r="G2077" s="33" t="s">
        <v>450</v>
      </c>
      <c r="H2077" s="33" t="n">
        <v>1</v>
      </c>
      <c r="I2077" s="33" t="n">
        <v>2</v>
      </c>
      <c r="J2077" s="33" t="n">
        <v>2</v>
      </c>
      <c r="K2077" s="32" t="n">
        <v>350</v>
      </c>
      <c r="L2077" s="33" t="str">
        <f aca="false">IF($B2077="","",IFERROR(INDEX('Code Mapping'!$D$5:$D$1753,MATCH($B2077,'Code Mapping'!$A$5:$A$1753,0)),"Unmapped"))</f>
        <v>Unmapped</v>
      </c>
      <c r="M2077" s="33" t="str">
        <f aca="false">IF($B2077="","",IFERROR(INDEX('Code Mapping'!$E$5:$E$1753,MATCH($B2077,'Code Mapping'!$A$5:$A$1753,0)),"Unmapped"))</f>
        <v>Unmapped</v>
      </c>
      <c r="N2077" s="33" t="str">
        <f aca="false">IF($F2077="","",$F2077)</f>
        <v>InflataRun</v>
      </c>
    </row>
    <row r="2078" customFormat="false" ht="15" hidden="false" customHeight="false" outlineLevel="0" collapsed="false">
      <c r="A2078" s="33" t="n">
        <v>37</v>
      </c>
      <c r="B2078" s="33" t="s">
        <v>1253</v>
      </c>
      <c r="C2078" s="33"/>
      <c r="D2078" s="33"/>
      <c r="E2078" s="33" t="n">
        <v>10</v>
      </c>
      <c r="F2078" s="33" t="s">
        <v>2163</v>
      </c>
      <c r="G2078" s="33" t="s">
        <v>450</v>
      </c>
      <c r="H2078" s="33" t="n">
        <v>1</v>
      </c>
      <c r="I2078" s="33" t="n">
        <v>1</v>
      </c>
      <c r="J2078" s="33" t="n">
        <v>1</v>
      </c>
      <c r="K2078" s="32" t="n">
        <v>175</v>
      </c>
      <c r="L2078" s="33" t="str">
        <f aca="false">IF($B2078="","",IFERROR(INDEX('Code Mapping'!$D$5:$D$1753,MATCH($B2078,'Code Mapping'!$A$5:$A$1753,0)),"Unmapped"))</f>
        <v>Unmapped</v>
      </c>
      <c r="M2078" s="33" t="str">
        <f aca="false">IF($B2078="","",IFERROR(INDEX('Code Mapping'!$E$5:$E$1753,MATCH($B2078,'Code Mapping'!$A$5:$A$1753,0)),"Unmapped"))</f>
        <v>Unmapped</v>
      </c>
      <c r="N2078" s="33" t="str">
        <f aca="false">IF($F2078="","",$F2078)</f>
        <v>InflataRun</v>
      </c>
    </row>
    <row r="2079" customFormat="false" ht="15" hidden="false" customHeight="false" outlineLevel="0" collapsed="false">
      <c r="A2079" s="33" t="n">
        <v>19</v>
      </c>
      <c r="B2079" s="33" t="s">
        <v>1202</v>
      </c>
      <c r="C2079" s="33"/>
      <c r="D2079" s="33"/>
      <c r="E2079" s="33" t="n">
        <v>10</v>
      </c>
      <c r="F2079" s="33" t="s">
        <v>2163</v>
      </c>
      <c r="G2079" s="33" t="s">
        <v>450</v>
      </c>
      <c r="H2079" s="33" t="n">
        <v>1</v>
      </c>
      <c r="I2079" s="33" t="n">
        <v>2</v>
      </c>
      <c r="J2079" s="33" t="n">
        <v>2</v>
      </c>
      <c r="K2079" s="32" t="n">
        <v>370</v>
      </c>
      <c r="L2079" s="33" t="str">
        <f aca="false">IF($B2079="","",IFERROR(INDEX('Code Mapping'!$D$5:$D$1753,MATCH($B2079,'Code Mapping'!$A$5:$A$1753,0)),"Unmapped"))</f>
        <v>Unmapped</v>
      </c>
      <c r="M2079" s="33" t="str">
        <f aca="false">IF($B2079="","",IFERROR(INDEX('Code Mapping'!$E$5:$E$1753,MATCH($B2079,'Code Mapping'!$A$5:$A$1753,0)),"Unmapped"))</f>
        <v>Unmapped</v>
      </c>
      <c r="N2079" s="33" t="str">
        <f aca="false">IF($F2079="","",$F2079)</f>
        <v>InflataRun</v>
      </c>
    </row>
    <row r="2080" customFormat="false" ht="15" hidden="false" customHeight="false" outlineLevel="0" collapsed="false">
      <c r="A2080" s="33" t="n">
        <v>18</v>
      </c>
      <c r="B2080" s="33" t="s">
        <v>1201</v>
      </c>
      <c r="C2080" s="33"/>
      <c r="D2080" s="33"/>
      <c r="E2080" s="33" t="n">
        <v>10</v>
      </c>
      <c r="F2080" s="33" t="s">
        <v>2163</v>
      </c>
      <c r="G2080" s="33" t="s">
        <v>450</v>
      </c>
      <c r="H2080" s="33" t="n">
        <v>1</v>
      </c>
      <c r="I2080" s="33" t="n">
        <v>2</v>
      </c>
      <c r="J2080" s="33" t="n">
        <v>2</v>
      </c>
      <c r="K2080" s="32" t="n">
        <v>370</v>
      </c>
      <c r="L2080" s="33" t="str">
        <f aca="false">IF($B2080="","",IFERROR(INDEX('Code Mapping'!$D$5:$D$1753,MATCH($B2080,'Code Mapping'!$A$5:$A$1753,0)),"Unmapped"))</f>
        <v>Al Jazeera Imtiyazat</v>
      </c>
      <c r="M2080" s="33" t="str">
        <f aca="false">IF($B2080="","",IFERROR(INDEX('Code Mapping'!$E$5:$E$1753,MATCH($B2080,'Code Mapping'!$A$5:$A$1753,0)),"Unmapped"))</f>
        <v>Corporate discount</v>
      </c>
      <c r="N2080" s="33" t="str">
        <f aca="false">IF($F2080="","",$F2080)</f>
        <v>InflataRun</v>
      </c>
    </row>
    <row r="2081" customFormat="false" ht="15" hidden="false" customHeight="false" outlineLevel="0" collapsed="false">
      <c r="A2081" s="33" t="n">
        <v>20</v>
      </c>
      <c r="B2081" s="33" t="s">
        <v>821</v>
      </c>
      <c r="C2081" s="33"/>
      <c r="D2081" s="33"/>
      <c r="E2081" s="33" t="n">
        <v>10</v>
      </c>
      <c r="F2081" s="33" t="s">
        <v>2163</v>
      </c>
      <c r="G2081" s="33" t="s">
        <v>450</v>
      </c>
      <c r="H2081" s="33" t="n">
        <v>1</v>
      </c>
      <c r="I2081" s="33" t="n">
        <v>1</v>
      </c>
      <c r="J2081" s="33" t="n">
        <v>1</v>
      </c>
      <c r="K2081" s="32" t="n">
        <v>185</v>
      </c>
      <c r="L2081" s="33" t="str">
        <f aca="false">IF($B2081="","",IFERROR(INDEX('Code Mapping'!$D$5:$D$1753,MATCH($B2081,'Code Mapping'!$A$5:$A$1753,0)),"Unmapped"))</f>
        <v>Unmapped</v>
      </c>
      <c r="M2081" s="33" t="str">
        <f aca="false">IF($B2081="","",IFERROR(INDEX('Code Mapping'!$E$5:$E$1753,MATCH($B2081,'Code Mapping'!$A$5:$A$1753,0)),"Unmapped"))</f>
        <v>Unmapped</v>
      </c>
      <c r="N2081" s="33" t="str">
        <f aca="false">IF($F2081="","",$F2081)</f>
        <v>InflataRun</v>
      </c>
    </row>
    <row r="2082" customFormat="false" ht="15" hidden="false" customHeight="false" outlineLevel="0" collapsed="false">
      <c r="A2082" s="33" t="n">
        <v>14</v>
      </c>
      <c r="B2082" s="33" t="s">
        <v>820</v>
      </c>
      <c r="C2082" s="33"/>
      <c r="D2082" s="33"/>
      <c r="E2082" s="33" t="n">
        <v>10</v>
      </c>
      <c r="F2082" s="33" t="s">
        <v>2163</v>
      </c>
      <c r="G2082" s="33" t="s">
        <v>450</v>
      </c>
      <c r="H2082" s="33" t="n">
        <v>1</v>
      </c>
      <c r="I2082" s="33" t="n">
        <v>1</v>
      </c>
      <c r="J2082" s="33" t="n">
        <v>1</v>
      </c>
      <c r="K2082" s="32" t="n">
        <v>185</v>
      </c>
      <c r="L2082" s="33" t="str">
        <f aca="false">IF($B2082="","",IFERROR(INDEX('Code Mapping'!$D$5:$D$1753,MATCH($B2082,'Code Mapping'!$A$5:$A$1753,0)),"Unmapped"))</f>
        <v>Unmapped</v>
      </c>
      <c r="M2082" s="33" t="str">
        <f aca="false">IF($B2082="","",IFERROR(INDEX('Code Mapping'!$E$5:$E$1753,MATCH($B2082,'Code Mapping'!$A$5:$A$1753,0)),"Unmapped"))</f>
        <v>Unmapped</v>
      </c>
      <c r="N2082" s="33" t="str">
        <f aca="false">IF($F2082="","",$F2082)</f>
        <v>InflataRun</v>
      </c>
    </row>
    <row r="2083" customFormat="false" ht="15" hidden="false" customHeight="false" outlineLevel="0" collapsed="false">
      <c r="A2083" s="33" t="n">
        <v>13</v>
      </c>
      <c r="B2083" s="33" t="s">
        <v>819</v>
      </c>
      <c r="C2083" s="33"/>
      <c r="D2083" s="33"/>
      <c r="E2083" s="33" t="n">
        <v>10</v>
      </c>
      <c r="F2083" s="33" t="s">
        <v>2163</v>
      </c>
      <c r="G2083" s="33" t="s">
        <v>450</v>
      </c>
      <c r="H2083" s="33" t="n">
        <v>1</v>
      </c>
      <c r="I2083" s="33" t="n">
        <v>1</v>
      </c>
      <c r="J2083" s="33" t="n">
        <v>1</v>
      </c>
      <c r="K2083" s="32" t="n">
        <v>185</v>
      </c>
      <c r="L2083" s="33" t="str">
        <f aca="false">IF($B2083="","",IFERROR(INDEX('Code Mapping'!$D$5:$D$1753,MATCH($B2083,'Code Mapping'!$A$5:$A$1753,0)),"Unmapped"))</f>
        <v>Unmapped</v>
      </c>
      <c r="M2083" s="33" t="str">
        <f aca="false">IF($B2083="","",IFERROR(INDEX('Code Mapping'!$E$5:$E$1753,MATCH($B2083,'Code Mapping'!$A$5:$A$1753,0)),"Unmapped"))</f>
        <v>Unmapped</v>
      </c>
      <c r="N2083" s="33" t="str">
        <f aca="false">IF($F2083="","",$F2083)</f>
        <v>InflataRun</v>
      </c>
    </row>
    <row r="2084" customFormat="false" ht="15" hidden="false" customHeight="false" outlineLevel="0" collapsed="false">
      <c r="A2084" s="33" t="n">
        <v>12</v>
      </c>
      <c r="B2084" s="33" t="s">
        <v>818</v>
      </c>
      <c r="C2084" s="33"/>
      <c r="D2084" s="33"/>
      <c r="E2084" s="33" t="n">
        <v>10</v>
      </c>
      <c r="F2084" s="33" t="s">
        <v>2163</v>
      </c>
      <c r="G2084" s="33" t="s">
        <v>450</v>
      </c>
      <c r="H2084" s="33" t="n">
        <v>1</v>
      </c>
      <c r="I2084" s="33" t="n">
        <v>1</v>
      </c>
      <c r="J2084" s="33" t="n">
        <v>1</v>
      </c>
      <c r="K2084" s="32" t="n">
        <v>175</v>
      </c>
      <c r="L2084" s="33" t="str">
        <f aca="false">IF($B2084="","",IFERROR(INDEX('Code Mapping'!$D$5:$D$1753,MATCH($B2084,'Code Mapping'!$A$5:$A$1753,0)),"Unmapped"))</f>
        <v>Unmapped</v>
      </c>
      <c r="M2084" s="33" t="str">
        <f aca="false">IF($B2084="","",IFERROR(INDEX('Code Mapping'!$E$5:$E$1753,MATCH($B2084,'Code Mapping'!$A$5:$A$1753,0)),"Unmapped"))</f>
        <v>Unmapped</v>
      </c>
      <c r="N2084" s="33" t="str">
        <f aca="false">IF($F2084="","",$F2084)</f>
        <v>InflataRun</v>
      </c>
    </row>
    <row r="2085" customFormat="false" ht="15" hidden="false" customHeight="false" outlineLevel="0" collapsed="false">
      <c r="A2085" s="33" t="n">
        <v>8</v>
      </c>
      <c r="B2085" s="33" t="s">
        <v>1977</v>
      </c>
      <c r="C2085" s="33"/>
      <c r="D2085" s="33"/>
      <c r="E2085" s="33" t="n">
        <v>10</v>
      </c>
      <c r="F2085" s="33" t="s">
        <v>2163</v>
      </c>
      <c r="G2085" s="33" t="s">
        <v>2169</v>
      </c>
      <c r="H2085" s="33" t="n">
        <v>3</v>
      </c>
      <c r="I2085" s="33" t="n">
        <v>3</v>
      </c>
      <c r="J2085" s="33" t="n">
        <v>3</v>
      </c>
      <c r="K2085" s="32" t="n">
        <v>75</v>
      </c>
      <c r="L2085" s="33" t="str">
        <f aca="false">IF($B2085="","",IFERROR(INDEX('Code Mapping'!$D$5:$D$1753,MATCH($B2085,'Code Mapping'!$A$5:$A$1753,0)),"Unmapped"))</f>
        <v>Unmapped</v>
      </c>
      <c r="M2085" s="33" t="str">
        <f aca="false">IF($B2085="","",IFERROR(INDEX('Code Mapping'!$E$5:$E$1753,MATCH($B2085,'Code Mapping'!$A$5:$A$1753,0)),"Unmapped"))</f>
        <v>Unmapped</v>
      </c>
      <c r="N2085" s="33" t="str">
        <f aca="false">IF($F2085="","",$F2085)</f>
        <v>InflataRun</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8"/>
    <col collapsed="false" customWidth="true" hidden="false" outlineLevel="0" max="3" min="3" style="0" width="26"/>
    <col collapsed="false" customWidth="true" hidden="false" outlineLevel="0" max="4" min="4" style="0" width="60"/>
    <col collapsed="false" customWidth="true" hidden="false" outlineLevel="0" max="5" min="5" style="0" width="24"/>
    <col collapsed="false" customWidth="true" hidden="false" outlineLevel="0" max="7" min="6" style="0" width="12"/>
    <col collapsed="false" customWidth="true" hidden="false" outlineLevel="0" max="8" min="8" style="0" width="40"/>
  </cols>
  <sheetData>
    <row r="1" customFormat="false" ht="19.7" hidden="false" customHeight="false" outlineLevel="0" collapsed="false">
      <c r="A1" s="26" t="s">
        <v>2170</v>
      </c>
    </row>
    <row r="2" customFormat="false" ht="15" hidden="false" customHeight="false" outlineLevel="0" collapsed="false">
      <c r="A2" s="8" t="s">
        <v>2171</v>
      </c>
    </row>
    <row r="4" customFormat="false" ht="15" hidden="false" customHeight="false" outlineLevel="0" collapsed="false">
      <c r="A4" s="30" t="s">
        <v>2172</v>
      </c>
      <c r="B4" s="30" t="s">
        <v>2173</v>
      </c>
      <c r="C4" s="30" t="s">
        <v>33</v>
      </c>
      <c r="D4" s="30" t="s">
        <v>2174</v>
      </c>
      <c r="E4" s="30" t="s">
        <v>2175</v>
      </c>
      <c r="F4" s="30" t="s">
        <v>2176</v>
      </c>
      <c r="G4" s="30" t="s">
        <v>2177</v>
      </c>
      <c r="H4" s="30" t="s">
        <v>2178</v>
      </c>
    </row>
    <row r="5" customFormat="false" ht="23.85" hidden="false" customHeight="false" outlineLevel="0" collapsed="false">
      <c r="A5" s="39" t="n">
        <v>1</v>
      </c>
      <c r="B5" s="39" t="s">
        <v>2179</v>
      </c>
      <c r="C5" s="39" t="s">
        <v>142</v>
      </c>
      <c r="D5" s="39" t="s">
        <v>2180</v>
      </c>
      <c r="E5" s="39" t="s">
        <v>2181</v>
      </c>
      <c r="F5" s="39" t="s">
        <v>2182</v>
      </c>
      <c r="G5" s="40" t="s">
        <v>2183</v>
      </c>
      <c r="H5" s="40"/>
    </row>
    <row r="6" customFormat="false" ht="35.05" hidden="false" customHeight="false" outlineLevel="0" collapsed="false">
      <c r="A6" s="39" t="n">
        <v>2</v>
      </c>
      <c r="B6" s="39" t="s">
        <v>2184</v>
      </c>
      <c r="C6" s="39" t="s">
        <v>2185</v>
      </c>
      <c r="D6" s="39" t="s">
        <v>2186</v>
      </c>
      <c r="E6" s="39" t="s">
        <v>2187</v>
      </c>
      <c r="F6" s="39" t="s">
        <v>17</v>
      </c>
      <c r="G6" s="40" t="s">
        <v>2183</v>
      </c>
      <c r="H6" s="40"/>
    </row>
    <row r="7" customFormat="false" ht="23.85" hidden="false" customHeight="false" outlineLevel="0" collapsed="false">
      <c r="A7" s="39" t="n">
        <v>3</v>
      </c>
      <c r="B7" s="39" t="s">
        <v>2188</v>
      </c>
      <c r="C7" s="39" t="s">
        <v>36</v>
      </c>
      <c r="D7" s="39" t="s">
        <v>2189</v>
      </c>
      <c r="E7" s="39" t="s">
        <v>2190</v>
      </c>
      <c r="F7" s="39" t="s">
        <v>2182</v>
      </c>
      <c r="G7" s="40" t="s">
        <v>2183</v>
      </c>
      <c r="H7" s="40"/>
    </row>
    <row r="8" customFormat="false" ht="23.85" hidden="false" customHeight="false" outlineLevel="0" collapsed="false">
      <c r="A8" s="39" t="n">
        <v>4</v>
      </c>
      <c r="B8" s="39" t="s">
        <v>2191</v>
      </c>
      <c r="C8" s="39" t="s">
        <v>2192</v>
      </c>
      <c r="D8" s="39" t="s">
        <v>2193</v>
      </c>
      <c r="E8" s="39" t="s">
        <v>2194</v>
      </c>
      <c r="F8" s="39" t="s">
        <v>2195</v>
      </c>
      <c r="G8" s="40" t="s">
        <v>2183</v>
      </c>
      <c r="H8" s="40"/>
    </row>
    <row r="9" customFormat="false" ht="15" hidden="false" customHeight="false" outlineLevel="0" collapsed="false">
      <c r="A9" s="39" t="n">
        <v>5</v>
      </c>
      <c r="B9" s="39" t="s">
        <v>2196</v>
      </c>
      <c r="C9" s="39" t="s">
        <v>35</v>
      </c>
      <c r="D9" s="39" t="s">
        <v>2197</v>
      </c>
      <c r="E9" s="39" t="s">
        <v>2194</v>
      </c>
      <c r="F9" s="39" t="s">
        <v>2198</v>
      </c>
      <c r="G9" s="40" t="s">
        <v>2183</v>
      </c>
      <c r="H9" s="40"/>
    </row>
    <row r="10" customFormat="false" ht="23.85" hidden="false" customHeight="false" outlineLevel="0" collapsed="false">
      <c r="A10" s="39" t="n">
        <v>6</v>
      </c>
      <c r="B10" s="39" t="s">
        <v>2199</v>
      </c>
      <c r="C10" s="39" t="s">
        <v>2200</v>
      </c>
      <c r="D10" s="39" t="s">
        <v>2201</v>
      </c>
      <c r="E10" s="39" t="s">
        <v>2202</v>
      </c>
      <c r="F10" s="39" t="s">
        <v>2203</v>
      </c>
      <c r="G10" s="40" t="s">
        <v>2183</v>
      </c>
      <c r="H10" s="40"/>
    </row>
    <row r="11" customFormat="false" ht="15" hidden="false" customHeight="false" outlineLevel="0" collapsed="false">
      <c r="A11" s="39" t="n">
        <v>7</v>
      </c>
      <c r="B11" s="39" t="s">
        <v>2204</v>
      </c>
      <c r="C11" s="39" t="s">
        <v>142</v>
      </c>
      <c r="D11" s="39" t="s">
        <v>2205</v>
      </c>
      <c r="E11" s="39" t="s">
        <v>2206</v>
      </c>
      <c r="F11" s="39" t="s">
        <v>17</v>
      </c>
      <c r="G11" s="40" t="s">
        <v>2183</v>
      </c>
      <c r="H11" s="40"/>
    </row>
    <row r="12" customFormat="false" ht="15" hidden="false" customHeight="false" outlineLevel="0" collapsed="false">
      <c r="A12" s="39" t="n">
        <v>8</v>
      </c>
      <c r="B12" s="39" t="s">
        <v>2207</v>
      </c>
      <c r="C12" s="39" t="s">
        <v>142</v>
      </c>
      <c r="D12" s="39" t="s">
        <v>2208</v>
      </c>
      <c r="E12" s="39" t="s">
        <v>2209</v>
      </c>
      <c r="F12" s="39" t="s">
        <v>17</v>
      </c>
      <c r="G12" s="40" t="s">
        <v>2183</v>
      </c>
      <c r="H12" s="40"/>
    </row>
    <row r="13" customFormat="false" ht="23.85" hidden="false" customHeight="false" outlineLevel="0" collapsed="false">
      <c r="A13" s="39" t="n">
        <v>9</v>
      </c>
      <c r="B13" s="39" t="s">
        <v>2210</v>
      </c>
      <c r="C13" s="39" t="s">
        <v>2211</v>
      </c>
      <c r="D13" s="39" t="s">
        <v>2212</v>
      </c>
      <c r="E13" s="39" t="s">
        <v>2209</v>
      </c>
      <c r="F13" s="39" t="s">
        <v>2213</v>
      </c>
      <c r="G13" s="40" t="s">
        <v>2183</v>
      </c>
      <c r="H13" s="40"/>
    </row>
    <row r="14" customFormat="false" ht="23.85" hidden="false" customHeight="false" outlineLevel="0" collapsed="false">
      <c r="A14" s="39" t="n">
        <v>10</v>
      </c>
      <c r="B14" s="39" t="s">
        <v>2214</v>
      </c>
      <c r="C14" s="39" t="s">
        <v>2215</v>
      </c>
      <c r="D14" s="39" t="s">
        <v>2216</v>
      </c>
      <c r="E14" s="39" t="s">
        <v>2217</v>
      </c>
      <c r="F14" s="39" t="s">
        <v>17</v>
      </c>
      <c r="G14" s="40" t="s">
        <v>2183</v>
      </c>
      <c r="H14" s="40"/>
    </row>
    <row r="15" customFormat="false" ht="23.85" hidden="false" customHeight="false" outlineLevel="0" collapsed="false">
      <c r="A15" s="39" t="n">
        <v>11</v>
      </c>
      <c r="B15" s="39" t="s">
        <v>2218</v>
      </c>
      <c r="C15" s="39" t="s">
        <v>2219</v>
      </c>
      <c r="D15" s="39" t="s">
        <v>2220</v>
      </c>
      <c r="E15" s="39" t="s">
        <v>2187</v>
      </c>
      <c r="F15" s="39" t="s">
        <v>17</v>
      </c>
      <c r="G15" s="40" t="s">
        <v>2183</v>
      </c>
      <c r="H15" s="40"/>
    </row>
    <row r="16" customFormat="false" ht="23.85" hidden="false" customHeight="false" outlineLevel="0" collapsed="false">
      <c r="A16" s="39" t="n">
        <v>12</v>
      </c>
      <c r="B16" s="39" t="s">
        <v>2221</v>
      </c>
      <c r="C16" s="39" t="s">
        <v>2222</v>
      </c>
      <c r="D16" s="39" t="s">
        <v>2223</v>
      </c>
      <c r="E16" s="39" t="s">
        <v>2224</v>
      </c>
      <c r="F16" s="39" t="s">
        <v>2225</v>
      </c>
      <c r="G16" s="40" t="s">
        <v>2183</v>
      </c>
      <c r="H16" s="40"/>
    </row>
    <row r="17" customFormat="false" ht="15" hidden="false" customHeight="false" outlineLevel="0" collapsed="false">
      <c r="A17" s="39" t="n">
        <v>13</v>
      </c>
      <c r="B17" s="39" t="s">
        <v>2226</v>
      </c>
      <c r="C17" s="39" t="s">
        <v>142</v>
      </c>
      <c r="D17" s="39" t="s">
        <v>2227</v>
      </c>
      <c r="E17" s="39" t="s">
        <v>2187</v>
      </c>
      <c r="F17" s="39" t="s">
        <v>2225</v>
      </c>
      <c r="G17" s="40" t="s">
        <v>2183</v>
      </c>
      <c r="H17" s="40"/>
    </row>
    <row r="18" customFormat="false" ht="23.85" hidden="false" customHeight="false" outlineLevel="0" collapsed="false">
      <c r="A18" s="39" t="n">
        <v>14</v>
      </c>
      <c r="B18" s="39" t="s">
        <v>2228</v>
      </c>
      <c r="C18" s="39" t="s">
        <v>2222</v>
      </c>
      <c r="D18" s="39" t="s">
        <v>2229</v>
      </c>
      <c r="E18" s="39" t="s">
        <v>2230</v>
      </c>
      <c r="F18" s="39" t="s">
        <v>2225</v>
      </c>
      <c r="G18" s="40" t="s">
        <v>2183</v>
      </c>
      <c r="H18" s="40"/>
    </row>
    <row r="19" customFormat="false" ht="15" hidden="false" customHeight="false" outlineLevel="0" collapsed="false">
      <c r="A19" s="39" t="n">
        <v>15</v>
      </c>
      <c r="B19" s="39" t="s">
        <v>2231</v>
      </c>
      <c r="C19" s="39" t="s">
        <v>36</v>
      </c>
      <c r="D19" s="39" t="s">
        <v>2232</v>
      </c>
      <c r="E19" s="39" t="s">
        <v>2187</v>
      </c>
      <c r="F19" s="39" t="s">
        <v>2182</v>
      </c>
      <c r="G19" s="40" t="s">
        <v>2183</v>
      </c>
      <c r="H19" s="40"/>
    </row>
    <row r="20" customFormat="false" ht="23.85" hidden="false" customHeight="false" outlineLevel="0" collapsed="false">
      <c r="A20" s="39" t="n">
        <v>16</v>
      </c>
      <c r="B20" s="39" t="s">
        <v>2233</v>
      </c>
      <c r="C20" s="39" t="s">
        <v>142</v>
      </c>
      <c r="D20" s="39" t="s">
        <v>2234</v>
      </c>
      <c r="E20" s="39" t="s">
        <v>2235</v>
      </c>
      <c r="F20" s="39" t="s">
        <v>2213</v>
      </c>
      <c r="G20" s="40" t="s">
        <v>2183</v>
      </c>
      <c r="H20" s="40"/>
    </row>
    <row r="21" customFormat="false" ht="15" hidden="false" customHeight="false" outlineLevel="0" collapsed="false">
      <c r="A21" s="39" t="n">
        <v>17</v>
      </c>
      <c r="B21" s="39" t="s">
        <v>2236</v>
      </c>
      <c r="C21" s="39" t="s">
        <v>142</v>
      </c>
      <c r="D21" s="39" t="s">
        <v>2237</v>
      </c>
      <c r="E21" s="39" t="s">
        <v>2238</v>
      </c>
      <c r="F21" s="39" t="s">
        <v>2213</v>
      </c>
      <c r="G21" s="40" t="s">
        <v>2183</v>
      </c>
      <c r="H21" s="40"/>
    </row>
    <row r="22" customFormat="false" ht="15" hidden="false" customHeight="false" outlineLevel="0" collapsed="false">
      <c r="A22" s="39" t="n">
        <v>18</v>
      </c>
      <c r="B22" s="39" t="s">
        <v>2239</v>
      </c>
      <c r="C22" s="39" t="s">
        <v>142</v>
      </c>
      <c r="D22" s="39" t="s">
        <v>2240</v>
      </c>
      <c r="E22" s="39" t="s">
        <v>2241</v>
      </c>
      <c r="F22" s="39" t="s">
        <v>2213</v>
      </c>
      <c r="G22" s="40" t="s">
        <v>2183</v>
      </c>
      <c r="H22" s="40"/>
    </row>
    <row r="23" customFormat="false" ht="23.85" hidden="false" customHeight="false" outlineLevel="0" collapsed="false">
      <c r="A23" s="39" t="n">
        <v>19</v>
      </c>
      <c r="B23" s="39" t="s">
        <v>2242</v>
      </c>
      <c r="C23" s="39" t="s">
        <v>2243</v>
      </c>
      <c r="D23" s="39" t="s">
        <v>2244</v>
      </c>
      <c r="E23" s="39" t="s">
        <v>2245</v>
      </c>
      <c r="F23" s="39" t="s">
        <v>2213</v>
      </c>
      <c r="G23" s="40" t="s">
        <v>2183</v>
      </c>
      <c r="H23" s="40"/>
    </row>
    <row r="24" customFormat="false" ht="15" hidden="false" customHeight="false" outlineLevel="0" collapsed="false">
      <c r="A24" s="39" t="n">
        <v>20</v>
      </c>
      <c r="B24" s="39" t="s">
        <v>2246</v>
      </c>
      <c r="C24" s="39" t="s">
        <v>35</v>
      </c>
      <c r="D24" s="39" t="s">
        <v>2247</v>
      </c>
      <c r="E24" s="39" t="s">
        <v>2248</v>
      </c>
      <c r="F24" s="39" t="s">
        <v>2213</v>
      </c>
      <c r="G24" s="40" t="s">
        <v>2183</v>
      </c>
      <c r="H24" s="40"/>
    </row>
    <row r="25" customFormat="false" ht="23.85" hidden="false" customHeight="false" outlineLevel="0" collapsed="false">
      <c r="A25" s="39" t="n">
        <v>21</v>
      </c>
      <c r="B25" s="39" t="s">
        <v>2249</v>
      </c>
      <c r="C25" s="39" t="s">
        <v>2222</v>
      </c>
      <c r="D25" s="39" t="s">
        <v>2250</v>
      </c>
      <c r="E25" s="39" t="s">
        <v>2251</v>
      </c>
      <c r="F25" s="39" t="s">
        <v>2252</v>
      </c>
      <c r="G25" s="40" t="s">
        <v>2183</v>
      </c>
      <c r="H25" s="40"/>
    </row>
    <row r="26" customFormat="false" ht="23.85" hidden="false" customHeight="false" outlineLevel="0" collapsed="false">
      <c r="A26" s="39" t="n">
        <v>22</v>
      </c>
      <c r="B26" s="39" t="s">
        <v>2253</v>
      </c>
      <c r="C26" s="39" t="s">
        <v>2222</v>
      </c>
      <c r="D26" s="39" t="s">
        <v>2254</v>
      </c>
      <c r="E26" s="39" t="s">
        <v>2255</v>
      </c>
      <c r="F26" s="39" t="s">
        <v>2256</v>
      </c>
      <c r="G26" s="40" t="s">
        <v>2256</v>
      </c>
      <c r="H26" s="40"/>
    </row>
    <row r="27" customFormat="false" ht="15" hidden="false" customHeight="false" outlineLevel="0" collapsed="false">
      <c r="A27" s="39" t="n">
        <v>23</v>
      </c>
      <c r="B27" s="39" t="s">
        <v>2257</v>
      </c>
      <c r="C27" s="39" t="s">
        <v>2222</v>
      </c>
      <c r="D27" s="39" t="s">
        <v>2258</v>
      </c>
      <c r="E27" s="39" t="s">
        <v>2255</v>
      </c>
      <c r="F27" s="39" t="s">
        <v>2259</v>
      </c>
      <c r="G27" s="40" t="s">
        <v>2256</v>
      </c>
      <c r="H27" s="40"/>
    </row>
    <row r="28" customFormat="false" ht="23.85" hidden="false" customHeight="false" outlineLevel="0" collapsed="false">
      <c r="A28" s="39" t="n">
        <v>24</v>
      </c>
      <c r="B28" s="39" t="s">
        <v>2260</v>
      </c>
      <c r="C28" s="39" t="s">
        <v>175</v>
      </c>
      <c r="D28" s="39" t="s">
        <v>2261</v>
      </c>
      <c r="E28" s="39" t="s">
        <v>2262</v>
      </c>
      <c r="F28" s="39" t="s">
        <v>2213</v>
      </c>
      <c r="G28" s="40" t="s">
        <v>2183</v>
      </c>
      <c r="H28" s="4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2026-09-15T07:46:57Z</dcterms:created>
  <dc:creator>openpyxl</dc:creator>
  <dc:description/>
  <dc:language>en-US</dc:language>
  <cp:lastModifiedBy/>
  <dcterms:modified xsi:type="dcterms:W3CDTF">2026-09-15T07:47:01Z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